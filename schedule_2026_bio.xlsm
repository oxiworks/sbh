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1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ownloads\sbh_bio\"/>
    </mc:Choice>
  </mc:AlternateContent>
  <xr:revisionPtr revIDLastSave="0" documentId="8_{FB35E7EF-C812-4BC7-9B47-6BFA1473E5E4}" xr6:coauthVersionLast="47" xr6:coauthVersionMax="47" xr10:uidLastSave="{00000000-0000-0000-0000-000000000000}"/>
  <bookViews>
    <workbookView xWindow="-108" yWindow="-108" windowWidth="23256" windowHeight="12576" firstSheet="7" activeTab="7" xr2:uid="{00000000-000D-0000-FFFF-FFFF00000000}"/>
  </bookViews>
  <sheets>
    <sheet name="rule" sheetId="2" r:id="rId1"/>
    <sheet name="cal1" sheetId="1" r:id="rId2"/>
    <sheet name="cal2" sheetId="3" r:id="rId3"/>
    <sheet name="cal3" sheetId="22" r:id="rId4"/>
    <sheet name="shape1" sheetId="19" r:id="rId5"/>
    <sheet name="shape2" sheetId="24" r:id="rId6"/>
    <sheet name="Sheet1" sheetId="23" r:id="rId7"/>
    <sheet name="biohub_whereis_Macro" sheetId="4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4" l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1" i="4"/>
  <c r="L1" i="4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" i="1"/>
  <c r="AC3" i="1"/>
  <c r="AE3" i="1"/>
  <c r="L367" i="4"/>
  <c r="AI4" i="1"/>
  <c r="L2" i="4" s="1"/>
  <c r="AI5" i="1"/>
  <c r="L3" i="4" s="1"/>
  <c r="AI6" i="1"/>
  <c r="L4" i="4" s="1"/>
  <c r="AI7" i="1"/>
  <c r="L5" i="4" s="1"/>
  <c r="AI8" i="1"/>
  <c r="L6" i="4" s="1"/>
  <c r="AI10" i="1"/>
  <c r="L8" i="4" s="1"/>
  <c r="AI11" i="1"/>
  <c r="L9" i="4" s="1"/>
  <c r="AI12" i="1"/>
  <c r="L10" i="4" s="1"/>
  <c r="AI13" i="1"/>
  <c r="L11" i="4" s="1"/>
  <c r="AI14" i="1"/>
  <c r="L12" i="4" s="1"/>
  <c r="AI15" i="1"/>
  <c r="L13" i="4" s="1"/>
  <c r="AI16" i="1"/>
  <c r="L14" i="4" s="1"/>
  <c r="AI17" i="1"/>
  <c r="L15" i="4" s="1"/>
  <c r="AI18" i="1"/>
  <c r="L16" i="4" s="1"/>
  <c r="AI19" i="1"/>
  <c r="L17" i="4" s="1"/>
  <c r="AI20" i="1"/>
  <c r="L18" i="4" s="1"/>
  <c r="AI22" i="1"/>
  <c r="L20" i="4" s="1"/>
  <c r="AI23" i="1"/>
  <c r="L21" i="4" s="1"/>
  <c r="AI24" i="1"/>
  <c r="L22" i="4" s="1"/>
  <c r="AI25" i="1"/>
  <c r="L23" i="4" s="1"/>
  <c r="AI26" i="1"/>
  <c r="L24" i="4" s="1"/>
  <c r="AI27" i="1"/>
  <c r="L25" i="4" s="1"/>
  <c r="AI28" i="1"/>
  <c r="L26" i="4" s="1"/>
  <c r="AI29" i="1"/>
  <c r="L27" i="4" s="1"/>
  <c r="AI30" i="1"/>
  <c r="L28" i="4" s="1"/>
  <c r="AI31" i="1"/>
  <c r="L29" i="4" s="1"/>
  <c r="AI32" i="1"/>
  <c r="L30" i="4" s="1"/>
  <c r="AI34" i="1"/>
  <c r="L32" i="4" s="1"/>
  <c r="AI35" i="1"/>
  <c r="L33" i="4" s="1"/>
  <c r="AI36" i="1"/>
  <c r="L34" i="4" s="1"/>
  <c r="AI37" i="1"/>
  <c r="L35" i="4" s="1"/>
  <c r="AI38" i="1"/>
  <c r="L36" i="4" s="1"/>
  <c r="AI39" i="1"/>
  <c r="L37" i="4" s="1"/>
  <c r="AI40" i="1"/>
  <c r="L38" i="4" s="1"/>
  <c r="AI41" i="1"/>
  <c r="L39" i="4" s="1"/>
  <c r="AI42" i="1"/>
  <c r="L40" i="4" s="1"/>
  <c r="AI43" i="1"/>
  <c r="L41" i="4" s="1"/>
  <c r="AI44" i="1"/>
  <c r="L42" i="4" s="1"/>
  <c r="AI46" i="1"/>
  <c r="L44" i="4" s="1"/>
  <c r="AI47" i="1"/>
  <c r="L45" i="4" s="1"/>
  <c r="AI48" i="1"/>
  <c r="L46" i="4" s="1"/>
  <c r="AI49" i="1"/>
  <c r="L47" i="4" s="1"/>
  <c r="AI50" i="1"/>
  <c r="L48" i="4" s="1"/>
  <c r="AI51" i="1"/>
  <c r="L49" i="4" s="1"/>
  <c r="AI52" i="1"/>
  <c r="L50" i="4" s="1"/>
  <c r="AI53" i="1"/>
  <c r="L51" i="4" s="1"/>
  <c r="AI54" i="1"/>
  <c r="L52" i="4" s="1"/>
  <c r="AI55" i="1"/>
  <c r="L53" i="4" s="1"/>
  <c r="AI56" i="1"/>
  <c r="L54" i="4" s="1"/>
  <c r="AI58" i="1"/>
  <c r="L56" i="4" s="1"/>
  <c r="AI59" i="1"/>
  <c r="L57" i="4" s="1"/>
  <c r="AI60" i="1"/>
  <c r="L58" i="4" s="1"/>
  <c r="AI61" i="1"/>
  <c r="L59" i="4" s="1"/>
  <c r="AI62" i="1"/>
  <c r="L60" i="4" s="1"/>
  <c r="AI63" i="1"/>
  <c r="L61" i="4" s="1"/>
  <c r="AI64" i="1"/>
  <c r="L62" i="4" s="1"/>
  <c r="AI65" i="1"/>
  <c r="L63" i="4" s="1"/>
  <c r="AI66" i="1"/>
  <c r="L64" i="4" s="1"/>
  <c r="AI67" i="1"/>
  <c r="L65" i="4" s="1"/>
  <c r="AI68" i="1"/>
  <c r="L66" i="4" s="1"/>
  <c r="AI70" i="1"/>
  <c r="L68" i="4" s="1"/>
  <c r="AI71" i="1"/>
  <c r="L69" i="4" s="1"/>
  <c r="AI72" i="1"/>
  <c r="L70" i="4" s="1"/>
  <c r="AI73" i="1"/>
  <c r="L71" i="4" s="1"/>
  <c r="AI74" i="1"/>
  <c r="L72" i="4" s="1"/>
  <c r="AI75" i="1"/>
  <c r="L73" i="4" s="1"/>
  <c r="AI76" i="1"/>
  <c r="L74" i="4" s="1"/>
  <c r="AI77" i="1"/>
  <c r="L75" i="4" s="1"/>
  <c r="AI78" i="1"/>
  <c r="L76" i="4" s="1"/>
  <c r="AI79" i="1"/>
  <c r="L77" i="4" s="1"/>
  <c r="AI80" i="1"/>
  <c r="L78" i="4" s="1"/>
  <c r="AI82" i="1"/>
  <c r="L80" i="4" s="1"/>
  <c r="AI83" i="1"/>
  <c r="L81" i="4" s="1"/>
  <c r="AI84" i="1"/>
  <c r="L82" i="4" s="1"/>
  <c r="AI85" i="1"/>
  <c r="L83" i="4" s="1"/>
  <c r="AI86" i="1"/>
  <c r="L84" i="4" s="1"/>
  <c r="AI87" i="1"/>
  <c r="L85" i="4" s="1"/>
  <c r="AI88" i="1"/>
  <c r="L86" i="4" s="1"/>
  <c r="AI89" i="1"/>
  <c r="L87" i="4" s="1"/>
  <c r="AI90" i="1"/>
  <c r="L88" i="4" s="1"/>
  <c r="AI91" i="1"/>
  <c r="L89" i="4" s="1"/>
  <c r="AI92" i="1"/>
  <c r="L90" i="4" s="1"/>
  <c r="AI94" i="1"/>
  <c r="L92" i="4" s="1"/>
  <c r="AI95" i="1"/>
  <c r="L93" i="4" s="1"/>
  <c r="AI96" i="1"/>
  <c r="L94" i="4" s="1"/>
  <c r="AI97" i="1"/>
  <c r="L95" i="4" s="1"/>
  <c r="AI98" i="1"/>
  <c r="L96" i="4" s="1"/>
  <c r="AI99" i="1"/>
  <c r="L97" i="4" s="1"/>
  <c r="AI100" i="1"/>
  <c r="L98" i="4" s="1"/>
  <c r="AI101" i="1"/>
  <c r="L99" i="4" s="1"/>
  <c r="AI102" i="1"/>
  <c r="L100" i="4" s="1"/>
  <c r="AI103" i="1"/>
  <c r="L101" i="4" s="1"/>
  <c r="AI104" i="1"/>
  <c r="L102" i="4" s="1"/>
  <c r="AI106" i="1"/>
  <c r="L104" i="4" s="1"/>
  <c r="AI107" i="1"/>
  <c r="L105" i="4" s="1"/>
  <c r="AI108" i="1"/>
  <c r="L106" i="4" s="1"/>
  <c r="AI109" i="1"/>
  <c r="L107" i="4" s="1"/>
  <c r="AI110" i="1"/>
  <c r="L108" i="4" s="1"/>
  <c r="AI111" i="1"/>
  <c r="L109" i="4" s="1"/>
  <c r="AI112" i="1"/>
  <c r="L110" i="4" s="1"/>
  <c r="AI113" i="1"/>
  <c r="L111" i="4" s="1"/>
  <c r="AI114" i="1"/>
  <c r="L112" i="4" s="1"/>
  <c r="AI115" i="1"/>
  <c r="L113" i="4" s="1"/>
  <c r="AI116" i="1"/>
  <c r="L114" i="4" s="1"/>
  <c r="AI118" i="1"/>
  <c r="L116" i="4" s="1"/>
  <c r="AI119" i="1"/>
  <c r="L117" i="4" s="1"/>
  <c r="AI120" i="1"/>
  <c r="L118" i="4" s="1"/>
  <c r="AI121" i="1"/>
  <c r="L119" i="4" s="1"/>
  <c r="AI122" i="1"/>
  <c r="L120" i="4" s="1"/>
  <c r="AI123" i="1"/>
  <c r="L121" i="4" s="1"/>
  <c r="AI124" i="1"/>
  <c r="L122" i="4" s="1"/>
  <c r="AI125" i="1"/>
  <c r="L123" i="4" s="1"/>
  <c r="AI126" i="1"/>
  <c r="L124" i="4" s="1"/>
  <c r="AI127" i="1"/>
  <c r="L125" i="4" s="1"/>
  <c r="AI128" i="1"/>
  <c r="L126" i="4" s="1"/>
  <c r="AI130" i="1"/>
  <c r="L128" i="4" s="1"/>
  <c r="AI131" i="1"/>
  <c r="L129" i="4" s="1"/>
  <c r="AI132" i="1"/>
  <c r="L130" i="4" s="1"/>
  <c r="AI133" i="1"/>
  <c r="L131" i="4" s="1"/>
  <c r="AI134" i="1"/>
  <c r="L132" i="4" s="1"/>
  <c r="AI135" i="1"/>
  <c r="L133" i="4" s="1"/>
  <c r="AI136" i="1"/>
  <c r="L134" i="4" s="1"/>
  <c r="AI137" i="1"/>
  <c r="L135" i="4" s="1"/>
  <c r="AI138" i="1"/>
  <c r="L136" i="4" s="1"/>
  <c r="AI139" i="1"/>
  <c r="L137" i="4" s="1"/>
  <c r="AI140" i="1"/>
  <c r="L138" i="4" s="1"/>
  <c r="AI142" i="1"/>
  <c r="L140" i="4" s="1"/>
  <c r="AI143" i="1"/>
  <c r="L141" i="4" s="1"/>
  <c r="AI144" i="1"/>
  <c r="L142" i="4" s="1"/>
  <c r="AI145" i="1"/>
  <c r="L143" i="4" s="1"/>
  <c r="AI146" i="1"/>
  <c r="L144" i="4" s="1"/>
  <c r="AI147" i="1"/>
  <c r="L145" i="4" s="1"/>
  <c r="AI148" i="1"/>
  <c r="L146" i="4" s="1"/>
  <c r="AI149" i="1"/>
  <c r="L147" i="4" s="1"/>
  <c r="AI150" i="1"/>
  <c r="L148" i="4" s="1"/>
  <c r="AI151" i="1"/>
  <c r="L149" i="4" s="1"/>
  <c r="AI152" i="1"/>
  <c r="L150" i="4" s="1"/>
  <c r="AI154" i="1"/>
  <c r="L152" i="4" s="1"/>
  <c r="AI155" i="1"/>
  <c r="L153" i="4" s="1"/>
  <c r="AI156" i="1"/>
  <c r="L154" i="4" s="1"/>
  <c r="AI157" i="1"/>
  <c r="L155" i="4" s="1"/>
  <c r="AI158" i="1"/>
  <c r="L156" i="4" s="1"/>
  <c r="AI159" i="1"/>
  <c r="L157" i="4" s="1"/>
  <c r="AI160" i="1"/>
  <c r="L158" i="4" s="1"/>
  <c r="AI161" i="1"/>
  <c r="L159" i="4" s="1"/>
  <c r="AI162" i="1"/>
  <c r="L160" i="4" s="1"/>
  <c r="AI163" i="1"/>
  <c r="L161" i="4" s="1"/>
  <c r="AI164" i="1"/>
  <c r="L162" i="4" s="1"/>
  <c r="AI166" i="1"/>
  <c r="L164" i="4" s="1"/>
  <c r="AI167" i="1"/>
  <c r="L165" i="4" s="1"/>
  <c r="AI168" i="1"/>
  <c r="L166" i="4" s="1"/>
  <c r="AI169" i="1"/>
  <c r="L167" i="4" s="1"/>
  <c r="AI170" i="1"/>
  <c r="L168" i="4" s="1"/>
  <c r="AI171" i="1"/>
  <c r="L169" i="4" s="1"/>
  <c r="AI172" i="1"/>
  <c r="L170" i="4" s="1"/>
  <c r="AI173" i="1"/>
  <c r="L171" i="4" s="1"/>
  <c r="AI174" i="1"/>
  <c r="L172" i="4" s="1"/>
  <c r="AI175" i="1"/>
  <c r="L173" i="4" s="1"/>
  <c r="AI176" i="1"/>
  <c r="L174" i="4" s="1"/>
  <c r="AI178" i="1"/>
  <c r="L176" i="4" s="1"/>
  <c r="AI179" i="1"/>
  <c r="L177" i="4" s="1"/>
  <c r="AI180" i="1"/>
  <c r="L178" i="4" s="1"/>
  <c r="AI181" i="1"/>
  <c r="L179" i="4" s="1"/>
  <c r="AI182" i="1"/>
  <c r="L180" i="4" s="1"/>
  <c r="AI183" i="1"/>
  <c r="L181" i="4" s="1"/>
  <c r="AI184" i="1"/>
  <c r="L182" i="4" s="1"/>
  <c r="AI185" i="1"/>
  <c r="L183" i="4" s="1"/>
  <c r="AI186" i="1"/>
  <c r="L184" i="4" s="1"/>
  <c r="AI187" i="1"/>
  <c r="L185" i="4" s="1"/>
  <c r="AI188" i="1"/>
  <c r="L186" i="4" s="1"/>
  <c r="AI190" i="1"/>
  <c r="L188" i="4" s="1"/>
  <c r="AI191" i="1"/>
  <c r="L189" i="4" s="1"/>
  <c r="AI192" i="1"/>
  <c r="L190" i="4" s="1"/>
  <c r="AI193" i="1"/>
  <c r="L191" i="4" s="1"/>
  <c r="AI194" i="1"/>
  <c r="L192" i="4" s="1"/>
  <c r="AI195" i="1"/>
  <c r="L193" i="4" s="1"/>
  <c r="AI196" i="1"/>
  <c r="L194" i="4" s="1"/>
  <c r="AI197" i="1"/>
  <c r="L195" i="4" s="1"/>
  <c r="AI198" i="1"/>
  <c r="L196" i="4" s="1"/>
  <c r="AI199" i="1"/>
  <c r="L197" i="4" s="1"/>
  <c r="AI200" i="1"/>
  <c r="L198" i="4" s="1"/>
  <c r="AI202" i="1"/>
  <c r="L200" i="4" s="1"/>
  <c r="AI203" i="1"/>
  <c r="L201" i="4" s="1"/>
  <c r="AI204" i="1"/>
  <c r="L202" i="4" s="1"/>
  <c r="AI205" i="1"/>
  <c r="L203" i="4" s="1"/>
  <c r="AI206" i="1"/>
  <c r="L204" i="4" s="1"/>
  <c r="AI207" i="1"/>
  <c r="L205" i="4" s="1"/>
  <c r="AI208" i="1"/>
  <c r="L206" i="4" s="1"/>
  <c r="AI209" i="1"/>
  <c r="L207" i="4" s="1"/>
  <c r="AI210" i="1"/>
  <c r="L208" i="4" s="1"/>
  <c r="AI211" i="1"/>
  <c r="L209" i="4" s="1"/>
  <c r="AI212" i="1"/>
  <c r="L210" i="4" s="1"/>
  <c r="AI214" i="1"/>
  <c r="L212" i="4" s="1"/>
  <c r="AI215" i="1"/>
  <c r="L213" i="4" s="1"/>
  <c r="AI216" i="1"/>
  <c r="L214" i="4" s="1"/>
  <c r="AI217" i="1"/>
  <c r="L215" i="4" s="1"/>
  <c r="AI218" i="1"/>
  <c r="L216" i="4" s="1"/>
  <c r="AI219" i="1"/>
  <c r="L217" i="4" s="1"/>
  <c r="AI220" i="1"/>
  <c r="L218" i="4" s="1"/>
  <c r="AI221" i="1"/>
  <c r="L219" i="4" s="1"/>
  <c r="AI222" i="1"/>
  <c r="L220" i="4" s="1"/>
  <c r="AI223" i="1"/>
  <c r="L221" i="4" s="1"/>
  <c r="AI224" i="1"/>
  <c r="L222" i="4" s="1"/>
  <c r="AI226" i="1"/>
  <c r="L224" i="4" s="1"/>
  <c r="AI227" i="1"/>
  <c r="L225" i="4" s="1"/>
  <c r="AI228" i="1"/>
  <c r="L226" i="4" s="1"/>
  <c r="AI229" i="1"/>
  <c r="L227" i="4" s="1"/>
  <c r="AI230" i="1"/>
  <c r="L228" i="4" s="1"/>
  <c r="AI231" i="1"/>
  <c r="L229" i="4" s="1"/>
  <c r="AI232" i="1"/>
  <c r="L230" i="4" s="1"/>
  <c r="AI233" i="1"/>
  <c r="L231" i="4" s="1"/>
  <c r="AI234" i="1"/>
  <c r="L232" i="4" s="1"/>
  <c r="AI235" i="1"/>
  <c r="L233" i="4" s="1"/>
  <c r="AI236" i="1"/>
  <c r="L234" i="4" s="1"/>
  <c r="AI238" i="1"/>
  <c r="L236" i="4" s="1"/>
  <c r="AI239" i="1"/>
  <c r="L237" i="4" s="1"/>
  <c r="AI240" i="1"/>
  <c r="L238" i="4" s="1"/>
  <c r="AI241" i="1"/>
  <c r="L239" i="4" s="1"/>
  <c r="AI242" i="1"/>
  <c r="L240" i="4" s="1"/>
  <c r="AI243" i="1"/>
  <c r="L241" i="4" s="1"/>
  <c r="AI244" i="1"/>
  <c r="L242" i="4" s="1"/>
  <c r="AI245" i="1"/>
  <c r="L243" i="4" s="1"/>
  <c r="AI246" i="1"/>
  <c r="L244" i="4" s="1"/>
  <c r="AI247" i="1"/>
  <c r="L245" i="4" s="1"/>
  <c r="AI248" i="1"/>
  <c r="L246" i="4" s="1"/>
  <c r="AI250" i="1"/>
  <c r="L248" i="4" s="1"/>
  <c r="AI251" i="1"/>
  <c r="L249" i="4" s="1"/>
  <c r="AI252" i="1"/>
  <c r="L250" i="4" s="1"/>
  <c r="AI253" i="1"/>
  <c r="L251" i="4" s="1"/>
  <c r="AI254" i="1"/>
  <c r="L252" i="4" s="1"/>
  <c r="AI255" i="1"/>
  <c r="L253" i="4" s="1"/>
  <c r="AI256" i="1"/>
  <c r="L254" i="4" s="1"/>
  <c r="AI257" i="1"/>
  <c r="L255" i="4" s="1"/>
  <c r="AI258" i="1"/>
  <c r="L256" i="4" s="1"/>
  <c r="AI259" i="1"/>
  <c r="L257" i="4" s="1"/>
  <c r="AI260" i="1"/>
  <c r="L258" i="4" s="1"/>
  <c r="AI262" i="1"/>
  <c r="L260" i="4" s="1"/>
  <c r="AI263" i="1"/>
  <c r="L261" i="4" s="1"/>
  <c r="AI264" i="1"/>
  <c r="L262" i="4" s="1"/>
  <c r="AI265" i="1"/>
  <c r="L263" i="4" s="1"/>
  <c r="AI266" i="1"/>
  <c r="L264" i="4" s="1"/>
  <c r="AI267" i="1"/>
  <c r="L265" i="4" s="1"/>
  <c r="AI268" i="1"/>
  <c r="L266" i="4" s="1"/>
  <c r="AI269" i="1"/>
  <c r="L267" i="4" s="1"/>
  <c r="AI270" i="1"/>
  <c r="L268" i="4" s="1"/>
  <c r="AI271" i="1"/>
  <c r="L269" i="4" s="1"/>
  <c r="AI272" i="1"/>
  <c r="L270" i="4" s="1"/>
  <c r="AI274" i="1"/>
  <c r="L272" i="4" s="1"/>
  <c r="AI275" i="1"/>
  <c r="L273" i="4" s="1"/>
  <c r="AI276" i="1"/>
  <c r="L274" i="4" s="1"/>
  <c r="AI277" i="1"/>
  <c r="L275" i="4" s="1"/>
  <c r="AI278" i="1"/>
  <c r="L276" i="4" s="1"/>
  <c r="AI279" i="1"/>
  <c r="L277" i="4" s="1"/>
  <c r="AI280" i="1"/>
  <c r="L278" i="4" s="1"/>
  <c r="AI281" i="1"/>
  <c r="L279" i="4" s="1"/>
  <c r="AI282" i="1"/>
  <c r="L280" i="4" s="1"/>
  <c r="AI283" i="1"/>
  <c r="L281" i="4" s="1"/>
  <c r="AI284" i="1"/>
  <c r="L282" i="4" s="1"/>
  <c r="AI286" i="1"/>
  <c r="L284" i="4" s="1"/>
  <c r="AI287" i="1"/>
  <c r="L285" i="4" s="1"/>
  <c r="AI288" i="1"/>
  <c r="L286" i="4" s="1"/>
  <c r="AI289" i="1"/>
  <c r="L287" i="4" s="1"/>
  <c r="AI290" i="1"/>
  <c r="L288" i="4" s="1"/>
  <c r="AI291" i="1"/>
  <c r="L289" i="4" s="1"/>
  <c r="AI292" i="1"/>
  <c r="L290" i="4" s="1"/>
  <c r="AI293" i="1"/>
  <c r="L291" i="4" s="1"/>
  <c r="AI294" i="1"/>
  <c r="L292" i="4" s="1"/>
  <c r="AI295" i="1"/>
  <c r="L293" i="4" s="1"/>
  <c r="AI296" i="1"/>
  <c r="L294" i="4" s="1"/>
  <c r="AI298" i="1"/>
  <c r="L296" i="4" s="1"/>
  <c r="AI299" i="1"/>
  <c r="L297" i="4" s="1"/>
  <c r="AI300" i="1"/>
  <c r="L298" i="4" s="1"/>
  <c r="AI301" i="1"/>
  <c r="L299" i="4" s="1"/>
  <c r="AI302" i="1"/>
  <c r="L300" i="4" s="1"/>
  <c r="AI303" i="1"/>
  <c r="L301" i="4" s="1"/>
  <c r="AI304" i="1"/>
  <c r="L302" i="4" s="1"/>
  <c r="AI305" i="1"/>
  <c r="L303" i="4" s="1"/>
  <c r="AI306" i="1"/>
  <c r="L304" i="4" s="1"/>
  <c r="AI307" i="1"/>
  <c r="L305" i="4" s="1"/>
  <c r="AI308" i="1"/>
  <c r="L306" i="4" s="1"/>
  <c r="AI310" i="1"/>
  <c r="L308" i="4" s="1"/>
  <c r="AI311" i="1"/>
  <c r="L309" i="4" s="1"/>
  <c r="AI312" i="1"/>
  <c r="L310" i="4" s="1"/>
  <c r="AI313" i="1"/>
  <c r="L311" i="4" s="1"/>
  <c r="AI314" i="1"/>
  <c r="L312" i="4" s="1"/>
  <c r="AI315" i="1"/>
  <c r="L313" i="4" s="1"/>
  <c r="AI316" i="1"/>
  <c r="L314" i="4" s="1"/>
  <c r="AI317" i="1"/>
  <c r="L315" i="4" s="1"/>
  <c r="AI318" i="1"/>
  <c r="L316" i="4" s="1"/>
  <c r="AI319" i="1"/>
  <c r="L317" i="4" s="1"/>
  <c r="AI320" i="1"/>
  <c r="L318" i="4" s="1"/>
  <c r="AI322" i="1"/>
  <c r="L320" i="4" s="1"/>
  <c r="AI323" i="1"/>
  <c r="L321" i="4" s="1"/>
  <c r="AI324" i="1"/>
  <c r="L322" i="4" s="1"/>
  <c r="AI325" i="1"/>
  <c r="L323" i="4" s="1"/>
  <c r="AI326" i="1"/>
  <c r="L324" i="4" s="1"/>
  <c r="AI327" i="1"/>
  <c r="L325" i="4" s="1"/>
  <c r="AI328" i="1"/>
  <c r="L326" i="4" s="1"/>
  <c r="AI329" i="1"/>
  <c r="L327" i="4" s="1"/>
  <c r="AI330" i="1"/>
  <c r="L328" i="4" s="1"/>
  <c r="AI331" i="1"/>
  <c r="L329" i="4" s="1"/>
  <c r="AI332" i="1"/>
  <c r="L330" i="4" s="1"/>
  <c r="AI334" i="1"/>
  <c r="L332" i="4" s="1"/>
  <c r="AI335" i="1"/>
  <c r="L333" i="4" s="1"/>
  <c r="AI336" i="1"/>
  <c r="L334" i="4" s="1"/>
  <c r="AI337" i="1"/>
  <c r="L335" i="4" s="1"/>
  <c r="AI338" i="1"/>
  <c r="L336" i="4" s="1"/>
  <c r="AI339" i="1"/>
  <c r="L337" i="4" s="1"/>
  <c r="AI340" i="1"/>
  <c r="L338" i="4" s="1"/>
  <c r="AI341" i="1"/>
  <c r="L339" i="4" s="1"/>
  <c r="AI342" i="1"/>
  <c r="L340" i="4" s="1"/>
  <c r="AI343" i="1"/>
  <c r="L341" i="4" s="1"/>
  <c r="AI344" i="1"/>
  <c r="L342" i="4" s="1"/>
  <c r="AI346" i="1"/>
  <c r="L344" i="4" s="1"/>
  <c r="AI347" i="1"/>
  <c r="L345" i="4" s="1"/>
  <c r="AI348" i="1"/>
  <c r="L346" i="4" s="1"/>
  <c r="AI349" i="1"/>
  <c r="L347" i="4" s="1"/>
  <c r="AI350" i="1"/>
  <c r="L348" i="4" s="1"/>
  <c r="AI351" i="1"/>
  <c r="L349" i="4" s="1"/>
  <c r="AI352" i="1"/>
  <c r="L350" i="4" s="1"/>
  <c r="AI353" i="1"/>
  <c r="L351" i="4" s="1"/>
  <c r="AI354" i="1"/>
  <c r="L352" i="4" s="1"/>
  <c r="AI355" i="1"/>
  <c r="L353" i="4" s="1"/>
  <c r="AI356" i="1"/>
  <c r="L354" i="4" s="1"/>
  <c r="AI358" i="1"/>
  <c r="L356" i="4" s="1"/>
  <c r="AI359" i="1"/>
  <c r="L357" i="4" s="1"/>
  <c r="AI360" i="1"/>
  <c r="L358" i="4" s="1"/>
  <c r="AI361" i="1"/>
  <c r="L359" i="4" s="1"/>
  <c r="AI362" i="1"/>
  <c r="L360" i="4" s="1"/>
  <c r="AI363" i="1"/>
  <c r="L361" i="4" s="1"/>
  <c r="AI364" i="1"/>
  <c r="L362" i="4" s="1"/>
  <c r="AI365" i="1"/>
  <c r="L363" i="4" s="1"/>
  <c r="AI366" i="1"/>
  <c r="L364" i="4" s="1"/>
  <c r="AI367" i="1"/>
  <c r="L365" i="4" s="1"/>
  <c r="AI368" i="1"/>
  <c r="L366" i="4" s="1"/>
  <c r="W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V3" i="1"/>
  <c r="A8" i="22" l="1"/>
  <c r="A7" i="22"/>
  <c r="A6" i="22"/>
  <c r="A5" i="22"/>
  <c r="A3" i="22" a="1"/>
  <c r="C3" i="22" s="1"/>
  <c r="JH3" i="22" l="1"/>
  <c r="FV3" i="22"/>
  <c r="CB3" i="22"/>
  <c r="JF3" i="22"/>
  <c r="FU3" i="22"/>
  <c r="AZ3" i="22"/>
  <c r="MS3" i="22"/>
  <c r="JE3" i="22"/>
  <c r="FR3" i="22"/>
  <c r="AX3" i="22"/>
  <c r="ML3" i="22"/>
  <c r="JD3" i="22"/>
  <c r="FM3" i="22"/>
  <c r="AW3" i="22"/>
  <c r="MK3" i="22"/>
  <c r="JB3" i="22"/>
  <c r="FJ3" i="22"/>
  <c r="AT3" i="22"/>
  <c r="LT3" i="22"/>
  <c r="IZ3" i="22"/>
  <c r="FI3" i="22"/>
  <c r="AP3" i="22"/>
  <c r="LR3" i="22"/>
  <c r="IG3" i="22"/>
  <c r="EH3" i="22"/>
  <c r="U3" i="22"/>
  <c r="LQ3" i="22"/>
  <c r="ID3" i="22"/>
  <c r="EG3" i="22"/>
  <c r="T3" i="22"/>
  <c r="LP3" i="22"/>
  <c r="HZ3" i="22"/>
  <c r="EF3" i="22"/>
  <c r="Q3" i="22"/>
  <c r="LN3" i="22"/>
  <c r="HY3" i="22"/>
  <c r="DL3" i="22"/>
  <c r="M3" i="22"/>
  <c r="LL3" i="22"/>
  <c r="HV3" i="22"/>
  <c r="DJ3" i="22"/>
  <c r="L3" i="22"/>
  <c r="LH3" i="22"/>
  <c r="GV3" i="22"/>
  <c r="DI3" i="22"/>
  <c r="KP3" i="22"/>
  <c r="CF3" i="22"/>
  <c r="GT3" i="22"/>
  <c r="DF3" i="22"/>
  <c r="KL3" i="22"/>
  <c r="GS3" i="22"/>
  <c r="DB3" i="22"/>
  <c r="KK3" i="22"/>
  <c r="GR3" i="22"/>
  <c r="JI3" i="22"/>
  <c r="GP3" i="22"/>
  <c r="CC3" i="22"/>
  <c r="FN3" i="22"/>
  <c r="DA3" i="22"/>
  <c r="P3" i="22"/>
  <c r="MR3" i="22"/>
  <c r="KH3" i="22"/>
  <c r="HU3" i="22"/>
  <c r="EO3" i="22"/>
  <c r="BY3" i="22"/>
  <c r="MP3" i="22"/>
  <c r="KG3" i="22"/>
  <c r="HR3" i="22"/>
  <c r="EN3" i="22"/>
  <c r="BX3" i="22"/>
  <c r="MO3" i="22"/>
  <c r="KD3" i="22"/>
  <c r="GZ3" i="22"/>
  <c r="EK3" i="22"/>
  <c r="BV3" i="22"/>
  <c r="MM3" i="22"/>
  <c r="KC3" i="22"/>
  <c r="GW3" i="22"/>
  <c r="EJ3" i="22"/>
  <c r="BA3" i="22"/>
  <c r="MB3" i="22"/>
  <c r="JQ3" i="22"/>
  <c r="HI3" i="22"/>
  <c r="EZ3" i="22"/>
  <c r="DR3" i="22"/>
  <c r="CO3" i="22"/>
  <c r="BH3" i="22"/>
  <c r="AD3" i="22"/>
  <c r="MY3" i="22"/>
  <c r="LY3" i="22"/>
  <c r="KV3" i="22"/>
  <c r="JP3" i="22"/>
  <c r="IK3" i="22"/>
  <c r="HE3" i="22"/>
  <c r="FZ3" i="22"/>
  <c r="EW3" i="22"/>
  <c r="DP3" i="22"/>
  <c r="CN3" i="22"/>
  <c r="BF3" i="22"/>
  <c r="AC3" i="22"/>
  <c r="LX3" i="22"/>
  <c r="KT3" i="22"/>
  <c r="JM3" i="22"/>
  <c r="HD3" i="22"/>
  <c r="ES3" i="22"/>
  <c r="DN3" i="22"/>
  <c r="CK3" i="22"/>
  <c r="BD3" i="22"/>
  <c r="AB3" i="22"/>
  <c r="CX3" i="22"/>
  <c r="BU3" i="22"/>
  <c r="AO3" i="22"/>
  <c r="J3" i="22"/>
  <c r="MJ3" i="22"/>
  <c r="LF3" i="22"/>
  <c r="KB3" i="22"/>
  <c r="IV3" i="22"/>
  <c r="HQ3" i="22"/>
  <c r="GN3" i="22"/>
  <c r="FF3" i="22"/>
  <c r="ED3" i="22"/>
  <c r="CW3" i="22"/>
  <c r="BT3" i="22"/>
  <c r="AL3" i="22"/>
  <c r="I3" i="22"/>
  <c r="MI3" i="22"/>
  <c r="LD3" i="22"/>
  <c r="JZ3" i="22"/>
  <c r="IT3" i="22"/>
  <c r="HP3" i="22"/>
  <c r="GJ3" i="22"/>
  <c r="FE3" i="22"/>
  <c r="EB3" i="22"/>
  <c r="CT3" i="22"/>
  <c r="BR3" i="22"/>
  <c r="AK3" i="22"/>
  <c r="H3" i="22"/>
  <c r="NC3" i="22"/>
  <c r="MH3" i="22"/>
  <c r="LB3" i="22"/>
  <c r="JY3" i="22"/>
  <c r="IR3" i="22"/>
  <c r="HN3" i="22"/>
  <c r="GH3" i="22"/>
  <c r="FD3" i="22"/>
  <c r="DX3" i="22"/>
  <c r="CS3" i="22"/>
  <c r="BP3" i="22"/>
  <c r="AH3" i="22"/>
  <c r="F3" i="22"/>
  <c r="NB3" i="22"/>
  <c r="MF3" i="22"/>
  <c r="KZ3" i="22"/>
  <c r="JX3" i="22"/>
  <c r="IP3" i="22"/>
  <c r="HM3" i="22"/>
  <c r="GF3" i="22"/>
  <c r="FB3" i="22"/>
  <c r="DV3" i="22"/>
  <c r="CR3" i="22"/>
  <c r="BL3" i="22"/>
  <c r="AG3" i="22"/>
  <c r="D3" i="22"/>
  <c r="NA3" i="22"/>
  <c r="MC3" i="22"/>
  <c r="KX3" i="22"/>
  <c r="JU3" i="22"/>
  <c r="IN3" i="22"/>
  <c r="HL3" i="22"/>
  <c r="GD3" i="22"/>
  <c r="FA3" i="22"/>
  <c r="DT3" i="22"/>
  <c r="CP3" i="22"/>
  <c r="BJ3" i="22"/>
  <c r="AF3" i="22"/>
  <c r="MZ3" i="22"/>
  <c r="KW3" i="22"/>
  <c r="IL3" i="22"/>
  <c r="GB3" i="22"/>
  <c r="MX3" i="22"/>
  <c r="IJ3" i="22"/>
  <c r="FY3" i="22"/>
  <c r="MV3" i="22"/>
  <c r="LU3" i="22"/>
  <c r="KS3" i="22"/>
  <c r="JL3" i="22"/>
  <c r="IH3" i="22"/>
  <c r="HA3" i="22"/>
  <c r="FX3" i="22"/>
  <c r="ER3" i="22"/>
  <c r="DM3" i="22"/>
  <c r="CG3" i="22"/>
  <c r="BB3" i="22"/>
  <c r="Y3" i="22"/>
  <c r="MW3" i="22"/>
  <c r="MG3" i="22"/>
  <c r="LM3" i="22"/>
  <c r="KR3" i="22"/>
  <c r="JV3" i="22"/>
  <c r="JA3" i="22"/>
  <c r="IF3" i="22"/>
  <c r="HJ3" i="22"/>
  <c r="GO3" i="22"/>
  <c r="FT3" i="22"/>
  <c r="EX3" i="22"/>
  <c r="EC3" i="22"/>
  <c r="DH3" i="22"/>
  <c r="CL3" i="22"/>
  <c r="BQ3" i="22"/>
  <c r="AV3" i="22"/>
  <c r="Z3" i="22"/>
  <c r="E3" i="22"/>
  <c r="MU3" i="22"/>
  <c r="ME3" i="22"/>
  <c r="LJ3" i="22"/>
  <c r="KO3" i="22"/>
  <c r="JT3" i="22"/>
  <c r="IX3" i="22"/>
  <c r="IC3" i="22"/>
  <c r="HH3" i="22"/>
  <c r="GL3" i="22"/>
  <c r="FQ3" i="22"/>
  <c r="EV3" i="22"/>
  <c r="DZ3" i="22"/>
  <c r="DE3" i="22"/>
  <c r="CJ3" i="22"/>
  <c r="BN3" i="22"/>
  <c r="AS3" i="22"/>
  <c r="X3" i="22"/>
  <c r="B3" i="22"/>
  <c r="MT3" i="22"/>
  <c r="MD3" i="22"/>
  <c r="LI3" i="22"/>
  <c r="KN3" i="22"/>
  <c r="JR3" i="22"/>
  <c r="IW3" i="22"/>
  <c r="IB3" i="22"/>
  <c r="HF3" i="22"/>
  <c r="GK3" i="22"/>
  <c r="FP3" i="22"/>
  <c r="ET3" i="22"/>
  <c r="DY3" i="22"/>
  <c r="DD3" i="22"/>
  <c r="CH3" i="22"/>
  <c r="BM3" i="22"/>
  <c r="AR3" i="22"/>
  <c r="V3" i="22"/>
  <c r="A3" i="22"/>
  <c r="MQ3" i="22"/>
  <c r="LZ3" i="22"/>
  <c r="LE3" i="22"/>
  <c r="KJ3" i="22"/>
  <c r="JN3" i="22"/>
  <c r="IS3" i="22"/>
  <c r="HX3" i="22"/>
  <c r="HB3" i="22"/>
  <c r="GG3" i="22"/>
  <c r="FL3" i="22"/>
  <c r="EP3" i="22"/>
  <c r="DU3" i="22"/>
  <c r="CZ3" i="22"/>
  <c r="CD3" i="22"/>
  <c r="BI3" i="22"/>
  <c r="AN3" i="22"/>
  <c r="R3" i="22"/>
  <c r="MN3" i="22"/>
  <c r="LV3" i="22"/>
  <c r="LA3" i="22"/>
  <c r="KF3" i="22"/>
  <c r="JJ3" i="22"/>
  <c r="IO3" i="22"/>
  <c r="HT3" i="22"/>
  <c r="GX3" i="22"/>
  <c r="GC3" i="22"/>
  <c r="FH3" i="22"/>
  <c r="EL3" i="22"/>
  <c r="DQ3" i="22"/>
  <c r="CV3" i="22"/>
  <c r="BZ3" i="22"/>
  <c r="BE3" i="22"/>
  <c r="AJ3" i="22"/>
  <c r="N3" i="22"/>
  <c r="MA3" i="22"/>
  <c r="LW3" i="22"/>
  <c r="LS3" i="22"/>
  <c r="LO3" i="22"/>
  <c r="LK3" i="22"/>
  <c r="LG3" i="22"/>
  <c r="LC3" i="22"/>
  <c r="KY3" i="22"/>
  <c r="KU3" i="22"/>
  <c r="KQ3" i="22"/>
  <c r="KM3" i="22"/>
  <c r="KI3" i="22"/>
  <c r="KE3" i="22"/>
  <c r="KA3" i="22"/>
  <c r="JW3" i="22"/>
  <c r="JS3" i="22"/>
  <c r="JO3" i="22"/>
  <c r="JK3" i="22"/>
  <c r="JG3" i="22"/>
  <c r="JC3" i="22"/>
  <c r="IY3" i="22"/>
  <c r="IU3" i="22"/>
  <c r="IQ3" i="22"/>
  <c r="IM3" i="22"/>
  <c r="II3" i="22"/>
  <c r="IE3" i="22"/>
  <c r="IA3" i="22"/>
  <c r="HW3" i="22"/>
  <c r="HS3" i="22"/>
  <c r="HO3" i="22"/>
  <c r="HK3" i="22"/>
  <c r="HG3" i="22"/>
  <c r="HC3" i="22"/>
  <c r="GY3" i="22"/>
  <c r="GU3" i="22"/>
  <c r="GQ3" i="22"/>
  <c r="GM3" i="22"/>
  <c r="GI3" i="22"/>
  <c r="GE3" i="22"/>
  <c r="GA3" i="22"/>
  <c r="FW3" i="22"/>
  <c r="FS3" i="22"/>
  <c r="FO3" i="22"/>
  <c r="FK3" i="22"/>
  <c r="FG3" i="22"/>
  <c r="FC3" i="22"/>
  <c r="EY3" i="22"/>
  <c r="EU3" i="22"/>
  <c r="EQ3" i="22"/>
  <c r="EM3" i="22"/>
  <c r="EI3" i="22"/>
  <c r="EE3" i="22"/>
  <c r="EA3" i="22"/>
  <c r="DW3" i="22"/>
  <c r="DS3" i="22"/>
  <c r="DO3" i="22"/>
  <c r="DK3" i="22"/>
  <c r="DG3" i="22"/>
  <c r="DC3" i="22"/>
  <c r="CY3" i="22"/>
  <c r="CU3" i="22"/>
  <c r="CQ3" i="22"/>
  <c r="CM3" i="22"/>
  <c r="CI3" i="22"/>
  <c r="CE3" i="22"/>
  <c r="CA3" i="22"/>
  <c r="BW3" i="22"/>
  <c r="BS3" i="22"/>
  <c r="BO3" i="22"/>
  <c r="BK3" i="22"/>
  <c r="BG3" i="22"/>
  <c r="BC3" i="22"/>
  <c r="AY3" i="22"/>
  <c r="AU3" i="22"/>
  <c r="AQ3" i="22"/>
  <c r="AM3" i="22"/>
  <c r="AI3" i="22"/>
  <c r="AE3" i="22"/>
  <c r="AA3" i="22"/>
  <c r="W3" i="22"/>
  <c r="S3" i="22"/>
  <c r="O3" i="22"/>
  <c r="K3" i="22"/>
  <c r="G3" i="22"/>
  <c r="C3" i="1"/>
  <c r="D3" i="1"/>
  <c r="E3" i="1"/>
  <c r="F3" i="1" l="1"/>
  <c r="I3" i="1" s="1"/>
  <c r="B4" i="1"/>
  <c r="A1" i="4"/>
  <c r="J3" i="1" l="1"/>
  <c r="K3" i="1" s="1"/>
  <c r="B1" i="4"/>
  <c r="C4" i="1"/>
  <c r="E4" i="1"/>
  <c r="B5" i="1"/>
  <c r="D4" i="1"/>
  <c r="A2" i="4"/>
  <c r="L3" i="1" l="1"/>
  <c r="Q3" i="1" s="1"/>
  <c r="O3" i="1"/>
  <c r="T3" i="1" s="1"/>
  <c r="N3" i="1"/>
  <c r="S3" i="1" s="1"/>
  <c r="M3" i="1"/>
  <c r="R3" i="1" s="1"/>
  <c r="AB3" i="1"/>
  <c r="AG3" i="1" s="1"/>
  <c r="X3" i="1"/>
  <c r="AA3" i="1"/>
  <c r="AF3" i="1" s="1"/>
  <c r="Y3" i="1"/>
  <c r="AD3" i="1" s="1"/>
  <c r="Z3" i="1"/>
  <c r="AH3" i="1" s="1"/>
  <c r="P3" i="1"/>
  <c r="U3" i="1" s="1"/>
  <c r="F4" i="1"/>
  <c r="I4" i="1" s="1"/>
  <c r="V4" i="1" s="1"/>
  <c r="W4" i="1" s="1"/>
  <c r="C5" i="1"/>
  <c r="B6" i="1"/>
  <c r="A4" i="4" s="1"/>
  <c r="D5" i="1"/>
  <c r="E5" i="1"/>
  <c r="F5" i="1" s="1"/>
  <c r="I5" i="1" s="1"/>
  <c r="A3" i="4"/>
  <c r="E1" i="4"/>
  <c r="AI9" i="1" l="1"/>
  <c r="L7" i="4" s="1"/>
  <c r="AI21" i="1"/>
  <c r="L19" i="4" s="1"/>
  <c r="AI33" i="1"/>
  <c r="L31" i="4" s="1"/>
  <c r="AI45" i="1"/>
  <c r="L43" i="4" s="1"/>
  <c r="AI57" i="1"/>
  <c r="L55" i="4" s="1"/>
  <c r="AI69" i="1"/>
  <c r="L67" i="4" s="1"/>
  <c r="AI81" i="1"/>
  <c r="L79" i="4" s="1"/>
  <c r="AI93" i="1"/>
  <c r="L91" i="4" s="1"/>
  <c r="AI105" i="1"/>
  <c r="L103" i="4" s="1"/>
  <c r="AI117" i="1"/>
  <c r="L115" i="4" s="1"/>
  <c r="AI129" i="1"/>
  <c r="L127" i="4" s="1"/>
  <c r="AI141" i="1"/>
  <c r="L139" i="4" s="1"/>
  <c r="AI153" i="1"/>
  <c r="L151" i="4" s="1"/>
  <c r="AI165" i="1"/>
  <c r="L163" i="4" s="1"/>
  <c r="AI177" i="1"/>
  <c r="L175" i="4" s="1"/>
  <c r="AI189" i="1"/>
  <c r="L187" i="4" s="1"/>
  <c r="AI201" i="1"/>
  <c r="L199" i="4" s="1"/>
  <c r="AI213" i="1"/>
  <c r="L211" i="4" s="1"/>
  <c r="AI225" i="1"/>
  <c r="L223" i="4" s="1"/>
  <c r="AI237" i="1"/>
  <c r="L235" i="4" s="1"/>
  <c r="AI249" i="1"/>
  <c r="L247" i="4" s="1"/>
  <c r="AI261" i="1"/>
  <c r="L259" i="4" s="1"/>
  <c r="AI273" i="1"/>
  <c r="L271" i="4" s="1"/>
  <c r="AI285" i="1"/>
  <c r="L283" i="4" s="1"/>
  <c r="AI297" i="1"/>
  <c r="L295" i="4" s="1"/>
  <c r="AI309" i="1"/>
  <c r="L307" i="4" s="1"/>
  <c r="AI321" i="1"/>
  <c r="L319" i="4" s="1"/>
  <c r="AI333" i="1"/>
  <c r="L331" i="4" s="1"/>
  <c r="AI345" i="1"/>
  <c r="L343" i="4" s="1"/>
  <c r="AI357" i="1"/>
  <c r="L355" i="4" s="1"/>
  <c r="AI3" i="1"/>
  <c r="AB4" i="1"/>
  <c r="AG4" i="1" s="1"/>
  <c r="Z4" i="1"/>
  <c r="AE4" i="1" s="1"/>
  <c r="AA4" i="1"/>
  <c r="AF4" i="1" s="1"/>
  <c r="X4" i="1"/>
  <c r="AC4" i="1" s="1"/>
  <c r="Y4" i="1"/>
  <c r="AD4" i="1" s="1"/>
  <c r="B2" i="4"/>
  <c r="J4" i="1"/>
  <c r="K4" i="1" s="1"/>
  <c r="J5" i="1"/>
  <c r="K5" i="1" s="1"/>
  <c r="V5" i="1"/>
  <c r="W5" i="1" s="1"/>
  <c r="C6" i="1"/>
  <c r="B7" i="1"/>
  <c r="A5" i="4" s="1"/>
  <c r="D6" i="1"/>
  <c r="E6" i="1"/>
  <c r="F6" i="1" s="1"/>
  <c r="I6" i="1" s="1"/>
  <c r="B4" i="4" s="1"/>
  <c r="B3" i="4"/>
  <c r="C1" i="4"/>
  <c r="G1" i="4"/>
  <c r="D1" i="4"/>
  <c r="F1" i="4"/>
  <c r="P5" i="1" l="1"/>
  <c r="U5" i="1" s="1"/>
  <c r="O5" i="1"/>
  <c r="T5" i="1" s="1"/>
  <c r="M5" i="1"/>
  <c r="R5" i="1" s="1"/>
  <c r="N5" i="1"/>
  <c r="S5" i="1" s="1"/>
  <c r="L5" i="1"/>
  <c r="Q5" i="1" s="1"/>
  <c r="O4" i="1"/>
  <c r="T4" i="1" s="1"/>
  <c r="L4" i="1"/>
  <c r="Q4" i="1" s="1"/>
  <c r="M4" i="1"/>
  <c r="R4" i="1" s="1"/>
  <c r="N4" i="1"/>
  <c r="S4" i="1" s="1"/>
  <c r="AB5" i="1"/>
  <c r="AG5" i="1" s="1"/>
  <c r="Z5" i="1"/>
  <c r="AE5" i="1" s="1"/>
  <c r="AA5" i="1"/>
  <c r="AF5" i="1" s="1"/>
  <c r="X5" i="1"/>
  <c r="AC5" i="1" s="1"/>
  <c r="Y5" i="1"/>
  <c r="AD5" i="1" s="1"/>
  <c r="D2" i="4"/>
  <c r="P4" i="1"/>
  <c r="U4" i="1" s="1"/>
  <c r="G2" i="4" s="1"/>
  <c r="E3" i="4"/>
  <c r="C3" i="4"/>
  <c r="G3" i="4"/>
  <c r="J6" i="1"/>
  <c r="K6" i="1" s="1"/>
  <c r="V6" i="1"/>
  <c r="W6" i="1" s="1"/>
  <c r="C7" i="1"/>
  <c r="B8" i="1"/>
  <c r="D7" i="1"/>
  <c r="E7" i="1"/>
  <c r="F7" i="1" s="1"/>
  <c r="I7" i="1" s="1"/>
  <c r="AB6" i="1" l="1"/>
  <c r="AG6" i="1" s="1"/>
  <c r="G4" i="4" s="1"/>
  <c r="Z6" i="1"/>
  <c r="AE6" i="1" s="1"/>
  <c r="AA6" i="1"/>
  <c r="AF6" i="1" s="1"/>
  <c r="F4" i="4" s="1"/>
  <c r="Y6" i="1"/>
  <c r="AD6" i="1" s="1"/>
  <c r="D4" i="4" s="1"/>
  <c r="X6" i="1"/>
  <c r="AC6" i="1" s="1"/>
  <c r="P6" i="1"/>
  <c r="U6" i="1" s="1"/>
  <c r="O6" i="1"/>
  <c r="T6" i="1" s="1"/>
  <c r="N6" i="1"/>
  <c r="S6" i="1" s="1"/>
  <c r="L6" i="1"/>
  <c r="Q6" i="1" s="1"/>
  <c r="M6" i="1"/>
  <c r="R6" i="1" s="1"/>
  <c r="C2" i="4"/>
  <c r="F2" i="4"/>
  <c r="E2" i="4"/>
  <c r="D3" i="4"/>
  <c r="F3" i="4"/>
  <c r="E4" i="4"/>
  <c r="C4" i="4"/>
  <c r="J7" i="1"/>
  <c r="K7" i="1" s="1"/>
  <c r="V7" i="1"/>
  <c r="W7" i="1" s="1"/>
  <c r="C8" i="1"/>
  <c r="E8" i="1"/>
  <c r="F8" i="1" s="1"/>
  <c r="I8" i="1" s="1"/>
  <c r="B9" i="1"/>
  <c r="D8" i="1"/>
  <c r="A6" i="4"/>
  <c r="B5" i="4"/>
  <c r="P7" i="1" l="1"/>
  <c r="U7" i="1" s="1"/>
  <c r="O7" i="1"/>
  <c r="T7" i="1" s="1"/>
  <c r="L7" i="1"/>
  <c r="Q7" i="1" s="1"/>
  <c r="M7" i="1"/>
  <c r="R7" i="1" s="1"/>
  <c r="N7" i="1"/>
  <c r="S7" i="1" s="1"/>
  <c r="AB7" i="1"/>
  <c r="AG7" i="1" s="1"/>
  <c r="Z7" i="1"/>
  <c r="AE7" i="1" s="1"/>
  <c r="AA7" i="1"/>
  <c r="AF7" i="1" s="1"/>
  <c r="X7" i="1"/>
  <c r="AC7" i="1" s="1"/>
  <c r="Y7" i="1"/>
  <c r="AD7" i="1" s="1"/>
  <c r="C9" i="1"/>
  <c r="B10" i="1"/>
  <c r="D9" i="1"/>
  <c r="E9" i="1"/>
  <c r="F9" i="1" s="1"/>
  <c r="I9" i="1" s="1"/>
  <c r="V8" i="1"/>
  <c r="W8" i="1" s="1"/>
  <c r="J8" i="1"/>
  <c r="K8" i="1" s="1"/>
  <c r="F5" i="4"/>
  <c r="B6" i="4"/>
  <c r="A7" i="4"/>
  <c r="P8" i="1" l="1"/>
  <c r="U8" i="1" s="1"/>
  <c r="O8" i="1"/>
  <c r="T8" i="1" s="1"/>
  <c r="L8" i="1"/>
  <c r="Q8" i="1" s="1"/>
  <c r="M8" i="1"/>
  <c r="R8" i="1" s="1"/>
  <c r="N8" i="1"/>
  <c r="S8" i="1" s="1"/>
  <c r="AB8" i="1"/>
  <c r="AG8" i="1" s="1"/>
  <c r="Z8" i="1"/>
  <c r="AE8" i="1" s="1"/>
  <c r="AA8" i="1"/>
  <c r="AF8" i="1" s="1"/>
  <c r="X8" i="1"/>
  <c r="AC8" i="1" s="1"/>
  <c r="Y8" i="1"/>
  <c r="AD8" i="1" s="1"/>
  <c r="E5" i="4"/>
  <c r="D5" i="4"/>
  <c r="C5" i="4"/>
  <c r="G5" i="4"/>
  <c r="J9" i="1"/>
  <c r="K9" i="1" s="1"/>
  <c r="V9" i="1"/>
  <c r="W9" i="1" s="1"/>
  <c r="C10" i="1"/>
  <c r="B11" i="1"/>
  <c r="D10" i="1"/>
  <c r="E10" i="1"/>
  <c r="F10" i="1" s="1"/>
  <c r="I10" i="1" s="1"/>
  <c r="G6" i="4"/>
  <c r="B7" i="4"/>
  <c r="A8" i="4"/>
  <c r="AB9" i="1" l="1"/>
  <c r="AG9" i="1" s="1"/>
  <c r="Z9" i="1"/>
  <c r="AE9" i="1" s="1"/>
  <c r="AA9" i="1"/>
  <c r="AF9" i="1" s="1"/>
  <c r="X9" i="1"/>
  <c r="AC9" i="1" s="1"/>
  <c r="Y9" i="1"/>
  <c r="AD9" i="1" s="1"/>
  <c r="P9" i="1"/>
  <c r="U9" i="1" s="1"/>
  <c r="O9" i="1"/>
  <c r="T9" i="1" s="1"/>
  <c r="M9" i="1"/>
  <c r="R9" i="1" s="1"/>
  <c r="N9" i="1"/>
  <c r="S9" i="1" s="1"/>
  <c r="L9" i="1"/>
  <c r="Q9" i="1" s="1"/>
  <c r="D6" i="4"/>
  <c r="C6" i="4"/>
  <c r="E6" i="4"/>
  <c r="F6" i="4"/>
  <c r="J10" i="1"/>
  <c r="K10" i="1" s="1"/>
  <c r="V10" i="1"/>
  <c r="W10" i="1" s="1"/>
  <c r="C11" i="1"/>
  <c r="B12" i="1"/>
  <c r="E11" i="1"/>
  <c r="F11" i="1" s="1"/>
  <c r="I11" i="1" s="1"/>
  <c r="D11" i="1"/>
  <c r="F7" i="4"/>
  <c r="D7" i="4"/>
  <c r="E7" i="4"/>
  <c r="C7" i="4"/>
  <c r="A9" i="4"/>
  <c r="B8" i="4"/>
  <c r="G7" i="4"/>
  <c r="AB10" i="1" l="1"/>
  <c r="AG10" i="1" s="1"/>
  <c r="Z10" i="1"/>
  <c r="AE10" i="1" s="1"/>
  <c r="AA10" i="1"/>
  <c r="AF10" i="1" s="1"/>
  <c r="X10" i="1"/>
  <c r="AC10" i="1" s="1"/>
  <c r="Y10" i="1"/>
  <c r="AD10" i="1" s="1"/>
  <c r="P10" i="1"/>
  <c r="U10" i="1" s="1"/>
  <c r="O10" i="1"/>
  <c r="T10" i="1" s="1"/>
  <c r="N10" i="1"/>
  <c r="S10" i="1" s="1"/>
  <c r="L10" i="1"/>
  <c r="Q10" i="1" s="1"/>
  <c r="M10" i="1"/>
  <c r="R10" i="1" s="1"/>
  <c r="J11" i="1"/>
  <c r="K11" i="1" s="1"/>
  <c r="V11" i="1"/>
  <c r="W11" i="1" s="1"/>
  <c r="C12" i="1"/>
  <c r="E12" i="1"/>
  <c r="F12" i="1" s="1"/>
  <c r="I12" i="1" s="1"/>
  <c r="B13" i="1"/>
  <c r="D12" i="1"/>
  <c r="A10" i="4"/>
  <c r="B9" i="4"/>
  <c r="AB11" i="1" l="1"/>
  <c r="AG11" i="1" s="1"/>
  <c r="Z11" i="1"/>
  <c r="AE11" i="1" s="1"/>
  <c r="AA11" i="1"/>
  <c r="AF11" i="1" s="1"/>
  <c r="X11" i="1"/>
  <c r="AC11" i="1" s="1"/>
  <c r="Y11" i="1"/>
  <c r="AD11" i="1" s="1"/>
  <c r="P11" i="1"/>
  <c r="U11" i="1" s="1"/>
  <c r="O11" i="1"/>
  <c r="T11" i="1" s="1"/>
  <c r="L11" i="1"/>
  <c r="Q11" i="1" s="1"/>
  <c r="M11" i="1"/>
  <c r="R11" i="1" s="1"/>
  <c r="N11" i="1"/>
  <c r="S11" i="1" s="1"/>
  <c r="D8" i="4"/>
  <c r="C8" i="4"/>
  <c r="G8" i="4"/>
  <c r="E8" i="4"/>
  <c r="F8" i="4"/>
  <c r="C13" i="1"/>
  <c r="B14" i="1"/>
  <c r="D13" i="1"/>
  <c r="E13" i="1"/>
  <c r="F13" i="1" s="1"/>
  <c r="I13" i="1" s="1"/>
  <c r="G9" i="4"/>
  <c r="V12" i="1"/>
  <c r="W12" i="1" s="1"/>
  <c r="J12" i="1"/>
  <c r="K12" i="1" s="1"/>
  <c r="B10" i="4"/>
  <c r="A11" i="4"/>
  <c r="P12" i="1" l="1"/>
  <c r="U12" i="1" s="1"/>
  <c r="O12" i="1"/>
  <c r="T12" i="1" s="1"/>
  <c r="L12" i="1"/>
  <c r="Q12" i="1" s="1"/>
  <c r="M12" i="1"/>
  <c r="R12" i="1" s="1"/>
  <c r="N12" i="1"/>
  <c r="S12" i="1" s="1"/>
  <c r="AB12" i="1"/>
  <c r="AG12" i="1" s="1"/>
  <c r="Z12" i="1"/>
  <c r="AE12" i="1" s="1"/>
  <c r="AA12" i="1"/>
  <c r="AF12" i="1" s="1"/>
  <c r="F10" i="4" s="1"/>
  <c r="X12" i="1"/>
  <c r="AC12" i="1" s="1"/>
  <c r="Y12" i="1"/>
  <c r="AD12" i="1" s="1"/>
  <c r="C9" i="4"/>
  <c r="D9" i="4"/>
  <c r="F9" i="4"/>
  <c r="E9" i="4"/>
  <c r="J13" i="1"/>
  <c r="K13" i="1" s="1"/>
  <c r="V13" i="1"/>
  <c r="W13" i="1" s="1"/>
  <c r="E10" i="4"/>
  <c r="C10" i="4"/>
  <c r="D10" i="4"/>
  <c r="C14" i="1"/>
  <c r="B15" i="1"/>
  <c r="D14" i="1"/>
  <c r="E14" i="1"/>
  <c r="F14" i="1" s="1"/>
  <c r="I14" i="1" s="1"/>
  <c r="A12" i="4"/>
  <c r="B11" i="4"/>
  <c r="G10" i="4"/>
  <c r="P13" i="1" l="1"/>
  <c r="U13" i="1" s="1"/>
  <c r="O13" i="1"/>
  <c r="T13" i="1" s="1"/>
  <c r="M13" i="1"/>
  <c r="R13" i="1" s="1"/>
  <c r="N13" i="1"/>
  <c r="S13" i="1" s="1"/>
  <c r="L13" i="1"/>
  <c r="Q13" i="1" s="1"/>
  <c r="AB13" i="1"/>
  <c r="AG13" i="1" s="1"/>
  <c r="Z13" i="1"/>
  <c r="AE13" i="1" s="1"/>
  <c r="AA13" i="1"/>
  <c r="AF13" i="1" s="1"/>
  <c r="X13" i="1"/>
  <c r="AC13" i="1" s="1"/>
  <c r="Y13" i="1"/>
  <c r="AD13" i="1" s="1"/>
  <c r="J14" i="1"/>
  <c r="K14" i="1" s="1"/>
  <c r="V14" i="1"/>
  <c r="W14" i="1" s="1"/>
  <c r="C15" i="1"/>
  <c r="B16" i="1"/>
  <c r="E15" i="1"/>
  <c r="F15" i="1" s="1"/>
  <c r="I15" i="1" s="1"/>
  <c r="D15" i="1"/>
  <c r="D11" i="4"/>
  <c r="E11" i="4"/>
  <c r="G11" i="4"/>
  <c r="F11" i="4"/>
  <c r="C11" i="4"/>
  <c r="B12" i="4"/>
  <c r="A13" i="4"/>
  <c r="AB14" i="1" l="1"/>
  <c r="AG14" i="1" s="1"/>
  <c r="Z14" i="1"/>
  <c r="AE14" i="1" s="1"/>
  <c r="AA14" i="1"/>
  <c r="AF14" i="1" s="1"/>
  <c r="Y14" i="1"/>
  <c r="AD14" i="1" s="1"/>
  <c r="X14" i="1"/>
  <c r="AC14" i="1" s="1"/>
  <c r="P14" i="1"/>
  <c r="U14" i="1" s="1"/>
  <c r="O14" i="1"/>
  <c r="T14" i="1" s="1"/>
  <c r="N14" i="1"/>
  <c r="S14" i="1" s="1"/>
  <c r="L14" i="1"/>
  <c r="Q14" i="1" s="1"/>
  <c r="M14" i="1"/>
  <c r="R14" i="1" s="1"/>
  <c r="J15" i="1"/>
  <c r="K15" i="1" s="1"/>
  <c r="V15" i="1"/>
  <c r="W15" i="1" s="1"/>
  <c r="G12" i="4"/>
  <c r="C16" i="1"/>
  <c r="E16" i="1"/>
  <c r="F16" i="1" s="1"/>
  <c r="I16" i="1" s="1"/>
  <c r="B17" i="1"/>
  <c r="D16" i="1"/>
  <c r="B13" i="4"/>
  <c r="A14" i="4"/>
  <c r="P15" i="1" l="1"/>
  <c r="U15" i="1" s="1"/>
  <c r="O15" i="1"/>
  <c r="T15" i="1" s="1"/>
  <c r="L15" i="1"/>
  <c r="Q15" i="1" s="1"/>
  <c r="M15" i="1"/>
  <c r="R15" i="1" s="1"/>
  <c r="N15" i="1"/>
  <c r="S15" i="1" s="1"/>
  <c r="AB15" i="1"/>
  <c r="AG15" i="1" s="1"/>
  <c r="Z15" i="1"/>
  <c r="AE15" i="1" s="1"/>
  <c r="AA15" i="1"/>
  <c r="AF15" i="1" s="1"/>
  <c r="F13" i="4" s="1"/>
  <c r="X15" i="1"/>
  <c r="AC15" i="1" s="1"/>
  <c r="Y15" i="1"/>
  <c r="AD15" i="1" s="1"/>
  <c r="F12" i="4"/>
  <c r="E12" i="4"/>
  <c r="D12" i="4"/>
  <c r="C12" i="4"/>
  <c r="C17" i="1"/>
  <c r="B18" i="1"/>
  <c r="D17" i="1"/>
  <c r="E17" i="1"/>
  <c r="F17" i="1" s="1"/>
  <c r="I17" i="1" s="1"/>
  <c r="V16" i="1"/>
  <c r="W16" i="1" s="1"/>
  <c r="J16" i="1"/>
  <c r="K16" i="1" s="1"/>
  <c r="C13" i="4"/>
  <c r="E13" i="4"/>
  <c r="D13" i="4"/>
  <c r="G13" i="4"/>
  <c r="B14" i="4"/>
  <c r="A15" i="4"/>
  <c r="P16" i="1" l="1"/>
  <c r="U16" i="1" s="1"/>
  <c r="O16" i="1"/>
  <c r="T16" i="1" s="1"/>
  <c r="L16" i="1"/>
  <c r="Q16" i="1" s="1"/>
  <c r="M16" i="1"/>
  <c r="R16" i="1" s="1"/>
  <c r="N16" i="1"/>
  <c r="S16" i="1" s="1"/>
  <c r="AB16" i="1"/>
  <c r="AG16" i="1" s="1"/>
  <c r="Z16" i="1"/>
  <c r="AE16" i="1" s="1"/>
  <c r="AA16" i="1"/>
  <c r="AF16" i="1" s="1"/>
  <c r="X16" i="1"/>
  <c r="AC16" i="1" s="1"/>
  <c r="Y16" i="1"/>
  <c r="AD16" i="1" s="1"/>
  <c r="C18" i="1"/>
  <c r="B19" i="1"/>
  <c r="D18" i="1"/>
  <c r="E18" i="1"/>
  <c r="F18" i="1" s="1"/>
  <c r="I18" i="1" s="1"/>
  <c r="J17" i="1"/>
  <c r="K17" i="1" s="1"/>
  <c r="V17" i="1"/>
  <c r="W17" i="1" s="1"/>
  <c r="B15" i="4"/>
  <c r="A16" i="4"/>
  <c r="AB17" i="1" l="1"/>
  <c r="AG17" i="1" s="1"/>
  <c r="Z17" i="1"/>
  <c r="AE17" i="1" s="1"/>
  <c r="AA17" i="1"/>
  <c r="AF17" i="1" s="1"/>
  <c r="X17" i="1"/>
  <c r="AC17" i="1" s="1"/>
  <c r="Y17" i="1"/>
  <c r="AD17" i="1" s="1"/>
  <c r="P17" i="1"/>
  <c r="U17" i="1" s="1"/>
  <c r="O17" i="1"/>
  <c r="T17" i="1" s="1"/>
  <c r="M17" i="1"/>
  <c r="R17" i="1" s="1"/>
  <c r="N17" i="1"/>
  <c r="S17" i="1" s="1"/>
  <c r="L17" i="1"/>
  <c r="Q17" i="1" s="1"/>
  <c r="D14" i="4"/>
  <c r="C14" i="4"/>
  <c r="F14" i="4"/>
  <c r="E14" i="4"/>
  <c r="G14" i="4"/>
  <c r="C19" i="1"/>
  <c r="B20" i="1"/>
  <c r="D19" i="1"/>
  <c r="E19" i="1"/>
  <c r="F19" i="1" s="1"/>
  <c r="I19" i="1" s="1"/>
  <c r="G15" i="4"/>
  <c r="J18" i="1"/>
  <c r="K18" i="1" s="1"/>
  <c r="V18" i="1"/>
  <c r="W18" i="1" s="1"/>
  <c r="A17" i="4"/>
  <c r="B16" i="4"/>
  <c r="AB18" i="1" l="1"/>
  <c r="AG18" i="1" s="1"/>
  <c r="Z18" i="1"/>
  <c r="AE18" i="1" s="1"/>
  <c r="AA18" i="1"/>
  <c r="AF18" i="1" s="1"/>
  <c r="X18" i="1"/>
  <c r="AC18" i="1" s="1"/>
  <c r="C16" i="4" s="1"/>
  <c r="Y18" i="1"/>
  <c r="AD18" i="1" s="1"/>
  <c r="P18" i="1"/>
  <c r="U18" i="1" s="1"/>
  <c r="O18" i="1"/>
  <c r="T18" i="1" s="1"/>
  <c r="N18" i="1"/>
  <c r="S18" i="1" s="1"/>
  <c r="L18" i="1"/>
  <c r="Q18" i="1" s="1"/>
  <c r="M18" i="1"/>
  <c r="R18" i="1" s="1"/>
  <c r="C15" i="4"/>
  <c r="D15" i="4"/>
  <c r="F15" i="4"/>
  <c r="E15" i="4"/>
  <c r="J19" i="1"/>
  <c r="K19" i="1" s="1"/>
  <c r="V19" i="1"/>
  <c r="W19" i="1" s="1"/>
  <c r="C20" i="1"/>
  <c r="E20" i="1"/>
  <c r="F20" i="1" s="1"/>
  <c r="I20" i="1" s="1"/>
  <c r="B21" i="1"/>
  <c r="D20" i="1"/>
  <c r="E16" i="4"/>
  <c r="F16" i="4"/>
  <c r="B17" i="4"/>
  <c r="G16" i="4"/>
  <c r="D16" i="4"/>
  <c r="A18" i="4"/>
  <c r="P19" i="1" l="1"/>
  <c r="U19" i="1" s="1"/>
  <c r="O19" i="1"/>
  <c r="T19" i="1" s="1"/>
  <c r="L19" i="1"/>
  <c r="Q19" i="1" s="1"/>
  <c r="M19" i="1"/>
  <c r="R19" i="1" s="1"/>
  <c r="N19" i="1"/>
  <c r="S19" i="1" s="1"/>
  <c r="AB19" i="1"/>
  <c r="AG19" i="1" s="1"/>
  <c r="Z19" i="1"/>
  <c r="AE19" i="1" s="1"/>
  <c r="AA19" i="1"/>
  <c r="AF19" i="1" s="1"/>
  <c r="X19" i="1"/>
  <c r="AC19" i="1" s="1"/>
  <c r="Y19" i="1"/>
  <c r="AD19" i="1" s="1"/>
  <c r="V20" i="1"/>
  <c r="W20" i="1" s="1"/>
  <c r="J20" i="1"/>
  <c r="K20" i="1" s="1"/>
  <c r="C21" i="1"/>
  <c r="B22" i="1"/>
  <c r="D21" i="1"/>
  <c r="E21" i="1"/>
  <c r="F21" i="1" s="1"/>
  <c r="I21" i="1" s="1"/>
  <c r="B18" i="4"/>
  <c r="A19" i="4"/>
  <c r="P20" i="1" l="1"/>
  <c r="U20" i="1" s="1"/>
  <c r="O20" i="1"/>
  <c r="T20" i="1" s="1"/>
  <c r="L20" i="1"/>
  <c r="Q20" i="1" s="1"/>
  <c r="M20" i="1"/>
  <c r="R20" i="1" s="1"/>
  <c r="N20" i="1"/>
  <c r="S20" i="1" s="1"/>
  <c r="AB20" i="1"/>
  <c r="AG20" i="1" s="1"/>
  <c r="Z20" i="1"/>
  <c r="AE20" i="1" s="1"/>
  <c r="AA20" i="1"/>
  <c r="AF20" i="1" s="1"/>
  <c r="X20" i="1"/>
  <c r="AC20" i="1" s="1"/>
  <c r="Y20" i="1"/>
  <c r="AD20" i="1" s="1"/>
  <c r="D17" i="4"/>
  <c r="F17" i="4"/>
  <c r="C17" i="4"/>
  <c r="E17" i="4"/>
  <c r="G17" i="4"/>
  <c r="J21" i="1"/>
  <c r="K21" i="1" s="1"/>
  <c r="V21" i="1"/>
  <c r="W21" i="1" s="1"/>
  <c r="C22" i="1"/>
  <c r="B23" i="1"/>
  <c r="D22" i="1"/>
  <c r="E22" i="1"/>
  <c r="F22" i="1" s="1"/>
  <c r="I22" i="1" s="1"/>
  <c r="G18" i="4"/>
  <c r="F18" i="4"/>
  <c r="C18" i="4"/>
  <c r="B19" i="4"/>
  <c r="A20" i="4"/>
  <c r="P21" i="1" l="1"/>
  <c r="U21" i="1" s="1"/>
  <c r="O21" i="1"/>
  <c r="T21" i="1" s="1"/>
  <c r="M21" i="1"/>
  <c r="R21" i="1" s="1"/>
  <c r="N21" i="1"/>
  <c r="S21" i="1" s="1"/>
  <c r="L21" i="1"/>
  <c r="Q21" i="1" s="1"/>
  <c r="AB21" i="1"/>
  <c r="AG21" i="1" s="1"/>
  <c r="Z21" i="1"/>
  <c r="AE21" i="1" s="1"/>
  <c r="AA21" i="1"/>
  <c r="AF21" i="1" s="1"/>
  <c r="F19" i="4" s="1"/>
  <c r="X21" i="1"/>
  <c r="AC21" i="1" s="1"/>
  <c r="Y21" i="1"/>
  <c r="AD21" i="1" s="1"/>
  <c r="E18" i="4"/>
  <c r="D18" i="4"/>
  <c r="V22" i="1"/>
  <c r="W22" i="1" s="1"/>
  <c r="J22" i="1"/>
  <c r="K22" i="1" s="1"/>
  <c r="C23" i="1"/>
  <c r="B24" i="1"/>
  <c r="E23" i="1"/>
  <c r="F23" i="1" s="1"/>
  <c r="I23" i="1" s="1"/>
  <c r="D23" i="1"/>
  <c r="E19" i="4"/>
  <c r="D19" i="4"/>
  <c r="C19" i="4"/>
  <c r="A21" i="4"/>
  <c r="B20" i="4"/>
  <c r="G19" i="4"/>
  <c r="P22" i="1" l="1"/>
  <c r="U22" i="1" s="1"/>
  <c r="O22" i="1"/>
  <c r="T22" i="1" s="1"/>
  <c r="N22" i="1"/>
  <c r="S22" i="1" s="1"/>
  <c r="L22" i="1"/>
  <c r="Q22" i="1" s="1"/>
  <c r="M22" i="1"/>
  <c r="R22" i="1" s="1"/>
  <c r="AB22" i="1"/>
  <c r="AG22" i="1" s="1"/>
  <c r="Z22" i="1"/>
  <c r="AE22" i="1" s="1"/>
  <c r="AA22" i="1"/>
  <c r="AF22" i="1" s="1"/>
  <c r="Y22" i="1"/>
  <c r="AD22" i="1" s="1"/>
  <c r="X22" i="1"/>
  <c r="AC22" i="1" s="1"/>
  <c r="J23" i="1"/>
  <c r="K23" i="1" s="1"/>
  <c r="V23" i="1"/>
  <c r="W23" i="1" s="1"/>
  <c r="C24" i="1"/>
  <c r="E24" i="1"/>
  <c r="F24" i="1" s="1"/>
  <c r="I24" i="1" s="1"/>
  <c r="D24" i="1"/>
  <c r="B25" i="1"/>
  <c r="B21" i="4"/>
  <c r="A22" i="4"/>
  <c r="P23" i="1" l="1"/>
  <c r="U23" i="1" s="1"/>
  <c r="O23" i="1"/>
  <c r="T23" i="1" s="1"/>
  <c r="L23" i="1"/>
  <c r="Q23" i="1" s="1"/>
  <c r="M23" i="1"/>
  <c r="R23" i="1" s="1"/>
  <c r="N23" i="1"/>
  <c r="S23" i="1" s="1"/>
  <c r="AB23" i="1"/>
  <c r="AG23" i="1" s="1"/>
  <c r="Z23" i="1"/>
  <c r="AE23" i="1" s="1"/>
  <c r="AA23" i="1"/>
  <c r="AF23" i="1" s="1"/>
  <c r="X23" i="1"/>
  <c r="AC23" i="1" s="1"/>
  <c r="Y23" i="1"/>
  <c r="AD23" i="1" s="1"/>
  <c r="F20" i="4"/>
  <c r="G20" i="4"/>
  <c r="E20" i="4"/>
  <c r="D20" i="4"/>
  <c r="C20" i="4"/>
  <c r="J24" i="1"/>
  <c r="K24" i="1" s="1"/>
  <c r="V24" i="1"/>
  <c r="W24" i="1" s="1"/>
  <c r="C25" i="1"/>
  <c r="B26" i="1"/>
  <c r="D25" i="1"/>
  <c r="E25" i="1"/>
  <c r="F25" i="1" s="1"/>
  <c r="I25" i="1" s="1"/>
  <c r="G21" i="4"/>
  <c r="A23" i="4"/>
  <c r="B22" i="4"/>
  <c r="P24" i="1" l="1"/>
  <c r="U24" i="1" s="1"/>
  <c r="O24" i="1"/>
  <c r="T24" i="1" s="1"/>
  <c r="L24" i="1"/>
  <c r="Q24" i="1" s="1"/>
  <c r="M24" i="1"/>
  <c r="R24" i="1" s="1"/>
  <c r="N24" i="1"/>
  <c r="S24" i="1" s="1"/>
  <c r="AB24" i="1"/>
  <c r="AG24" i="1" s="1"/>
  <c r="Z24" i="1"/>
  <c r="AE24" i="1" s="1"/>
  <c r="AA24" i="1"/>
  <c r="AF24" i="1" s="1"/>
  <c r="F22" i="4" s="1"/>
  <c r="X24" i="1"/>
  <c r="AC24" i="1" s="1"/>
  <c r="Y24" i="1"/>
  <c r="AD24" i="1" s="1"/>
  <c r="C21" i="4"/>
  <c r="F21" i="4"/>
  <c r="D21" i="4"/>
  <c r="E21" i="4"/>
  <c r="D22" i="4"/>
  <c r="J25" i="1"/>
  <c r="K25" i="1" s="1"/>
  <c r="V25" i="1"/>
  <c r="W25" i="1" s="1"/>
  <c r="C26" i="1"/>
  <c r="E26" i="1"/>
  <c r="F26" i="1" s="1"/>
  <c r="I26" i="1" s="1"/>
  <c r="B27" i="1"/>
  <c r="D26" i="1"/>
  <c r="B23" i="4"/>
  <c r="G22" i="4"/>
  <c r="E22" i="4"/>
  <c r="C22" i="4"/>
  <c r="A24" i="4"/>
  <c r="AB25" i="1" l="1"/>
  <c r="AG25" i="1" s="1"/>
  <c r="Z25" i="1"/>
  <c r="AE25" i="1" s="1"/>
  <c r="AA25" i="1"/>
  <c r="AF25" i="1" s="1"/>
  <c r="X25" i="1"/>
  <c r="AC25" i="1" s="1"/>
  <c r="Y25" i="1"/>
  <c r="AD25" i="1" s="1"/>
  <c r="P25" i="1"/>
  <c r="U25" i="1" s="1"/>
  <c r="O25" i="1"/>
  <c r="T25" i="1" s="1"/>
  <c r="M25" i="1"/>
  <c r="R25" i="1" s="1"/>
  <c r="N25" i="1"/>
  <c r="S25" i="1" s="1"/>
  <c r="L25" i="1"/>
  <c r="Q25" i="1" s="1"/>
  <c r="C27" i="1"/>
  <c r="B28" i="1"/>
  <c r="E27" i="1"/>
  <c r="F27" i="1" s="1"/>
  <c r="I27" i="1" s="1"/>
  <c r="D27" i="1"/>
  <c r="V26" i="1"/>
  <c r="W26" i="1" s="1"/>
  <c r="J26" i="1"/>
  <c r="K26" i="1" s="1"/>
  <c r="A25" i="4"/>
  <c r="B24" i="4"/>
  <c r="P26" i="1" l="1"/>
  <c r="U26" i="1" s="1"/>
  <c r="O26" i="1"/>
  <c r="T26" i="1" s="1"/>
  <c r="N26" i="1"/>
  <c r="S26" i="1" s="1"/>
  <c r="L26" i="1"/>
  <c r="Q26" i="1" s="1"/>
  <c r="M26" i="1"/>
  <c r="R26" i="1" s="1"/>
  <c r="AB26" i="1"/>
  <c r="AG26" i="1" s="1"/>
  <c r="Z26" i="1"/>
  <c r="AE26" i="1" s="1"/>
  <c r="AA26" i="1"/>
  <c r="AF26" i="1" s="1"/>
  <c r="X26" i="1"/>
  <c r="AC26" i="1" s="1"/>
  <c r="Y26" i="1"/>
  <c r="AD26" i="1" s="1"/>
  <c r="C23" i="4"/>
  <c r="G23" i="4"/>
  <c r="E23" i="4"/>
  <c r="D23" i="4"/>
  <c r="F23" i="4"/>
  <c r="J27" i="1"/>
  <c r="K27" i="1" s="1"/>
  <c r="V27" i="1"/>
  <c r="W27" i="1" s="1"/>
  <c r="G24" i="4"/>
  <c r="D24" i="4"/>
  <c r="F24" i="4"/>
  <c r="C28" i="1"/>
  <c r="B29" i="1"/>
  <c r="D28" i="1"/>
  <c r="E28" i="1"/>
  <c r="F28" i="1" s="1"/>
  <c r="I28" i="1" s="1"/>
  <c r="A26" i="4"/>
  <c r="B25" i="4"/>
  <c r="P27" i="1" l="1"/>
  <c r="U27" i="1" s="1"/>
  <c r="O27" i="1"/>
  <c r="T27" i="1" s="1"/>
  <c r="L27" i="1"/>
  <c r="Q27" i="1" s="1"/>
  <c r="M27" i="1"/>
  <c r="R27" i="1" s="1"/>
  <c r="N27" i="1"/>
  <c r="S27" i="1" s="1"/>
  <c r="AB27" i="1"/>
  <c r="AG27" i="1" s="1"/>
  <c r="Z27" i="1"/>
  <c r="AE27" i="1" s="1"/>
  <c r="AA27" i="1"/>
  <c r="AF27" i="1" s="1"/>
  <c r="F25" i="4" s="1"/>
  <c r="X27" i="1"/>
  <c r="AC27" i="1" s="1"/>
  <c r="Y27" i="1"/>
  <c r="AD27" i="1" s="1"/>
  <c r="E24" i="4"/>
  <c r="C24" i="4"/>
  <c r="C29" i="1"/>
  <c r="B30" i="1"/>
  <c r="D29" i="1"/>
  <c r="E29" i="1"/>
  <c r="F29" i="1" s="1"/>
  <c r="I29" i="1" s="1"/>
  <c r="C25" i="4"/>
  <c r="D25" i="4"/>
  <c r="E25" i="4"/>
  <c r="V28" i="1"/>
  <c r="W28" i="1" s="1"/>
  <c r="J28" i="1"/>
  <c r="K28" i="1" s="1"/>
  <c r="B26" i="4"/>
  <c r="A27" i="4"/>
  <c r="G25" i="4"/>
  <c r="P28" i="1" l="1"/>
  <c r="U28" i="1" s="1"/>
  <c r="O28" i="1"/>
  <c r="T28" i="1" s="1"/>
  <c r="L28" i="1"/>
  <c r="Q28" i="1" s="1"/>
  <c r="M28" i="1"/>
  <c r="R28" i="1" s="1"/>
  <c r="N28" i="1"/>
  <c r="S28" i="1" s="1"/>
  <c r="AB28" i="1"/>
  <c r="AG28" i="1" s="1"/>
  <c r="Z28" i="1"/>
  <c r="AE28" i="1" s="1"/>
  <c r="AA28" i="1"/>
  <c r="AF28" i="1" s="1"/>
  <c r="X28" i="1"/>
  <c r="AC28" i="1" s="1"/>
  <c r="Y28" i="1"/>
  <c r="AD28" i="1" s="1"/>
  <c r="D30" i="1"/>
  <c r="C30" i="1"/>
  <c r="B31" i="1"/>
  <c r="E30" i="1"/>
  <c r="F30" i="1" s="1"/>
  <c r="I30" i="1" s="1"/>
  <c r="J29" i="1"/>
  <c r="K29" i="1" s="1"/>
  <c r="V29" i="1"/>
  <c r="W29" i="1" s="1"/>
  <c r="B27" i="4"/>
  <c r="A28" i="4"/>
  <c r="P29" i="1" l="1"/>
  <c r="U29" i="1" s="1"/>
  <c r="O29" i="1"/>
  <c r="T29" i="1" s="1"/>
  <c r="N29" i="1"/>
  <c r="S29" i="1" s="1"/>
  <c r="L29" i="1"/>
  <c r="Q29" i="1" s="1"/>
  <c r="M29" i="1"/>
  <c r="R29" i="1" s="1"/>
  <c r="AB29" i="1"/>
  <c r="AG29" i="1" s="1"/>
  <c r="Z29" i="1"/>
  <c r="AE29" i="1" s="1"/>
  <c r="AA29" i="1"/>
  <c r="AF29" i="1" s="1"/>
  <c r="X29" i="1"/>
  <c r="AC29" i="1" s="1"/>
  <c r="Y29" i="1"/>
  <c r="AD29" i="1" s="1"/>
  <c r="F26" i="4"/>
  <c r="C26" i="4"/>
  <c r="D26" i="4"/>
  <c r="E26" i="4"/>
  <c r="G26" i="4"/>
  <c r="J30" i="1"/>
  <c r="K30" i="1" s="1"/>
  <c r="V30" i="1"/>
  <c r="W30" i="1" s="1"/>
  <c r="G27" i="4"/>
  <c r="C31" i="1"/>
  <c r="B32" i="1"/>
  <c r="E31" i="1"/>
  <c r="F31" i="1" s="1"/>
  <c r="I31" i="1" s="1"/>
  <c r="D31" i="1"/>
  <c r="B28" i="4"/>
  <c r="A29" i="4"/>
  <c r="P30" i="1" l="1"/>
  <c r="U30" i="1" s="1"/>
  <c r="O30" i="1"/>
  <c r="T30" i="1" s="1"/>
  <c r="L30" i="1"/>
  <c r="Q30" i="1" s="1"/>
  <c r="N30" i="1"/>
  <c r="S30" i="1" s="1"/>
  <c r="M30" i="1"/>
  <c r="R30" i="1" s="1"/>
  <c r="AB30" i="1"/>
  <c r="AG30" i="1" s="1"/>
  <c r="Z30" i="1"/>
  <c r="AE30" i="1" s="1"/>
  <c r="AA30" i="1"/>
  <c r="AF30" i="1" s="1"/>
  <c r="Y30" i="1"/>
  <c r="AD30" i="1" s="1"/>
  <c r="X30" i="1"/>
  <c r="AC30" i="1" s="1"/>
  <c r="D27" i="4"/>
  <c r="E27" i="4"/>
  <c r="F27" i="4"/>
  <c r="C27" i="4"/>
  <c r="C28" i="4"/>
  <c r="F28" i="4"/>
  <c r="D28" i="4"/>
  <c r="J31" i="1"/>
  <c r="K31" i="1" s="1"/>
  <c r="V31" i="1"/>
  <c r="W31" i="1" s="1"/>
  <c r="B33" i="1"/>
  <c r="C32" i="1"/>
  <c r="E32" i="1"/>
  <c r="F32" i="1" s="1"/>
  <c r="I32" i="1" s="1"/>
  <c r="D32" i="1"/>
  <c r="A30" i="4"/>
  <c r="G28" i="4"/>
  <c r="E28" i="4"/>
  <c r="B29" i="4"/>
  <c r="AB31" i="1" l="1"/>
  <c r="AG31" i="1" s="1"/>
  <c r="Z31" i="1"/>
  <c r="AE31" i="1" s="1"/>
  <c r="AA31" i="1"/>
  <c r="AF31" i="1" s="1"/>
  <c r="X31" i="1"/>
  <c r="AC31" i="1" s="1"/>
  <c r="Y31" i="1"/>
  <c r="AD31" i="1" s="1"/>
  <c r="P31" i="1"/>
  <c r="U31" i="1" s="1"/>
  <c r="O31" i="1"/>
  <c r="T31" i="1" s="1"/>
  <c r="L31" i="1"/>
  <c r="Q31" i="1" s="1"/>
  <c r="M31" i="1"/>
  <c r="R31" i="1" s="1"/>
  <c r="N31" i="1"/>
  <c r="S31" i="1" s="1"/>
  <c r="C33" i="1"/>
  <c r="B34" i="1"/>
  <c r="E33" i="1"/>
  <c r="F33" i="1" s="1"/>
  <c r="I33" i="1" s="1"/>
  <c r="D33" i="1"/>
  <c r="J32" i="1"/>
  <c r="K32" i="1" s="1"/>
  <c r="V32" i="1"/>
  <c r="W32" i="1" s="1"/>
  <c r="B30" i="4"/>
  <c r="D29" i="4"/>
  <c r="A31" i="4"/>
  <c r="AB32" i="1" l="1"/>
  <c r="AG32" i="1" s="1"/>
  <c r="Z32" i="1"/>
  <c r="AE32" i="1" s="1"/>
  <c r="AA32" i="1"/>
  <c r="AF32" i="1" s="1"/>
  <c r="X32" i="1"/>
  <c r="AC32" i="1" s="1"/>
  <c r="Y32" i="1"/>
  <c r="AD32" i="1" s="1"/>
  <c r="P32" i="1"/>
  <c r="U32" i="1" s="1"/>
  <c r="O32" i="1"/>
  <c r="T32" i="1" s="1"/>
  <c r="M32" i="1"/>
  <c r="R32" i="1" s="1"/>
  <c r="N32" i="1"/>
  <c r="S32" i="1" s="1"/>
  <c r="L32" i="1"/>
  <c r="Q32" i="1" s="1"/>
  <c r="F29" i="4"/>
  <c r="E29" i="4"/>
  <c r="C29" i="4"/>
  <c r="G29" i="4"/>
  <c r="J33" i="1"/>
  <c r="K33" i="1" s="1"/>
  <c r="V33" i="1"/>
  <c r="W33" i="1" s="1"/>
  <c r="G30" i="4"/>
  <c r="E34" i="1"/>
  <c r="F34" i="1" s="1"/>
  <c r="I34" i="1" s="1"/>
  <c r="B35" i="1"/>
  <c r="C34" i="1"/>
  <c r="D34" i="1"/>
  <c r="B31" i="4"/>
  <c r="A32" i="4"/>
  <c r="AB33" i="1" l="1"/>
  <c r="AG33" i="1" s="1"/>
  <c r="Z33" i="1"/>
  <c r="AE33" i="1" s="1"/>
  <c r="AA33" i="1"/>
  <c r="AF33" i="1" s="1"/>
  <c r="X33" i="1"/>
  <c r="AC33" i="1" s="1"/>
  <c r="Y33" i="1"/>
  <c r="AD33" i="1" s="1"/>
  <c r="P33" i="1"/>
  <c r="U33" i="1" s="1"/>
  <c r="O33" i="1"/>
  <c r="T33" i="1" s="1"/>
  <c r="N33" i="1"/>
  <c r="S33" i="1" s="1"/>
  <c r="M33" i="1"/>
  <c r="R33" i="1" s="1"/>
  <c r="L33" i="1"/>
  <c r="Q33" i="1" s="1"/>
  <c r="F30" i="4"/>
  <c r="C30" i="4"/>
  <c r="E30" i="4"/>
  <c r="D30" i="4"/>
  <c r="C35" i="1"/>
  <c r="B36" i="1"/>
  <c r="D35" i="1"/>
  <c r="E35" i="1"/>
  <c r="F35" i="1" s="1"/>
  <c r="I35" i="1" s="1"/>
  <c r="F31" i="4"/>
  <c r="C31" i="4"/>
  <c r="D31" i="4"/>
  <c r="E31" i="4"/>
  <c r="V34" i="1"/>
  <c r="W34" i="1" s="1"/>
  <c r="J34" i="1"/>
  <c r="K34" i="1" s="1"/>
  <c r="A33" i="4"/>
  <c r="B32" i="4"/>
  <c r="G31" i="4"/>
  <c r="P34" i="1" l="1"/>
  <c r="U34" i="1" s="1"/>
  <c r="O34" i="1"/>
  <c r="T34" i="1" s="1"/>
  <c r="L34" i="1"/>
  <c r="Q34" i="1" s="1"/>
  <c r="M34" i="1"/>
  <c r="R34" i="1" s="1"/>
  <c r="N34" i="1"/>
  <c r="S34" i="1" s="1"/>
  <c r="AB34" i="1"/>
  <c r="AG34" i="1" s="1"/>
  <c r="Z34" i="1"/>
  <c r="AE34" i="1" s="1"/>
  <c r="AA34" i="1"/>
  <c r="AF34" i="1" s="1"/>
  <c r="X34" i="1"/>
  <c r="AC34" i="1" s="1"/>
  <c r="Y34" i="1"/>
  <c r="AD34" i="1" s="1"/>
  <c r="J35" i="1"/>
  <c r="K35" i="1" s="1"/>
  <c r="V35" i="1"/>
  <c r="W35" i="1" s="1"/>
  <c r="C36" i="1"/>
  <c r="D36" i="1"/>
  <c r="E36" i="1"/>
  <c r="F36" i="1" s="1"/>
  <c r="I36" i="1" s="1"/>
  <c r="B37" i="1"/>
  <c r="E32" i="4"/>
  <c r="F32" i="4"/>
  <c r="C32" i="4"/>
  <c r="G32" i="4"/>
  <c r="D32" i="4"/>
  <c r="B33" i="4"/>
  <c r="A34" i="4"/>
  <c r="AB35" i="1" l="1"/>
  <c r="AG35" i="1" s="1"/>
  <c r="Z35" i="1"/>
  <c r="AE35" i="1" s="1"/>
  <c r="AA35" i="1"/>
  <c r="AF35" i="1" s="1"/>
  <c r="X35" i="1"/>
  <c r="AC35" i="1" s="1"/>
  <c r="Y35" i="1"/>
  <c r="AD35" i="1" s="1"/>
  <c r="P35" i="1"/>
  <c r="U35" i="1" s="1"/>
  <c r="O35" i="1"/>
  <c r="T35" i="1" s="1"/>
  <c r="L35" i="1"/>
  <c r="Q35" i="1" s="1"/>
  <c r="M35" i="1"/>
  <c r="R35" i="1" s="1"/>
  <c r="N35" i="1"/>
  <c r="S35" i="1" s="1"/>
  <c r="B38" i="1"/>
  <c r="C37" i="1"/>
  <c r="E37" i="1"/>
  <c r="F37" i="1" s="1"/>
  <c r="I37" i="1" s="1"/>
  <c r="D37" i="1"/>
  <c r="G33" i="4"/>
  <c r="J36" i="1"/>
  <c r="K36" i="1" s="1"/>
  <c r="V36" i="1"/>
  <c r="W36" i="1" s="1"/>
  <c r="A35" i="4"/>
  <c r="B34" i="4"/>
  <c r="P36" i="1" l="1"/>
  <c r="U36" i="1" s="1"/>
  <c r="O36" i="1"/>
  <c r="T36" i="1" s="1"/>
  <c r="M36" i="1"/>
  <c r="R36" i="1" s="1"/>
  <c r="N36" i="1"/>
  <c r="S36" i="1" s="1"/>
  <c r="L36" i="1"/>
  <c r="Q36" i="1" s="1"/>
  <c r="AB36" i="1"/>
  <c r="AG36" i="1" s="1"/>
  <c r="Z36" i="1"/>
  <c r="AE36" i="1" s="1"/>
  <c r="AA36" i="1"/>
  <c r="AF36" i="1" s="1"/>
  <c r="F34" i="4" s="1"/>
  <c r="X36" i="1"/>
  <c r="AC36" i="1" s="1"/>
  <c r="Y36" i="1"/>
  <c r="AD36" i="1" s="1"/>
  <c r="F33" i="4"/>
  <c r="E33" i="4"/>
  <c r="D33" i="4"/>
  <c r="C33" i="4"/>
  <c r="C34" i="4"/>
  <c r="D34" i="4"/>
  <c r="J37" i="1"/>
  <c r="K37" i="1" s="1"/>
  <c r="V37" i="1"/>
  <c r="W37" i="1" s="1"/>
  <c r="C38" i="1"/>
  <c r="E38" i="1"/>
  <c r="F38" i="1" s="1"/>
  <c r="I38" i="1" s="1"/>
  <c r="B39" i="1"/>
  <c r="D38" i="1"/>
  <c r="B35" i="4"/>
  <c r="A36" i="4"/>
  <c r="G34" i="4"/>
  <c r="E34" i="4"/>
  <c r="AB37" i="1" l="1"/>
  <c r="AG37" i="1" s="1"/>
  <c r="Z37" i="1"/>
  <c r="AE37" i="1" s="1"/>
  <c r="AA37" i="1"/>
  <c r="AF37" i="1" s="1"/>
  <c r="X37" i="1"/>
  <c r="AC37" i="1" s="1"/>
  <c r="Y37" i="1"/>
  <c r="AD37" i="1" s="1"/>
  <c r="P37" i="1"/>
  <c r="U37" i="1" s="1"/>
  <c r="O37" i="1"/>
  <c r="T37" i="1" s="1"/>
  <c r="N37" i="1"/>
  <c r="S37" i="1" s="1"/>
  <c r="L37" i="1"/>
  <c r="Q37" i="1" s="1"/>
  <c r="M37" i="1"/>
  <c r="R37" i="1" s="1"/>
  <c r="B40" i="1"/>
  <c r="C39" i="1"/>
  <c r="E39" i="1"/>
  <c r="F39" i="1" s="1"/>
  <c r="I39" i="1" s="1"/>
  <c r="D39" i="1"/>
  <c r="J38" i="1"/>
  <c r="K38" i="1" s="1"/>
  <c r="V38" i="1"/>
  <c r="W38" i="1" s="1"/>
  <c r="A37" i="4"/>
  <c r="B36" i="4"/>
  <c r="F35" i="4"/>
  <c r="AB38" i="1" l="1"/>
  <c r="AG38" i="1" s="1"/>
  <c r="Z38" i="1"/>
  <c r="AE38" i="1" s="1"/>
  <c r="AA38" i="1"/>
  <c r="AF38" i="1" s="1"/>
  <c r="Y38" i="1"/>
  <c r="AD38" i="1" s="1"/>
  <c r="X38" i="1"/>
  <c r="AC38" i="1" s="1"/>
  <c r="P38" i="1"/>
  <c r="U38" i="1" s="1"/>
  <c r="O38" i="1"/>
  <c r="T38" i="1" s="1"/>
  <c r="L38" i="1"/>
  <c r="Q38" i="1" s="1"/>
  <c r="N38" i="1"/>
  <c r="S38" i="1" s="1"/>
  <c r="M38" i="1"/>
  <c r="R38" i="1" s="1"/>
  <c r="E35" i="4"/>
  <c r="D35" i="4"/>
  <c r="C35" i="4"/>
  <c r="G35" i="4"/>
  <c r="J39" i="1"/>
  <c r="K39" i="1" s="1"/>
  <c r="V39" i="1"/>
  <c r="W39" i="1" s="1"/>
  <c r="B41" i="1"/>
  <c r="C40" i="1"/>
  <c r="D40" i="1"/>
  <c r="E40" i="1"/>
  <c r="F40" i="1" s="1"/>
  <c r="I40" i="1" s="1"/>
  <c r="A38" i="4"/>
  <c r="B37" i="4"/>
  <c r="G36" i="4"/>
  <c r="AB39" i="1" l="1"/>
  <c r="AG39" i="1" s="1"/>
  <c r="Z39" i="1"/>
  <c r="AE39" i="1" s="1"/>
  <c r="AA39" i="1"/>
  <c r="AF39" i="1" s="1"/>
  <c r="F37" i="4" s="1"/>
  <c r="X39" i="1"/>
  <c r="AC39" i="1" s="1"/>
  <c r="Y39" i="1"/>
  <c r="AD39" i="1" s="1"/>
  <c r="P39" i="1"/>
  <c r="U39" i="1" s="1"/>
  <c r="O39" i="1"/>
  <c r="T39" i="1" s="1"/>
  <c r="L39" i="1"/>
  <c r="Q39" i="1" s="1"/>
  <c r="M39" i="1"/>
  <c r="R39" i="1" s="1"/>
  <c r="N39" i="1"/>
  <c r="S39" i="1" s="1"/>
  <c r="D36" i="4"/>
  <c r="E36" i="4"/>
  <c r="F36" i="4"/>
  <c r="C36" i="4"/>
  <c r="J40" i="1"/>
  <c r="K40" i="1" s="1"/>
  <c r="V40" i="1"/>
  <c r="W40" i="1" s="1"/>
  <c r="B42" i="1"/>
  <c r="C41" i="1"/>
  <c r="D41" i="1"/>
  <c r="E41" i="1"/>
  <c r="F41" i="1" s="1"/>
  <c r="I41" i="1" s="1"/>
  <c r="E37" i="4"/>
  <c r="D37" i="4"/>
  <c r="C37" i="4"/>
  <c r="A39" i="4"/>
  <c r="B38" i="4"/>
  <c r="G37" i="4"/>
  <c r="AB40" i="1" l="1"/>
  <c r="AG40" i="1" s="1"/>
  <c r="Z40" i="1"/>
  <c r="AE40" i="1" s="1"/>
  <c r="AA40" i="1"/>
  <c r="AF40" i="1" s="1"/>
  <c r="X40" i="1"/>
  <c r="AC40" i="1" s="1"/>
  <c r="Y40" i="1"/>
  <c r="AD40" i="1" s="1"/>
  <c r="P40" i="1"/>
  <c r="U40" i="1" s="1"/>
  <c r="O40" i="1"/>
  <c r="T40" i="1" s="1"/>
  <c r="M40" i="1"/>
  <c r="R40" i="1" s="1"/>
  <c r="N40" i="1"/>
  <c r="S40" i="1" s="1"/>
  <c r="L40" i="1"/>
  <c r="Q40" i="1" s="1"/>
  <c r="J41" i="1"/>
  <c r="K41" i="1" s="1"/>
  <c r="V41" i="1"/>
  <c r="W41" i="1" s="1"/>
  <c r="D42" i="1"/>
  <c r="E42" i="1"/>
  <c r="F42" i="1" s="1"/>
  <c r="I42" i="1" s="1"/>
  <c r="B43" i="1"/>
  <c r="C42" i="1"/>
  <c r="B39" i="4"/>
  <c r="A40" i="4"/>
  <c r="AB41" i="1" l="1"/>
  <c r="AG41" i="1" s="1"/>
  <c r="Z41" i="1"/>
  <c r="AE41" i="1" s="1"/>
  <c r="AA41" i="1"/>
  <c r="AF41" i="1" s="1"/>
  <c r="X41" i="1"/>
  <c r="AC41" i="1" s="1"/>
  <c r="Y41" i="1"/>
  <c r="AD41" i="1" s="1"/>
  <c r="P41" i="1"/>
  <c r="U41" i="1" s="1"/>
  <c r="O41" i="1"/>
  <c r="T41" i="1" s="1"/>
  <c r="N41" i="1"/>
  <c r="S41" i="1" s="1"/>
  <c r="M41" i="1"/>
  <c r="R41" i="1" s="1"/>
  <c r="L41" i="1"/>
  <c r="Q41" i="1" s="1"/>
  <c r="C38" i="4"/>
  <c r="D38" i="4"/>
  <c r="F38" i="4"/>
  <c r="E38" i="4"/>
  <c r="G38" i="4"/>
  <c r="B44" i="1"/>
  <c r="C43" i="1"/>
  <c r="E43" i="1"/>
  <c r="F43" i="1" s="1"/>
  <c r="I43" i="1" s="1"/>
  <c r="D43" i="1"/>
  <c r="F39" i="4"/>
  <c r="E39" i="4"/>
  <c r="G39" i="4"/>
  <c r="C39" i="4"/>
  <c r="V42" i="1"/>
  <c r="W42" i="1" s="1"/>
  <c r="J42" i="1"/>
  <c r="K42" i="1" s="1"/>
  <c r="A41" i="4"/>
  <c r="B40" i="4"/>
  <c r="AB42" i="1" l="1"/>
  <c r="AG42" i="1" s="1"/>
  <c r="Z42" i="1"/>
  <c r="AE42" i="1" s="1"/>
  <c r="AA42" i="1"/>
  <c r="AF42" i="1" s="1"/>
  <c r="F40" i="4" s="1"/>
  <c r="X42" i="1"/>
  <c r="AC42" i="1" s="1"/>
  <c r="C40" i="4" s="1"/>
  <c r="Y42" i="1"/>
  <c r="AD42" i="1" s="1"/>
  <c r="P42" i="1"/>
  <c r="U42" i="1" s="1"/>
  <c r="O42" i="1"/>
  <c r="T42" i="1" s="1"/>
  <c r="L42" i="1"/>
  <c r="Q42" i="1" s="1"/>
  <c r="M42" i="1"/>
  <c r="R42" i="1" s="1"/>
  <c r="N42" i="1"/>
  <c r="S42" i="1" s="1"/>
  <c r="D39" i="4"/>
  <c r="D40" i="4"/>
  <c r="E40" i="4"/>
  <c r="J43" i="1"/>
  <c r="K43" i="1" s="1"/>
  <c r="V43" i="1"/>
  <c r="W43" i="1" s="1"/>
  <c r="C44" i="1"/>
  <c r="B45" i="1"/>
  <c r="E44" i="1"/>
  <c r="F44" i="1" s="1"/>
  <c r="I44" i="1" s="1"/>
  <c r="D44" i="1"/>
  <c r="G40" i="4"/>
  <c r="A42" i="4"/>
  <c r="B41" i="4"/>
  <c r="AB43" i="1" l="1"/>
  <c r="AG43" i="1" s="1"/>
  <c r="Z43" i="1"/>
  <c r="AE43" i="1" s="1"/>
  <c r="AA43" i="1"/>
  <c r="AF43" i="1" s="1"/>
  <c r="X43" i="1"/>
  <c r="AC43" i="1" s="1"/>
  <c r="Y43" i="1"/>
  <c r="AD43" i="1" s="1"/>
  <c r="P43" i="1"/>
  <c r="U43" i="1" s="1"/>
  <c r="O43" i="1"/>
  <c r="T43" i="1" s="1"/>
  <c r="L43" i="1"/>
  <c r="Q43" i="1" s="1"/>
  <c r="M43" i="1"/>
  <c r="R43" i="1" s="1"/>
  <c r="N43" i="1"/>
  <c r="S43" i="1" s="1"/>
  <c r="J44" i="1"/>
  <c r="K44" i="1" s="1"/>
  <c r="V44" i="1"/>
  <c r="W44" i="1" s="1"/>
  <c r="B46" i="1"/>
  <c r="C45" i="1"/>
  <c r="E45" i="1"/>
  <c r="F45" i="1" s="1"/>
  <c r="I45" i="1" s="1"/>
  <c r="D45" i="1"/>
  <c r="B42" i="4"/>
  <c r="A43" i="4"/>
  <c r="P44" i="1" l="1"/>
  <c r="U44" i="1" s="1"/>
  <c r="O44" i="1"/>
  <c r="T44" i="1" s="1"/>
  <c r="M44" i="1"/>
  <c r="R44" i="1" s="1"/>
  <c r="N44" i="1"/>
  <c r="S44" i="1" s="1"/>
  <c r="L44" i="1"/>
  <c r="Q44" i="1" s="1"/>
  <c r="AB44" i="1"/>
  <c r="AG44" i="1" s="1"/>
  <c r="Z44" i="1"/>
  <c r="AE44" i="1" s="1"/>
  <c r="AA44" i="1"/>
  <c r="AF44" i="1" s="1"/>
  <c r="X44" i="1"/>
  <c r="AC44" i="1" s="1"/>
  <c r="Y44" i="1"/>
  <c r="AD44" i="1" s="1"/>
  <c r="C41" i="4"/>
  <c r="E41" i="4"/>
  <c r="F41" i="4"/>
  <c r="G41" i="4"/>
  <c r="D41" i="4"/>
  <c r="G42" i="4"/>
  <c r="D42" i="4"/>
  <c r="J45" i="1"/>
  <c r="K45" i="1" s="1"/>
  <c r="V45" i="1"/>
  <c r="W45" i="1" s="1"/>
  <c r="C46" i="1"/>
  <c r="E46" i="1"/>
  <c r="F46" i="1" s="1"/>
  <c r="I46" i="1" s="1"/>
  <c r="D46" i="1"/>
  <c r="B47" i="1"/>
  <c r="A44" i="4"/>
  <c r="B43" i="4"/>
  <c r="AB45" i="1" l="1"/>
  <c r="AG45" i="1" s="1"/>
  <c r="Z45" i="1"/>
  <c r="AE45" i="1" s="1"/>
  <c r="AA45" i="1"/>
  <c r="AF45" i="1" s="1"/>
  <c r="X45" i="1"/>
  <c r="AC45" i="1" s="1"/>
  <c r="C43" i="4" s="1"/>
  <c r="Y45" i="1"/>
  <c r="AD45" i="1" s="1"/>
  <c r="P45" i="1"/>
  <c r="U45" i="1" s="1"/>
  <c r="O45" i="1"/>
  <c r="T45" i="1" s="1"/>
  <c r="N45" i="1"/>
  <c r="S45" i="1" s="1"/>
  <c r="L45" i="1"/>
  <c r="Q45" i="1" s="1"/>
  <c r="M45" i="1"/>
  <c r="R45" i="1" s="1"/>
  <c r="E42" i="4"/>
  <c r="C42" i="4"/>
  <c r="F42" i="4"/>
  <c r="F43" i="4"/>
  <c r="D43" i="4"/>
  <c r="E43" i="4"/>
  <c r="B48" i="1"/>
  <c r="C47" i="1"/>
  <c r="E47" i="1"/>
  <c r="F47" i="1" s="1"/>
  <c r="I47" i="1" s="1"/>
  <c r="D47" i="1"/>
  <c r="V46" i="1"/>
  <c r="W46" i="1" s="1"/>
  <c r="J46" i="1"/>
  <c r="K46" i="1" s="1"/>
  <c r="B44" i="4"/>
  <c r="A45" i="4"/>
  <c r="G43" i="4"/>
  <c r="P46" i="1" l="1"/>
  <c r="U46" i="1" s="1"/>
  <c r="O46" i="1"/>
  <c r="T46" i="1" s="1"/>
  <c r="L46" i="1"/>
  <c r="Q46" i="1" s="1"/>
  <c r="N46" i="1"/>
  <c r="S46" i="1" s="1"/>
  <c r="M46" i="1"/>
  <c r="R46" i="1" s="1"/>
  <c r="AB46" i="1"/>
  <c r="AG46" i="1" s="1"/>
  <c r="Z46" i="1"/>
  <c r="AE46" i="1" s="1"/>
  <c r="AA46" i="1"/>
  <c r="AF46" i="1" s="1"/>
  <c r="Y46" i="1"/>
  <c r="AD46" i="1" s="1"/>
  <c r="X46" i="1"/>
  <c r="AC46" i="1" s="1"/>
  <c r="B49" i="1"/>
  <c r="D48" i="1"/>
  <c r="E48" i="1"/>
  <c r="F48" i="1" s="1"/>
  <c r="I48" i="1" s="1"/>
  <c r="C48" i="1"/>
  <c r="J47" i="1"/>
  <c r="K47" i="1" s="1"/>
  <c r="V47" i="1"/>
  <c r="W47" i="1" s="1"/>
  <c r="A46" i="4"/>
  <c r="G44" i="4"/>
  <c r="B45" i="4"/>
  <c r="AB47" i="1" l="1"/>
  <c r="AG47" i="1" s="1"/>
  <c r="Z47" i="1"/>
  <c r="AE47" i="1" s="1"/>
  <c r="AA47" i="1"/>
  <c r="AF47" i="1" s="1"/>
  <c r="X47" i="1"/>
  <c r="AC47" i="1" s="1"/>
  <c r="Y47" i="1"/>
  <c r="AD47" i="1" s="1"/>
  <c r="P47" i="1"/>
  <c r="U47" i="1" s="1"/>
  <c r="O47" i="1"/>
  <c r="T47" i="1" s="1"/>
  <c r="L47" i="1"/>
  <c r="Q47" i="1" s="1"/>
  <c r="M47" i="1"/>
  <c r="R47" i="1" s="1"/>
  <c r="N47" i="1"/>
  <c r="S47" i="1" s="1"/>
  <c r="D44" i="4"/>
  <c r="C44" i="4"/>
  <c r="F44" i="4"/>
  <c r="E44" i="4"/>
  <c r="E45" i="4"/>
  <c r="D45" i="4"/>
  <c r="G45" i="4"/>
  <c r="C45" i="4"/>
  <c r="C49" i="1"/>
  <c r="B50" i="1"/>
  <c r="D49" i="1"/>
  <c r="E49" i="1"/>
  <c r="F49" i="1" s="1"/>
  <c r="I49" i="1" s="1"/>
  <c r="V48" i="1"/>
  <c r="W48" i="1" s="1"/>
  <c r="J48" i="1"/>
  <c r="K48" i="1" s="1"/>
  <c r="F45" i="4"/>
  <c r="A47" i="4"/>
  <c r="B46" i="4"/>
  <c r="AB48" i="1" l="1"/>
  <c r="AG48" i="1" s="1"/>
  <c r="Z48" i="1"/>
  <c r="AE48" i="1" s="1"/>
  <c r="AA48" i="1"/>
  <c r="AF48" i="1" s="1"/>
  <c r="X48" i="1"/>
  <c r="AC48" i="1" s="1"/>
  <c r="Y48" i="1"/>
  <c r="AD48" i="1" s="1"/>
  <c r="P48" i="1"/>
  <c r="U48" i="1" s="1"/>
  <c r="O48" i="1"/>
  <c r="T48" i="1" s="1"/>
  <c r="M48" i="1"/>
  <c r="R48" i="1" s="1"/>
  <c r="N48" i="1"/>
  <c r="S48" i="1" s="1"/>
  <c r="L48" i="1"/>
  <c r="Q48" i="1" s="1"/>
  <c r="J49" i="1"/>
  <c r="K49" i="1" s="1"/>
  <c r="V49" i="1"/>
  <c r="W49" i="1" s="1"/>
  <c r="C50" i="1"/>
  <c r="B51" i="1"/>
  <c r="D50" i="1"/>
  <c r="E50" i="1"/>
  <c r="F50" i="1" s="1"/>
  <c r="I50" i="1" s="1"/>
  <c r="D46" i="4"/>
  <c r="F46" i="4"/>
  <c r="E46" i="4"/>
  <c r="C46" i="4"/>
  <c r="G46" i="4"/>
  <c r="A48" i="4"/>
  <c r="B47" i="4"/>
  <c r="P49" i="1" l="1"/>
  <c r="U49" i="1" s="1"/>
  <c r="N49" i="1"/>
  <c r="S49" i="1" s="1"/>
  <c r="O49" i="1"/>
  <c r="T49" i="1" s="1"/>
  <c r="M49" i="1"/>
  <c r="R49" i="1" s="1"/>
  <c r="L49" i="1"/>
  <c r="Q49" i="1" s="1"/>
  <c r="AB49" i="1"/>
  <c r="AG49" i="1" s="1"/>
  <c r="Z49" i="1"/>
  <c r="AE49" i="1" s="1"/>
  <c r="AA49" i="1"/>
  <c r="AF49" i="1" s="1"/>
  <c r="X49" i="1"/>
  <c r="AC49" i="1" s="1"/>
  <c r="Y49" i="1"/>
  <c r="AD49" i="1" s="1"/>
  <c r="C51" i="1"/>
  <c r="D51" i="1"/>
  <c r="E51" i="1"/>
  <c r="F51" i="1" s="1"/>
  <c r="I51" i="1" s="1"/>
  <c r="B52" i="1"/>
  <c r="J50" i="1"/>
  <c r="K50" i="1" s="1"/>
  <c r="V50" i="1"/>
  <c r="W50" i="1" s="1"/>
  <c r="A49" i="4"/>
  <c r="B48" i="4"/>
  <c r="P50" i="1" l="1"/>
  <c r="U50" i="1" s="1"/>
  <c r="N50" i="1"/>
  <c r="S50" i="1" s="1"/>
  <c r="O50" i="1"/>
  <c r="T50" i="1" s="1"/>
  <c r="L50" i="1"/>
  <c r="Q50" i="1" s="1"/>
  <c r="M50" i="1"/>
  <c r="R50" i="1" s="1"/>
  <c r="AB50" i="1"/>
  <c r="AG50" i="1" s="1"/>
  <c r="Z50" i="1"/>
  <c r="AE50" i="1" s="1"/>
  <c r="AA50" i="1"/>
  <c r="AF50" i="1" s="1"/>
  <c r="X50" i="1"/>
  <c r="AC50" i="1" s="1"/>
  <c r="Y50" i="1"/>
  <c r="AD50" i="1" s="1"/>
  <c r="E47" i="4"/>
  <c r="F47" i="4"/>
  <c r="C47" i="4"/>
  <c r="D47" i="4"/>
  <c r="G47" i="4"/>
  <c r="C52" i="1"/>
  <c r="E52" i="1"/>
  <c r="F52" i="1" s="1"/>
  <c r="I52" i="1" s="1"/>
  <c r="D52" i="1"/>
  <c r="B53" i="1"/>
  <c r="D48" i="4"/>
  <c r="C48" i="4"/>
  <c r="E48" i="4"/>
  <c r="G48" i="4"/>
  <c r="V51" i="1"/>
  <c r="W51" i="1" s="1"/>
  <c r="J51" i="1"/>
  <c r="K51" i="1" s="1"/>
  <c r="B49" i="4"/>
  <c r="A50" i="4"/>
  <c r="AB51" i="1" l="1"/>
  <c r="AG51" i="1" s="1"/>
  <c r="Z51" i="1"/>
  <c r="AE51" i="1" s="1"/>
  <c r="AA51" i="1"/>
  <c r="AF51" i="1" s="1"/>
  <c r="X51" i="1"/>
  <c r="AC51" i="1" s="1"/>
  <c r="Y51" i="1"/>
  <c r="AD51" i="1" s="1"/>
  <c r="P51" i="1"/>
  <c r="U51" i="1" s="1"/>
  <c r="N51" i="1"/>
  <c r="S51" i="1" s="1"/>
  <c r="O51" i="1"/>
  <c r="T51" i="1" s="1"/>
  <c r="M51" i="1"/>
  <c r="R51" i="1" s="1"/>
  <c r="L51" i="1"/>
  <c r="Q51" i="1" s="1"/>
  <c r="F48" i="4"/>
  <c r="D53" i="1"/>
  <c r="B54" i="1"/>
  <c r="E53" i="1"/>
  <c r="F53" i="1" s="1"/>
  <c r="I53" i="1" s="1"/>
  <c r="C53" i="1"/>
  <c r="J52" i="1"/>
  <c r="K52" i="1" s="1"/>
  <c r="V52" i="1"/>
  <c r="W52" i="1" s="1"/>
  <c r="D49" i="4"/>
  <c r="C49" i="4"/>
  <c r="F49" i="4"/>
  <c r="E49" i="4"/>
  <c r="G49" i="4"/>
  <c r="B50" i="4"/>
  <c r="A51" i="4"/>
  <c r="P52" i="1" l="1"/>
  <c r="U52" i="1" s="1"/>
  <c r="N52" i="1"/>
  <c r="S52" i="1" s="1"/>
  <c r="O52" i="1"/>
  <c r="T52" i="1" s="1"/>
  <c r="L52" i="1"/>
  <c r="Q52" i="1" s="1"/>
  <c r="M52" i="1"/>
  <c r="R52" i="1" s="1"/>
  <c r="AB52" i="1"/>
  <c r="AG52" i="1" s="1"/>
  <c r="Z52" i="1"/>
  <c r="AE52" i="1" s="1"/>
  <c r="AA52" i="1"/>
  <c r="AF52" i="1" s="1"/>
  <c r="X52" i="1"/>
  <c r="AC52" i="1" s="1"/>
  <c r="Y52" i="1"/>
  <c r="AD52" i="1" s="1"/>
  <c r="C54" i="1"/>
  <c r="E54" i="1"/>
  <c r="F54" i="1" s="1"/>
  <c r="I54" i="1" s="1"/>
  <c r="D54" i="1"/>
  <c r="B55" i="1"/>
  <c r="J53" i="1"/>
  <c r="K53" i="1" s="1"/>
  <c r="V53" i="1"/>
  <c r="W53" i="1" s="1"/>
  <c r="A52" i="4"/>
  <c r="B51" i="4"/>
  <c r="P53" i="1" l="1"/>
  <c r="U53" i="1" s="1"/>
  <c r="N53" i="1"/>
  <c r="S53" i="1" s="1"/>
  <c r="O53" i="1"/>
  <c r="T53" i="1" s="1"/>
  <c r="M53" i="1"/>
  <c r="R53" i="1" s="1"/>
  <c r="L53" i="1"/>
  <c r="Q53" i="1" s="1"/>
  <c r="AB53" i="1"/>
  <c r="AG53" i="1" s="1"/>
  <c r="Z53" i="1"/>
  <c r="AE53" i="1" s="1"/>
  <c r="AA53" i="1"/>
  <c r="AF53" i="1" s="1"/>
  <c r="X53" i="1"/>
  <c r="AC53" i="1" s="1"/>
  <c r="Y53" i="1"/>
  <c r="AD53" i="1" s="1"/>
  <c r="F50" i="4"/>
  <c r="C50" i="4"/>
  <c r="E50" i="4"/>
  <c r="D50" i="4"/>
  <c r="G50" i="4"/>
  <c r="J54" i="1"/>
  <c r="K54" i="1" s="1"/>
  <c r="V54" i="1"/>
  <c r="W54" i="1" s="1"/>
  <c r="G51" i="4"/>
  <c r="D55" i="1"/>
  <c r="C55" i="1"/>
  <c r="E55" i="1"/>
  <c r="F55" i="1" s="1"/>
  <c r="I55" i="1" s="1"/>
  <c r="B56" i="1"/>
  <c r="B52" i="4"/>
  <c r="A53" i="4"/>
  <c r="P54" i="1" l="1"/>
  <c r="U54" i="1" s="1"/>
  <c r="N54" i="1"/>
  <c r="S54" i="1" s="1"/>
  <c r="O54" i="1"/>
  <c r="T54" i="1" s="1"/>
  <c r="L54" i="1"/>
  <c r="Q54" i="1" s="1"/>
  <c r="M54" i="1"/>
  <c r="R54" i="1" s="1"/>
  <c r="AB54" i="1"/>
  <c r="AG54" i="1" s="1"/>
  <c r="Z54" i="1"/>
  <c r="AE54" i="1" s="1"/>
  <c r="AA54" i="1"/>
  <c r="AF54" i="1" s="1"/>
  <c r="Y54" i="1"/>
  <c r="AD54" i="1" s="1"/>
  <c r="X54" i="1"/>
  <c r="AC54" i="1" s="1"/>
  <c r="C51" i="4"/>
  <c r="E51" i="4"/>
  <c r="D51" i="4"/>
  <c r="F51" i="4"/>
  <c r="F52" i="4"/>
  <c r="D52" i="4"/>
  <c r="C56" i="1"/>
  <c r="E56" i="1"/>
  <c r="F56" i="1" s="1"/>
  <c r="I56" i="1" s="1"/>
  <c r="B57" i="1"/>
  <c r="D56" i="1"/>
  <c r="V55" i="1"/>
  <c r="W55" i="1" s="1"/>
  <c r="J55" i="1"/>
  <c r="K55" i="1" s="1"/>
  <c r="C52" i="4"/>
  <c r="G52" i="4"/>
  <c r="E52" i="4"/>
  <c r="A54" i="4"/>
  <c r="B53" i="4"/>
  <c r="P55" i="1" l="1"/>
  <c r="U55" i="1" s="1"/>
  <c r="N55" i="1"/>
  <c r="S55" i="1" s="1"/>
  <c r="O55" i="1"/>
  <c r="T55" i="1" s="1"/>
  <c r="M55" i="1"/>
  <c r="R55" i="1" s="1"/>
  <c r="L55" i="1"/>
  <c r="Q55" i="1" s="1"/>
  <c r="AB55" i="1"/>
  <c r="AG55" i="1" s="1"/>
  <c r="Z55" i="1"/>
  <c r="AE55" i="1" s="1"/>
  <c r="AA55" i="1"/>
  <c r="AF55" i="1" s="1"/>
  <c r="X55" i="1"/>
  <c r="AC55" i="1" s="1"/>
  <c r="Y55" i="1"/>
  <c r="AD55" i="1" s="1"/>
  <c r="J56" i="1"/>
  <c r="K56" i="1" s="1"/>
  <c r="V56" i="1"/>
  <c r="W56" i="1" s="1"/>
  <c r="D57" i="1"/>
  <c r="B58" i="1"/>
  <c r="C57" i="1"/>
  <c r="E57" i="1"/>
  <c r="F57" i="1" s="1"/>
  <c r="I57" i="1" s="1"/>
  <c r="C53" i="4"/>
  <c r="D53" i="4"/>
  <c r="F53" i="4"/>
  <c r="G53" i="4"/>
  <c r="E53" i="4"/>
  <c r="A55" i="4"/>
  <c r="B54" i="4"/>
  <c r="AB56" i="1" l="1"/>
  <c r="AG56" i="1" s="1"/>
  <c r="Z56" i="1"/>
  <c r="AE56" i="1" s="1"/>
  <c r="AA56" i="1"/>
  <c r="AF56" i="1" s="1"/>
  <c r="X56" i="1"/>
  <c r="AC56" i="1" s="1"/>
  <c r="Y56" i="1"/>
  <c r="AD56" i="1" s="1"/>
  <c r="P56" i="1"/>
  <c r="U56" i="1" s="1"/>
  <c r="N56" i="1"/>
  <c r="S56" i="1" s="1"/>
  <c r="O56" i="1"/>
  <c r="T56" i="1" s="1"/>
  <c r="L56" i="1"/>
  <c r="Q56" i="1" s="1"/>
  <c r="M56" i="1"/>
  <c r="R56" i="1" s="1"/>
  <c r="J57" i="1"/>
  <c r="K57" i="1" s="1"/>
  <c r="V57" i="1"/>
  <c r="W57" i="1" s="1"/>
  <c r="C58" i="1"/>
  <c r="E58" i="1"/>
  <c r="F58" i="1" s="1"/>
  <c r="I58" i="1" s="1"/>
  <c r="D58" i="1"/>
  <c r="B59" i="1"/>
  <c r="G54" i="4"/>
  <c r="A56" i="4"/>
  <c r="B55" i="4"/>
  <c r="AB57" i="1" l="1"/>
  <c r="AG57" i="1" s="1"/>
  <c r="Z57" i="1"/>
  <c r="AE57" i="1" s="1"/>
  <c r="AA57" i="1"/>
  <c r="AF57" i="1" s="1"/>
  <c r="X57" i="1"/>
  <c r="AC57" i="1" s="1"/>
  <c r="Y57" i="1"/>
  <c r="AD57" i="1" s="1"/>
  <c r="P57" i="1"/>
  <c r="U57" i="1" s="1"/>
  <c r="N57" i="1"/>
  <c r="S57" i="1" s="1"/>
  <c r="O57" i="1"/>
  <c r="T57" i="1" s="1"/>
  <c r="M57" i="1"/>
  <c r="R57" i="1" s="1"/>
  <c r="L57" i="1"/>
  <c r="Q57" i="1" s="1"/>
  <c r="D54" i="4"/>
  <c r="E54" i="4"/>
  <c r="F54" i="4"/>
  <c r="C54" i="4"/>
  <c r="V58" i="1"/>
  <c r="W58" i="1" s="1"/>
  <c r="J58" i="1"/>
  <c r="K58" i="1" s="1"/>
  <c r="D55" i="4"/>
  <c r="E55" i="4"/>
  <c r="F55" i="4"/>
  <c r="C55" i="4"/>
  <c r="D59" i="1"/>
  <c r="E59" i="1"/>
  <c r="F59" i="1" s="1"/>
  <c r="I59" i="1" s="1"/>
  <c r="C59" i="1"/>
  <c r="B60" i="1"/>
  <c r="B56" i="4"/>
  <c r="A57" i="4"/>
  <c r="G55" i="4"/>
  <c r="P58" i="1" l="1"/>
  <c r="U58" i="1" s="1"/>
  <c r="N58" i="1"/>
  <c r="S58" i="1" s="1"/>
  <c r="O58" i="1"/>
  <c r="T58" i="1" s="1"/>
  <c r="L58" i="1"/>
  <c r="Q58" i="1" s="1"/>
  <c r="M58" i="1"/>
  <c r="R58" i="1" s="1"/>
  <c r="AB58" i="1"/>
  <c r="AG58" i="1" s="1"/>
  <c r="Z58" i="1"/>
  <c r="AE58" i="1" s="1"/>
  <c r="AA58" i="1"/>
  <c r="AF58" i="1" s="1"/>
  <c r="X58" i="1"/>
  <c r="AC58" i="1" s="1"/>
  <c r="Y58" i="1"/>
  <c r="AD58" i="1" s="1"/>
  <c r="C60" i="1"/>
  <c r="E60" i="1"/>
  <c r="F60" i="1" s="1"/>
  <c r="I60" i="1" s="1"/>
  <c r="D60" i="1"/>
  <c r="B61" i="1"/>
  <c r="V59" i="1"/>
  <c r="W59" i="1" s="1"/>
  <c r="J59" i="1"/>
  <c r="K59" i="1" s="1"/>
  <c r="A58" i="4"/>
  <c r="B57" i="4"/>
  <c r="P59" i="1" l="1"/>
  <c r="U59" i="1" s="1"/>
  <c r="N59" i="1"/>
  <c r="S59" i="1" s="1"/>
  <c r="O59" i="1"/>
  <c r="T59" i="1" s="1"/>
  <c r="M59" i="1"/>
  <c r="R59" i="1" s="1"/>
  <c r="L59" i="1"/>
  <c r="Q59" i="1" s="1"/>
  <c r="AB59" i="1"/>
  <c r="AG59" i="1" s="1"/>
  <c r="Z59" i="1"/>
  <c r="AE59" i="1" s="1"/>
  <c r="AA59" i="1"/>
  <c r="AF59" i="1" s="1"/>
  <c r="X59" i="1"/>
  <c r="AC59" i="1" s="1"/>
  <c r="Y59" i="1"/>
  <c r="AD59" i="1" s="1"/>
  <c r="F56" i="4"/>
  <c r="E56" i="4"/>
  <c r="D56" i="4"/>
  <c r="C56" i="4"/>
  <c r="G56" i="4"/>
  <c r="D57" i="4"/>
  <c r="G57" i="4"/>
  <c r="D61" i="1"/>
  <c r="B62" i="1"/>
  <c r="C61" i="1"/>
  <c r="E61" i="1"/>
  <c r="F61" i="1" s="1"/>
  <c r="I61" i="1" s="1"/>
  <c r="J60" i="1"/>
  <c r="K60" i="1" s="1"/>
  <c r="V60" i="1"/>
  <c r="W60" i="1" s="1"/>
  <c r="B58" i="4"/>
  <c r="A59" i="4"/>
  <c r="P60" i="1" l="1"/>
  <c r="U60" i="1" s="1"/>
  <c r="N60" i="1"/>
  <c r="S60" i="1" s="1"/>
  <c r="O60" i="1"/>
  <c r="T60" i="1" s="1"/>
  <c r="L60" i="1"/>
  <c r="Q60" i="1" s="1"/>
  <c r="M60" i="1"/>
  <c r="R60" i="1" s="1"/>
  <c r="AB60" i="1"/>
  <c r="AG60" i="1" s="1"/>
  <c r="Z60" i="1"/>
  <c r="AE60" i="1" s="1"/>
  <c r="AA60" i="1"/>
  <c r="AF60" i="1" s="1"/>
  <c r="X60" i="1"/>
  <c r="AC60" i="1" s="1"/>
  <c r="Y60" i="1"/>
  <c r="AD60" i="1" s="1"/>
  <c r="E57" i="4"/>
  <c r="C57" i="4"/>
  <c r="F57" i="4"/>
  <c r="C62" i="1"/>
  <c r="E62" i="1"/>
  <c r="F62" i="1" s="1"/>
  <c r="I62" i="1" s="1"/>
  <c r="B63" i="1"/>
  <c r="D62" i="1"/>
  <c r="J61" i="1"/>
  <c r="K61" i="1" s="1"/>
  <c r="V61" i="1"/>
  <c r="W61" i="1" s="1"/>
  <c r="C58" i="4"/>
  <c r="E58" i="4"/>
  <c r="D58" i="4"/>
  <c r="F58" i="4"/>
  <c r="A60" i="4"/>
  <c r="B59" i="4"/>
  <c r="G58" i="4"/>
  <c r="AB61" i="1" l="1"/>
  <c r="AG61" i="1" s="1"/>
  <c r="Z61" i="1"/>
  <c r="AE61" i="1" s="1"/>
  <c r="AA61" i="1"/>
  <c r="AF61" i="1" s="1"/>
  <c r="X61" i="1"/>
  <c r="AC61" i="1" s="1"/>
  <c r="Y61" i="1"/>
  <c r="AD61" i="1" s="1"/>
  <c r="P61" i="1"/>
  <c r="U61" i="1" s="1"/>
  <c r="N61" i="1"/>
  <c r="S61" i="1" s="1"/>
  <c r="O61" i="1"/>
  <c r="T61" i="1" s="1"/>
  <c r="M61" i="1"/>
  <c r="R61" i="1" s="1"/>
  <c r="L61" i="1"/>
  <c r="Q61" i="1" s="1"/>
  <c r="D63" i="1"/>
  <c r="C63" i="1"/>
  <c r="E63" i="1"/>
  <c r="F63" i="1" s="1"/>
  <c r="I63" i="1" s="1"/>
  <c r="B64" i="1"/>
  <c r="J62" i="1"/>
  <c r="K62" i="1" s="1"/>
  <c r="V62" i="1"/>
  <c r="W62" i="1" s="1"/>
  <c r="B60" i="4"/>
  <c r="A61" i="4"/>
  <c r="AB62" i="1" l="1"/>
  <c r="AG62" i="1" s="1"/>
  <c r="Z62" i="1"/>
  <c r="AE62" i="1" s="1"/>
  <c r="AA62" i="1"/>
  <c r="AF62" i="1" s="1"/>
  <c r="Y62" i="1"/>
  <c r="AD62" i="1" s="1"/>
  <c r="X62" i="1"/>
  <c r="AC62" i="1" s="1"/>
  <c r="P62" i="1"/>
  <c r="U62" i="1" s="1"/>
  <c r="N62" i="1"/>
  <c r="S62" i="1" s="1"/>
  <c r="O62" i="1"/>
  <c r="T62" i="1" s="1"/>
  <c r="L62" i="1"/>
  <c r="Q62" i="1" s="1"/>
  <c r="M62" i="1"/>
  <c r="R62" i="1" s="1"/>
  <c r="C59" i="4"/>
  <c r="E59" i="4"/>
  <c r="F59" i="4"/>
  <c r="G59" i="4"/>
  <c r="D59" i="4"/>
  <c r="C64" i="1"/>
  <c r="E64" i="1"/>
  <c r="F64" i="1" s="1"/>
  <c r="I64" i="1" s="1"/>
  <c r="B65" i="1"/>
  <c r="D64" i="1"/>
  <c r="G60" i="4"/>
  <c r="D60" i="4"/>
  <c r="F60" i="4"/>
  <c r="V63" i="1"/>
  <c r="W63" i="1" s="1"/>
  <c r="J63" i="1"/>
  <c r="K63" i="1" s="1"/>
  <c r="A62" i="4"/>
  <c r="B61" i="4"/>
  <c r="P63" i="1" l="1"/>
  <c r="U63" i="1" s="1"/>
  <c r="N63" i="1"/>
  <c r="S63" i="1" s="1"/>
  <c r="O63" i="1"/>
  <c r="T63" i="1" s="1"/>
  <c r="M63" i="1"/>
  <c r="R63" i="1" s="1"/>
  <c r="L63" i="1"/>
  <c r="Q63" i="1" s="1"/>
  <c r="AB63" i="1"/>
  <c r="AG63" i="1" s="1"/>
  <c r="Z63" i="1"/>
  <c r="AE63" i="1" s="1"/>
  <c r="AA63" i="1"/>
  <c r="AF63" i="1" s="1"/>
  <c r="X63" i="1"/>
  <c r="AC63" i="1" s="1"/>
  <c r="Y63" i="1"/>
  <c r="AD63" i="1" s="1"/>
  <c r="E60" i="4"/>
  <c r="C60" i="4"/>
  <c r="D61" i="4"/>
  <c r="F61" i="4"/>
  <c r="C61" i="4"/>
  <c r="E61" i="4"/>
  <c r="D65" i="1"/>
  <c r="B66" i="1"/>
  <c r="C65" i="1"/>
  <c r="E65" i="1"/>
  <c r="F65" i="1" s="1"/>
  <c r="I65" i="1" s="1"/>
  <c r="J64" i="1"/>
  <c r="K64" i="1" s="1"/>
  <c r="V64" i="1"/>
  <c r="W64" i="1" s="1"/>
  <c r="A63" i="4"/>
  <c r="G61" i="4"/>
  <c r="B62" i="4"/>
  <c r="AB64" i="1" l="1"/>
  <c r="AG64" i="1" s="1"/>
  <c r="Z64" i="1"/>
  <c r="AE64" i="1" s="1"/>
  <c r="AA64" i="1"/>
  <c r="AF64" i="1" s="1"/>
  <c r="X64" i="1"/>
  <c r="AC64" i="1" s="1"/>
  <c r="Y64" i="1"/>
  <c r="AD64" i="1" s="1"/>
  <c r="P64" i="1"/>
  <c r="U64" i="1" s="1"/>
  <c r="N64" i="1"/>
  <c r="S64" i="1" s="1"/>
  <c r="O64" i="1"/>
  <c r="T64" i="1" s="1"/>
  <c r="L64" i="1"/>
  <c r="Q64" i="1" s="1"/>
  <c r="M64" i="1"/>
  <c r="R64" i="1" s="1"/>
  <c r="C66" i="1"/>
  <c r="E66" i="1"/>
  <c r="F66" i="1" s="1"/>
  <c r="I66" i="1" s="1"/>
  <c r="D66" i="1"/>
  <c r="B67" i="1"/>
  <c r="J65" i="1"/>
  <c r="K65" i="1" s="1"/>
  <c r="V65" i="1"/>
  <c r="W65" i="1" s="1"/>
  <c r="B63" i="4"/>
  <c r="A64" i="4"/>
  <c r="AB65" i="1" l="1"/>
  <c r="AG65" i="1" s="1"/>
  <c r="Z65" i="1"/>
  <c r="AE65" i="1" s="1"/>
  <c r="AA65" i="1"/>
  <c r="AF65" i="1" s="1"/>
  <c r="X65" i="1"/>
  <c r="AC65" i="1" s="1"/>
  <c r="Y65" i="1"/>
  <c r="AD65" i="1" s="1"/>
  <c r="P65" i="1"/>
  <c r="U65" i="1" s="1"/>
  <c r="N65" i="1"/>
  <c r="S65" i="1" s="1"/>
  <c r="O65" i="1"/>
  <c r="T65" i="1" s="1"/>
  <c r="M65" i="1"/>
  <c r="R65" i="1" s="1"/>
  <c r="L65" i="1"/>
  <c r="Q65" i="1" s="1"/>
  <c r="D62" i="4"/>
  <c r="C62" i="4"/>
  <c r="F62" i="4"/>
  <c r="G62" i="4"/>
  <c r="E62" i="4"/>
  <c r="D67" i="1"/>
  <c r="E67" i="1"/>
  <c r="F67" i="1" s="1"/>
  <c r="I67" i="1" s="1"/>
  <c r="B68" i="1"/>
  <c r="C67" i="1"/>
  <c r="V66" i="1"/>
  <c r="W66" i="1" s="1"/>
  <c r="J66" i="1"/>
  <c r="K66" i="1" s="1"/>
  <c r="E63" i="4"/>
  <c r="G63" i="4"/>
  <c r="A65" i="4"/>
  <c r="B64" i="4"/>
  <c r="P66" i="1" l="1"/>
  <c r="U66" i="1" s="1"/>
  <c r="N66" i="1"/>
  <c r="S66" i="1" s="1"/>
  <c r="O66" i="1"/>
  <c r="T66" i="1" s="1"/>
  <c r="L66" i="1"/>
  <c r="Q66" i="1" s="1"/>
  <c r="M66" i="1"/>
  <c r="R66" i="1" s="1"/>
  <c r="AB66" i="1"/>
  <c r="AG66" i="1" s="1"/>
  <c r="Z66" i="1"/>
  <c r="AE66" i="1" s="1"/>
  <c r="AA66" i="1"/>
  <c r="AF66" i="1" s="1"/>
  <c r="X66" i="1"/>
  <c r="AC66" i="1" s="1"/>
  <c r="Y66" i="1"/>
  <c r="AD66" i="1" s="1"/>
  <c r="D63" i="4"/>
  <c r="C63" i="4"/>
  <c r="F63" i="4"/>
  <c r="C68" i="1"/>
  <c r="E68" i="1"/>
  <c r="F68" i="1" s="1"/>
  <c r="I68" i="1" s="1"/>
  <c r="D68" i="1"/>
  <c r="B69" i="1"/>
  <c r="V67" i="1"/>
  <c r="W67" i="1" s="1"/>
  <c r="J67" i="1"/>
  <c r="K67" i="1" s="1"/>
  <c r="C64" i="4"/>
  <c r="F64" i="4"/>
  <c r="D64" i="4"/>
  <c r="A66" i="4"/>
  <c r="E64" i="4"/>
  <c r="G64" i="4"/>
  <c r="B65" i="4"/>
  <c r="AB67" i="1" l="1"/>
  <c r="AG67" i="1" s="1"/>
  <c r="Z67" i="1"/>
  <c r="AE67" i="1" s="1"/>
  <c r="AA67" i="1"/>
  <c r="AF67" i="1" s="1"/>
  <c r="X67" i="1"/>
  <c r="AC67" i="1" s="1"/>
  <c r="Y67" i="1"/>
  <c r="AD67" i="1" s="1"/>
  <c r="P67" i="1"/>
  <c r="U67" i="1" s="1"/>
  <c r="N67" i="1"/>
  <c r="S67" i="1" s="1"/>
  <c r="O67" i="1"/>
  <c r="T67" i="1" s="1"/>
  <c r="M67" i="1"/>
  <c r="R67" i="1" s="1"/>
  <c r="L67" i="1"/>
  <c r="Q67" i="1" s="1"/>
  <c r="D69" i="1"/>
  <c r="B70" i="1"/>
  <c r="E69" i="1"/>
  <c r="F69" i="1" s="1"/>
  <c r="I69" i="1" s="1"/>
  <c r="C69" i="1"/>
  <c r="J68" i="1"/>
  <c r="K68" i="1" s="1"/>
  <c r="V68" i="1"/>
  <c r="W68" i="1" s="1"/>
  <c r="A67" i="4"/>
  <c r="B66" i="4"/>
  <c r="AB68" i="1" l="1"/>
  <c r="AG68" i="1" s="1"/>
  <c r="Z68" i="1"/>
  <c r="AE68" i="1" s="1"/>
  <c r="AA68" i="1"/>
  <c r="AF68" i="1" s="1"/>
  <c r="X68" i="1"/>
  <c r="AC68" i="1" s="1"/>
  <c r="Y68" i="1"/>
  <c r="AD68" i="1" s="1"/>
  <c r="P68" i="1"/>
  <c r="U68" i="1" s="1"/>
  <c r="N68" i="1"/>
  <c r="S68" i="1" s="1"/>
  <c r="O68" i="1"/>
  <c r="T68" i="1" s="1"/>
  <c r="L68" i="1"/>
  <c r="Q68" i="1" s="1"/>
  <c r="M68" i="1"/>
  <c r="R68" i="1" s="1"/>
  <c r="E65" i="4"/>
  <c r="C65" i="4"/>
  <c r="F65" i="4"/>
  <c r="G65" i="4"/>
  <c r="D65" i="4"/>
  <c r="E66" i="4"/>
  <c r="D66" i="4"/>
  <c r="F66" i="4"/>
  <c r="G66" i="4"/>
  <c r="C70" i="1"/>
  <c r="E70" i="1"/>
  <c r="F70" i="1" s="1"/>
  <c r="I70" i="1" s="1"/>
  <c r="D70" i="1"/>
  <c r="B71" i="1"/>
  <c r="J69" i="1"/>
  <c r="K69" i="1" s="1"/>
  <c r="V69" i="1"/>
  <c r="W69" i="1" s="1"/>
  <c r="B67" i="4"/>
  <c r="A68" i="4"/>
  <c r="AB69" i="1" l="1"/>
  <c r="AG69" i="1" s="1"/>
  <c r="Z69" i="1"/>
  <c r="AE69" i="1" s="1"/>
  <c r="AA69" i="1"/>
  <c r="AF69" i="1" s="1"/>
  <c r="X69" i="1"/>
  <c r="AC69" i="1" s="1"/>
  <c r="Y69" i="1"/>
  <c r="AD69" i="1" s="1"/>
  <c r="P69" i="1"/>
  <c r="U69" i="1" s="1"/>
  <c r="N69" i="1"/>
  <c r="S69" i="1" s="1"/>
  <c r="O69" i="1"/>
  <c r="T69" i="1" s="1"/>
  <c r="M69" i="1"/>
  <c r="R69" i="1" s="1"/>
  <c r="L69" i="1"/>
  <c r="Q69" i="1" s="1"/>
  <c r="C66" i="4"/>
  <c r="D71" i="1"/>
  <c r="C71" i="1"/>
  <c r="E71" i="1"/>
  <c r="F71" i="1" s="1"/>
  <c r="I71" i="1" s="1"/>
  <c r="B72" i="1"/>
  <c r="D67" i="4"/>
  <c r="C67" i="4"/>
  <c r="F67" i="4"/>
  <c r="E67" i="4"/>
  <c r="J70" i="1"/>
  <c r="K70" i="1" s="1"/>
  <c r="V70" i="1"/>
  <c r="W70" i="1" s="1"/>
  <c r="G67" i="4"/>
  <c r="A69" i="4"/>
  <c r="B68" i="4"/>
  <c r="P70" i="1" l="1"/>
  <c r="U70" i="1" s="1"/>
  <c r="N70" i="1"/>
  <c r="S70" i="1" s="1"/>
  <c r="O70" i="1"/>
  <c r="T70" i="1" s="1"/>
  <c r="L70" i="1"/>
  <c r="Q70" i="1" s="1"/>
  <c r="M70" i="1"/>
  <c r="R70" i="1" s="1"/>
  <c r="AB70" i="1"/>
  <c r="AG70" i="1" s="1"/>
  <c r="Z70" i="1"/>
  <c r="AE70" i="1" s="1"/>
  <c r="AA70" i="1"/>
  <c r="AF70" i="1" s="1"/>
  <c r="Y70" i="1"/>
  <c r="AD70" i="1" s="1"/>
  <c r="X70" i="1"/>
  <c r="AC70" i="1" s="1"/>
  <c r="V71" i="1"/>
  <c r="W71" i="1" s="1"/>
  <c r="J71" i="1"/>
  <c r="K71" i="1" s="1"/>
  <c r="C72" i="1"/>
  <c r="E72" i="1"/>
  <c r="F72" i="1" s="1"/>
  <c r="I72" i="1" s="1"/>
  <c r="B73" i="1"/>
  <c r="D72" i="1"/>
  <c r="A70" i="4"/>
  <c r="B69" i="4"/>
  <c r="AB71" i="1" l="1"/>
  <c r="AG71" i="1" s="1"/>
  <c r="Z71" i="1"/>
  <c r="AE71" i="1" s="1"/>
  <c r="AA71" i="1"/>
  <c r="AF71" i="1" s="1"/>
  <c r="X71" i="1"/>
  <c r="AC71" i="1" s="1"/>
  <c r="Y71" i="1"/>
  <c r="AD71" i="1" s="1"/>
  <c r="P71" i="1"/>
  <c r="U71" i="1" s="1"/>
  <c r="N71" i="1"/>
  <c r="S71" i="1" s="1"/>
  <c r="O71" i="1"/>
  <c r="T71" i="1" s="1"/>
  <c r="M71" i="1"/>
  <c r="R71" i="1" s="1"/>
  <c r="L71" i="1"/>
  <c r="Q71" i="1" s="1"/>
  <c r="F68" i="4"/>
  <c r="E68" i="4"/>
  <c r="C68" i="4"/>
  <c r="D68" i="4"/>
  <c r="G68" i="4"/>
  <c r="D73" i="1"/>
  <c r="B74" i="1"/>
  <c r="C73" i="1"/>
  <c r="E73" i="1"/>
  <c r="F73" i="1" s="1"/>
  <c r="I73" i="1" s="1"/>
  <c r="V72" i="1"/>
  <c r="W72" i="1" s="1"/>
  <c r="J72" i="1"/>
  <c r="K72" i="1" s="1"/>
  <c r="G69" i="4"/>
  <c r="F69" i="4"/>
  <c r="A71" i="4"/>
  <c r="B70" i="4"/>
  <c r="AB72" i="1" l="1"/>
  <c r="AG72" i="1" s="1"/>
  <c r="Z72" i="1"/>
  <c r="AE72" i="1" s="1"/>
  <c r="AA72" i="1"/>
  <c r="AF72" i="1" s="1"/>
  <c r="X72" i="1"/>
  <c r="AC72" i="1" s="1"/>
  <c r="Y72" i="1"/>
  <c r="AD72" i="1" s="1"/>
  <c r="P72" i="1"/>
  <c r="U72" i="1" s="1"/>
  <c r="N72" i="1"/>
  <c r="S72" i="1" s="1"/>
  <c r="O72" i="1"/>
  <c r="T72" i="1" s="1"/>
  <c r="L72" i="1"/>
  <c r="Q72" i="1" s="1"/>
  <c r="M72" i="1"/>
  <c r="R72" i="1" s="1"/>
  <c r="E69" i="4"/>
  <c r="C69" i="4"/>
  <c r="D69" i="4"/>
  <c r="C74" i="1"/>
  <c r="E74" i="1"/>
  <c r="F74" i="1" s="1"/>
  <c r="I74" i="1" s="1"/>
  <c r="D74" i="1"/>
  <c r="B75" i="1"/>
  <c r="C70" i="4"/>
  <c r="D70" i="4"/>
  <c r="F70" i="4"/>
  <c r="E70" i="4"/>
  <c r="J73" i="1"/>
  <c r="K73" i="1" s="1"/>
  <c r="V73" i="1"/>
  <c r="W73" i="1" s="1"/>
  <c r="G70" i="4"/>
  <c r="B71" i="4"/>
  <c r="A72" i="4"/>
  <c r="AB73" i="1" l="1"/>
  <c r="AG73" i="1" s="1"/>
  <c r="Z73" i="1"/>
  <c r="AE73" i="1" s="1"/>
  <c r="AA73" i="1"/>
  <c r="AF73" i="1" s="1"/>
  <c r="X73" i="1"/>
  <c r="AC73" i="1" s="1"/>
  <c r="Y73" i="1"/>
  <c r="AD73" i="1" s="1"/>
  <c r="P73" i="1"/>
  <c r="U73" i="1" s="1"/>
  <c r="N73" i="1"/>
  <c r="S73" i="1" s="1"/>
  <c r="O73" i="1"/>
  <c r="T73" i="1" s="1"/>
  <c r="M73" i="1"/>
  <c r="R73" i="1" s="1"/>
  <c r="L73" i="1"/>
  <c r="Q73" i="1" s="1"/>
  <c r="V74" i="1"/>
  <c r="W74" i="1" s="1"/>
  <c r="J74" i="1"/>
  <c r="K74" i="1" s="1"/>
  <c r="D75" i="1"/>
  <c r="E75" i="1"/>
  <c r="F75" i="1" s="1"/>
  <c r="I75" i="1" s="1"/>
  <c r="C75" i="1"/>
  <c r="B76" i="1"/>
  <c r="B72" i="4"/>
  <c r="A73" i="4"/>
  <c r="P74" i="1" l="1"/>
  <c r="U74" i="1" s="1"/>
  <c r="N74" i="1"/>
  <c r="S74" i="1" s="1"/>
  <c r="O74" i="1"/>
  <c r="T74" i="1" s="1"/>
  <c r="L74" i="1"/>
  <c r="Q74" i="1" s="1"/>
  <c r="M74" i="1"/>
  <c r="R74" i="1" s="1"/>
  <c r="AB74" i="1"/>
  <c r="AG74" i="1" s="1"/>
  <c r="Z74" i="1"/>
  <c r="AE74" i="1" s="1"/>
  <c r="AA74" i="1"/>
  <c r="AF74" i="1" s="1"/>
  <c r="X74" i="1"/>
  <c r="AC74" i="1" s="1"/>
  <c r="Y74" i="1"/>
  <c r="AD74" i="1" s="1"/>
  <c r="C71" i="4"/>
  <c r="F71" i="4"/>
  <c r="E71" i="4"/>
  <c r="G71" i="4"/>
  <c r="D71" i="4"/>
  <c r="C76" i="1"/>
  <c r="E76" i="1"/>
  <c r="F76" i="1" s="1"/>
  <c r="I76" i="1" s="1"/>
  <c r="D76" i="1"/>
  <c r="B77" i="1"/>
  <c r="V75" i="1"/>
  <c r="W75" i="1" s="1"/>
  <c r="J75" i="1"/>
  <c r="K75" i="1" s="1"/>
  <c r="F72" i="4"/>
  <c r="G72" i="4"/>
  <c r="A74" i="4"/>
  <c r="B73" i="4"/>
  <c r="AB75" i="1" l="1"/>
  <c r="AG75" i="1" s="1"/>
  <c r="Z75" i="1"/>
  <c r="AE75" i="1" s="1"/>
  <c r="AA75" i="1"/>
  <c r="AF75" i="1" s="1"/>
  <c r="X75" i="1"/>
  <c r="AC75" i="1" s="1"/>
  <c r="Y75" i="1"/>
  <c r="AD75" i="1" s="1"/>
  <c r="P75" i="1"/>
  <c r="U75" i="1" s="1"/>
  <c r="N75" i="1"/>
  <c r="S75" i="1" s="1"/>
  <c r="O75" i="1"/>
  <c r="T75" i="1" s="1"/>
  <c r="M75" i="1"/>
  <c r="R75" i="1" s="1"/>
  <c r="L75" i="1"/>
  <c r="Q75" i="1" s="1"/>
  <c r="E72" i="4"/>
  <c r="D72" i="4"/>
  <c r="C72" i="4"/>
  <c r="E73" i="4"/>
  <c r="F73" i="4"/>
  <c r="J76" i="1"/>
  <c r="K76" i="1" s="1"/>
  <c r="V76" i="1"/>
  <c r="W76" i="1" s="1"/>
  <c r="D77" i="1"/>
  <c r="B78" i="1"/>
  <c r="C77" i="1"/>
  <c r="E77" i="1"/>
  <c r="F77" i="1" s="1"/>
  <c r="I77" i="1" s="1"/>
  <c r="A75" i="4"/>
  <c r="B74" i="4"/>
  <c r="C73" i="4"/>
  <c r="D73" i="4"/>
  <c r="G73" i="4"/>
  <c r="AB76" i="1" l="1"/>
  <c r="AG76" i="1" s="1"/>
  <c r="Z76" i="1"/>
  <c r="AE76" i="1" s="1"/>
  <c r="AA76" i="1"/>
  <c r="AF76" i="1" s="1"/>
  <c r="X76" i="1"/>
  <c r="AC76" i="1" s="1"/>
  <c r="Y76" i="1"/>
  <c r="AD76" i="1" s="1"/>
  <c r="P76" i="1"/>
  <c r="U76" i="1" s="1"/>
  <c r="N76" i="1"/>
  <c r="S76" i="1" s="1"/>
  <c r="O76" i="1"/>
  <c r="T76" i="1" s="1"/>
  <c r="L76" i="1"/>
  <c r="Q76" i="1" s="1"/>
  <c r="M76" i="1"/>
  <c r="R76" i="1" s="1"/>
  <c r="J77" i="1"/>
  <c r="K77" i="1" s="1"/>
  <c r="V77" i="1"/>
  <c r="W77" i="1" s="1"/>
  <c r="C78" i="1"/>
  <c r="E78" i="1"/>
  <c r="F78" i="1" s="1"/>
  <c r="I78" i="1" s="1"/>
  <c r="B79" i="1"/>
  <c r="D78" i="1"/>
  <c r="B75" i="4"/>
  <c r="A76" i="4"/>
  <c r="D74" i="4"/>
  <c r="F74" i="4"/>
  <c r="E74" i="4"/>
  <c r="C74" i="4"/>
  <c r="G74" i="4"/>
  <c r="AB77" i="1" l="1"/>
  <c r="AG77" i="1" s="1"/>
  <c r="Z77" i="1"/>
  <c r="AE77" i="1" s="1"/>
  <c r="AA77" i="1"/>
  <c r="AF77" i="1" s="1"/>
  <c r="X77" i="1"/>
  <c r="AC77" i="1" s="1"/>
  <c r="Y77" i="1"/>
  <c r="AD77" i="1" s="1"/>
  <c r="P77" i="1"/>
  <c r="U77" i="1" s="1"/>
  <c r="N77" i="1"/>
  <c r="S77" i="1" s="1"/>
  <c r="E75" i="4" s="1"/>
  <c r="O77" i="1"/>
  <c r="T77" i="1" s="1"/>
  <c r="F75" i="4" s="1"/>
  <c r="M77" i="1"/>
  <c r="R77" i="1" s="1"/>
  <c r="L77" i="1"/>
  <c r="Q77" i="1" s="1"/>
  <c r="D75" i="4"/>
  <c r="G75" i="4"/>
  <c r="D79" i="1"/>
  <c r="C79" i="1"/>
  <c r="E79" i="1"/>
  <c r="F79" i="1" s="1"/>
  <c r="I79" i="1" s="1"/>
  <c r="B80" i="1"/>
  <c r="J78" i="1"/>
  <c r="K78" i="1" s="1"/>
  <c r="V78" i="1"/>
  <c r="W78" i="1" s="1"/>
  <c r="B76" i="4"/>
  <c r="A77" i="4"/>
  <c r="AB78" i="1" l="1"/>
  <c r="AG78" i="1" s="1"/>
  <c r="Z78" i="1"/>
  <c r="AE78" i="1" s="1"/>
  <c r="AA78" i="1"/>
  <c r="AF78" i="1" s="1"/>
  <c r="Y78" i="1"/>
  <c r="AD78" i="1" s="1"/>
  <c r="D76" i="4" s="1"/>
  <c r="X78" i="1"/>
  <c r="AC78" i="1" s="1"/>
  <c r="P78" i="1"/>
  <c r="U78" i="1" s="1"/>
  <c r="N78" i="1"/>
  <c r="S78" i="1" s="1"/>
  <c r="O78" i="1"/>
  <c r="T78" i="1" s="1"/>
  <c r="L78" i="1"/>
  <c r="Q78" i="1" s="1"/>
  <c r="M78" i="1"/>
  <c r="R78" i="1" s="1"/>
  <c r="C75" i="4"/>
  <c r="C80" i="1"/>
  <c r="E80" i="1"/>
  <c r="F80" i="1" s="1"/>
  <c r="I80" i="1" s="1"/>
  <c r="B81" i="1"/>
  <c r="D80" i="1"/>
  <c r="C76" i="4"/>
  <c r="E76" i="4"/>
  <c r="F76" i="4"/>
  <c r="V79" i="1"/>
  <c r="W79" i="1" s="1"/>
  <c r="J79" i="1"/>
  <c r="K79" i="1" s="1"/>
  <c r="B77" i="4"/>
  <c r="G76" i="4"/>
  <c r="A78" i="4"/>
  <c r="AB79" i="1" l="1"/>
  <c r="AG79" i="1" s="1"/>
  <c r="Z79" i="1"/>
  <c r="AE79" i="1" s="1"/>
  <c r="AA79" i="1"/>
  <c r="AF79" i="1" s="1"/>
  <c r="X79" i="1"/>
  <c r="AC79" i="1" s="1"/>
  <c r="Y79" i="1"/>
  <c r="AD79" i="1" s="1"/>
  <c r="P79" i="1"/>
  <c r="U79" i="1" s="1"/>
  <c r="N79" i="1"/>
  <c r="S79" i="1" s="1"/>
  <c r="O79" i="1"/>
  <c r="T79" i="1" s="1"/>
  <c r="M79" i="1"/>
  <c r="R79" i="1" s="1"/>
  <c r="L79" i="1"/>
  <c r="Q79" i="1" s="1"/>
  <c r="D81" i="1"/>
  <c r="B82" i="1"/>
  <c r="C81" i="1"/>
  <c r="E81" i="1"/>
  <c r="F81" i="1" s="1"/>
  <c r="I81" i="1" s="1"/>
  <c r="V80" i="1"/>
  <c r="W80" i="1" s="1"/>
  <c r="J80" i="1"/>
  <c r="K80" i="1" s="1"/>
  <c r="B78" i="4"/>
  <c r="A79" i="4"/>
  <c r="AB80" i="1" l="1"/>
  <c r="AG80" i="1" s="1"/>
  <c r="Z80" i="1"/>
  <c r="AE80" i="1" s="1"/>
  <c r="AA80" i="1"/>
  <c r="AF80" i="1" s="1"/>
  <c r="X80" i="1"/>
  <c r="AC80" i="1" s="1"/>
  <c r="Y80" i="1"/>
  <c r="AD80" i="1" s="1"/>
  <c r="P80" i="1"/>
  <c r="U80" i="1" s="1"/>
  <c r="N80" i="1"/>
  <c r="S80" i="1" s="1"/>
  <c r="O80" i="1"/>
  <c r="T80" i="1" s="1"/>
  <c r="L80" i="1"/>
  <c r="Q80" i="1" s="1"/>
  <c r="M80" i="1"/>
  <c r="R80" i="1" s="1"/>
  <c r="C77" i="4"/>
  <c r="D77" i="4"/>
  <c r="G77" i="4"/>
  <c r="F77" i="4"/>
  <c r="E77" i="4"/>
  <c r="J81" i="1"/>
  <c r="K81" i="1" s="1"/>
  <c r="V81" i="1"/>
  <c r="W81" i="1" s="1"/>
  <c r="G78" i="4"/>
  <c r="C82" i="1"/>
  <c r="E82" i="1"/>
  <c r="F82" i="1" s="1"/>
  <c r="I82" i="1" s="1"/>
  <c r="B83" i="1"/>
  <c r="D82" i="1"/>
  <c r="B79" i="4"/>
  <c r="A80" i="4"/>
  <c r="P81" i="1" l="1"/>
  <c r="U81" i="1" s="1"/>
  <c r="N81" i="1"/>
  <c r="S81" i="1" s="1"/>
  <c r="O81" i="1"/>
  <c r="T81" i="1" s="1"/>
  <c r="M81" i="1"/>
  <c r="R81" i="1" s="1"/>
  <c r="L81" i="1"/>
  <c r="Q81" i="1" s="1"/>
  <c r="AB81" i="1"/>
  <c r="AG81" i="1" s="1"/>
  <c r="Z81" i="1"/>
  <c r="AE81" i="1" s="1"/>
  <c r="AA81" i="1"/>
  <c r="AF81" i="1" s="1"/>
  <c r="X81" i="1"/>
  <c r="AC81" i="1" s="1"/>
  <c r="Y81" i="1"/>
  <c r="AD81" i="1" s="1"/>
  <c r="F78" i="4"/>
  <c r="D78" i="4"/>
  <c r="C78" i="4"/>
  <c r="E78" i="4"/>
  <c r="F79" i="4"/>
  <c r="C79" i="4"/>
  <c r="D83" i="1"/>
  <c r="E83" i="1"/>
  <c r="F83" i="1" s="1"/>
  <c r="I83" i="1" s="1"/>
  <c r="C83" i="1"/>
  <c r="B84" i="1"/>
  <c r="J82" i="1"/>
  <c r="K82" i="1" s="1"/>
  <c r="V82" i="1"/>
  <c r="W82" i="1" s="1"/>
  <c r="A81" i="4"/>
  <c r="B80" i="4"/>
  <c r="E79" i="4"/>
  <c r="D79" i="4"/>
  <c r="G79" i="4"/>
  <c r="P82" i="1" l="1"/>
  <c r="U82" i="1" s="1"/>
  <c r="N82" i="1"/>
  <c r="S82" i="1" s="1"/>
  <c r="O82" i="1"/>
  <c r="T82" i="1" s="1"/>
  <c r="L82" i="1"/>
  <c r="Q82" i="1" s="1"/>
  <c r="M82" i="1"/>
  <c r="R82" i="1" s="1"/>
  <c r="AB82" i="1"/>
  <c r="AG82" i="1" s="1"/>
  <c r="Z82" i="1"/>
  <c r="AE82" i="1" s="1"/>
  <c r="AA82" i="1"/>
  <c r="AF82" i="1" s="1"/>
  <c r="X82" i="1"/>
  <c r="AC82" i="1" s="1"/>
  <c r="Y82" i="1"/>
  <c r="AD82" i="1" s="1"/>
  <c r="V83" i="1"/>
  <c r="W83" i="1" s="1"/>
  <c r="J83" i="1"/>
  <c r="K83" i="1" s="1"/>
  <c r="C84" i="1"/>
  <c r="E84" i="1"/>
  <c r="F84" i="1" s="1"/>
  <c r="I84" i="1" s="1"/>
  <c r="D84" i="1"/>
  <c r="B85" i="1"/>
  <c r="B81" i="4"/>
  <c r="A82" i="4"/>
  <c r="P83" i="1" l="1"/>
  <c r="U83" i="1" s="1"/>
  <c r="N83" i="1"/>
  <c r="S83" i="1" s="1"/>
  <c r="O83" i="1"/>
  <c r="T83" i="1" s="1"/>
  <c r="M83" i="1"/>
  <c r="R83" i="1" s="1"/>
  <c r="L83" i="1"/>
  <c r="Q83" i="1" s="1"/>
  <c r="AB83" i="1"/>
  <c r="AG83" i="1" s="1"/>
  <c r="Z83" i="1"/>
  <c r="AE83" i="1" s="1"/>
  <c r="AA83" i="1"/>
  <c r="AF83" i="1" s="1"/>
  <c r="X83" i="1"/>
  <c r="AC83" i="1" s="1"/>
  <c r="Y83" i="1"/>
  <c r="AD83" i="1" s="1"/>
  <c r="D80" i="4"/>
  <c r="F80" i="4"/>
  <c r="E80" i="4"/>
  <c r="G80" i="4"/>
  <c r="C80" i="4"/>
  <c r="V84" i="1"/>
  <c r="W84" i="1" s="1"/>
  <c r="J84" i="1"/>
  <c r="K84" i="1" s="1"/>
  <c r="D85" i="1"/>
  <c r="C85" i="1"/>
  <c r="E85" i="1"/>
  <c r="F85" i="1" s="1"/>
  <c r="I85" i="1" s="1"/>
  <c r="B86" i="1"/>
  <c r="C81" i="4"/>
  <c r="E81" i="4"/>
  <c r="F81" i="4"/>
  <c r="G81" i="4"/>
  <c r="B82" i="4"/>
  <c r="A83" i="4"/>
  <c r="AB84" i="1" l="1"/>
  <c r="AG84" i="1" s="1"/>
  <c r="Z84" i="1"/>
  <c r="AE84" i="1" s="1"/>
  <c r="AA84" i="1"/>
  <c r="AF84" i="1" s="1"/>
  <c r="X84" i="1"/>
  <c r="AC84" i="1" s="1"/>
  <c r="Y84" i="1"/>
  <c r="AD84" i="1" s="1"/>
  <c r="P84" i="1"/>
  <c r="U84" i="1" s="1"/>
  <c r="N84" i="1"/>
  <c r="S84" i="1" s="1"/>
  <c r="O84" i="1"/>
  <c r="T84" i="1" s="1"/>
  <c r="L84" i="1"/>
  <c r="Q84" i="1" s="1"/>
  <c r="M84" i="1"/>
  <c r="R84" i="1" s="1"/>
  <c r="D81" i="4"/>
  <c r="J85" i="1"/>
  <c r="K85" i="1" s="1"/>
  <c r="V85" i="1"/>
  <c r="W85" i="1" s="1"/>
  <c r="C86" i="1"/>
  <c r="E86" i="1"/>
  <c r="F86" i="1" s="1"/>
  <c r="I86" i="1" s="1"/>
  <c r="D86" i="1"/>
  <c r="B87" i="1"/>
  <c r="C82" i="4"/>
  <c r="D82" i="4"/>
  <c r="E82" i="4"/>
  <c r="F82" i="4"/>
  <c r="B83" i="4"/>
  <c r="G82" i="4"/>
  <c r="A84" i="4"/>
  <c r="P85" i="1" l="1"/>
  <c r="U85" i="1" s="1"/>
  <c r="N85" i="1"/>
  <c r="S85" i="1" s="1"/>
  <c r="O85" i="1"/>
  <c r="T85" i="1" s="1"/>
  <c r="M85" i="1"/>
  <c r="R85" i="1" s="1"/>
  <c r="L85" i="1"/>
  <c r="Q85" i="1" s="1"/>
  <c r="AB85" i="1"/>
  <c r="AG85" i="1" s="1"/>
  <c r="Z85" i="1"/>
  <c r="AE85" i="1" s="1"/>
  <c r="AA85" i="1"/>
  <c r="AF85" i="1" s="1"/>
  <c r="X85" i="1"/>
  <c r="AC85" i="1" s="1"/>
  <c r="Y85" i="1"/>
  <c r="AD85" i="1" s="1"/>
  <c r="D87" i="1"/>
  <c r="C87" i="1"/>
  <c r="B88" i="1"/>
  <c r="E87" i="1"/>
  <c r="F87" i="1" s="1"/>
  <c r="I87" i="1" s="1"/>
  <c r="J86" i="1"/>
  <c r="K86" i="1" s="1"/>
  <c r="V86" i="1"/>
  <c r="W86" i="1" s="1"/>
  <c r="A85" i="4"/>
  <c r="B84" i="4"/>
  <c r="P86" i="1" l="1"/>
  <c r="U86" i="1" s="1"/>
  <c r="N86" i="1"/>
  <c r="S86" i="1" s="1"/>
  <c r="O86" i="1"/>
  <c r="T86" i="1" s="1"/>
  <c r="L86" i="1"/>
  <c r="Q86" i="1" s="1"/>
  <c r="M86" i="1"/>
  <c r="R86" i="1" s="1"/>
  <c r="AB86" i="1"/>
  <c r="AG86" i="1" s="1"/>
  <c r="Z86" i="1"/>
  <c r="AE86" i="1" s="1"/>
  <c r="AA86" i="1"/>
  <c r="AF86" i="1" s="1"/>
  <c r="Y86" i="1"/>
  <c r="AD86" i="1" s="1"/>
  <c r="X86" i="1"/>
  <c r="AC86" i="1" s="1"/>
  <c r="F83" i="4"/>
  <c r="C83" i="4"/>
  <c r="E83" i="4"/>
  <c r="G83" i="4"/>
  <c r="D83" i="4"/>
  <c r="C84" i="4"/>
  <c r="G84" i="4"/>
  <c r="F84" i="4"/>
  <c r="D84" i="4"/>
  <c r="C88" i="1"/>
  <c r="E88" i="1"/>
  <c r="F88" i="1" s="1"/>
  <c r="I88" i="1" s="1"/>
  <c r="B89" i="1"/>
  <c r="D88" i="1"/>
  <c r="J87" i="1"/>
  <c r="K87" i="1" s="1"/>
  <c r="V87" i="1"/>
  <c r="W87" i="1" s="1"/>
  <c r="A86" i="4"/>
  <c r="B85" i="4"/>
  <c r="AB87" i="1" l="1"/>
  <c r="AG87" i="1" s="1"/>
  <c r="Z87" i="1"/>
  <c r="AE87" i="1" s="1"/>
  <c r="AA87" i="1"/>
  <c r="AF87" i="1" s="1"/>
  <c r="X87" i="1"/>
  <c r="AC87" i="1" s="1"/>
  <c r="Y87" i="1"/>
  <c r="AD87" i="1" s="1"/>
  <c r="P87" i="1"/>
  <c r="U87" i="1" s="1"/>
  <c r="N87" i="1"/>
  <c r="S87" i="1" s="1"/>
  <c r="O87" i="1"/>
  <c r="T87" i="1" s="1"/>
  <c r="M87" i="1"/>
  <c r="R87" i="1" s="1"/>
  <c r="L87" i="1"/>
  <c r="Q87" i="1" s="1"/>
  <c r="E84" i="4"/>
  <c r="C85" i="4"/>
  <c r="F85" i="4"/>
  <c r="V88" i="1"/>
  <c r="W88" i="1" s="1"/>
  <c r="J88" i="1"/>
  <c r="K88" i="1" s="1"/>
  <c r="D89" i="1"/>
  <c r="B90" i="1"/>
  <c r="E89" i="1"/>
  <c r="F89" i="1" s="1"/>
  <c r="I89" i="1" s="1"/>
  <c r="C89" i="1"/>
  <c r="B86" i="4"/>
  <c r="G85" i="4"/>
  <c r="E85" i="4"/>
  <c r="D85" i="4"/>
  <c r="A87" i="4"/>
  <c r="AB88" i="1" l="1"/>
  <c r="AG88" i="1" s="1"/>
  <c r="Z88" i="1"/>
  <c r="AE88" i="1" s="1"/>
  <c r="AA88" i="1"/>
  <c r="AF88" i="1" s="1"/>
  <c r="X88" i="1"/>
  <c r="AC88" i="1" s="1"/>
  <c r="Y88" i="1"/>
  <c r="AD88" i="1" s="1"/>
  <c r="P88" i="1"/>
  <c r="U88" i="1" s="1"/>
  <c r="N88" i="1"/>
  <c r="S88" i="1" s="1"/>
  <c r="O88" i="1"/>
  <c r="T88" i="1" s="1"/>
  <c r="L88" i="1"/>
  <c r="Q88" i="1" s="1"/>
  <c r="M88" i="1"/>
  <c r="R88" i="1" s="1"/>
  <c r="J89" i="1"/>
  <c r="K89" i="1" s="1"/>
  <c r="V89" i="1"/>
  <c r="W89" i="1" s="1"/>
  <c r="C90" i="1"/>
  <c r="E90" i="1"/>
  <c r="F90" i="1" s="1"/>
  <c r="I90" i="1" s="1"/>
  <c r="B91" i="1"/>
  <c r="D90" i="1"/>
  <c r="A88" i="4"/>
  <c r="B87" i="4"/>
  <c r="P89" i="1" l="1"/>
  <c r="U89" i="1" s="1"/>
  <c r="N89" i="1"/>
  <c r="S89" i="1" s="1"/>
  <c r="O89" i="1"/>
  <c r="T89" i="1" s="1"/>
  <c r="M89" i="1"/>
  <c r="R89" i="1" s="1"/>
  <c r="L89" i="1"/>
  <c r="Q89" i="1" s="1"/>
  <c r="AB89" i="1"/>
  <c r="AG89" i="1" s="1"/>
  <c r="Z89" i="1"/>
  <c r="AE89" i="1" s="1"/>
  <c r="AA89" i="1"/>
  <c r="AF89" i="1" s="1"/>
  <c r="X89" i="1"/>
  <c r="AC89" i="1" s="1"/>
  <c r="Y89" i="1"/>
  <c r="AD89" i="1" s="1"/>
  <c r="D86" i="4"/>
  <c r="F86" i="4"/>
  <c r="E86" i="4"/>
  <c r="C86" i="4"/>
  <c r="G86" i="4"/>
  <c r="G87" i="4"/>
  <c r="D91" i="1"/>
  <c r="E91" i="1"/>
  <c r="F91" i="1" s="1"/>
  <c r="I91" i="1" s="1"/>
  <c r="C91" i="1"/>
  <c r="B92" i="1"/>
  <c r="V90" i="1"/>
  <c r="W90" i="1" s="1"/>
  <c r="J90" i="1"/>
  <c r="K90" i="1" s="1"/>
  <c r="B88" i="4"/>
  <c r="A89" i="4"/>
  <c r="P90" i="1" l="1"/>
  <c r="U90" i="1" s="1"/>
  <c r="N90" i="1"/>
  <c r="S90" i="1" s="1"/>
  <c r="O90" i="1"/>
  <c r="T90" i="1" s="1"/>
  <c r="L90" i="1"/>
  <c r="Q90" i="1" s="1"/>
  <c r="M90" i="1"/>
  <c r="R90" i="1" s="1"/>
  <c r="AB90" i="1"/>
  <c r="AG90" i="1" s="1"/>
  <c r="Z90" i="1"/>
  <c r="AE90" i="1" s="1"/>
  <c r="AA90" i="1"/>
  <c r="AF90" i="1" s="1"/>
  <c r="X90" i="1"/>
  <c r="AC90" i="1" s="1"/>
  <c r="Y90" i="1"/>
  <c r="AD90" i="1" s="1"/>
  <c r="F87" i="4"/>
  <c r="C87" i="4"/>
  <c r="E87" i="4"/>
  <c r="D87" i="4"/>
  <c r="C88" i="4"/>
  <c r="D88" i="4"/>
  <c r="V91" i="1"/>
  <c r="W91" i="1" s="1"/>
  <c r="J91" i="1"/>
  <c r="K91" i="1" s="1"/>
  <c r="C92" i="1"/>
  <c r="E92" i="1"/>
  <c r="F92" i="1" s="1"/>
  <c r="I92" i="1" s="1"/>
  <c r="D92" i="1"/>
  <c r="B93" i="1"/>
  <c r="B89" i="4"/>
  <c r="G88" i="4"/>
  <c r="E88" i="4"/>
  <c r="F88" i="4"/>
  <c r="A90" i="4"/>
  <c r="P91" i="1" l="1"/>
  <c r="U91" i="1" s="1"/>
  <c r="N91" i="1"/>
  <c r="S91" i="1" s="1"/>
  <c r="O91" i="1"/>
  <c r="T91" i="1" s="1"/>
  <c r="M91" i="1"/>
  <c r="R91" i="1" s="1"/>
  <c r="L91" i="1"/>
  <c r="Q91" i="1" s="1"/>
  <c r="AB91" i="1"/>
  <c r="AG91" i="1" s="1"/>
  <c r="Z91" i="1"/>
  <c r="AE91" i="1" s="1"/>
  <c r="AA91" i="1"/>
  <c r="AF91" i="1" s="1"/>
  <c r="X91" i="1"/>
  <c r="AC91" i="1" s="1"/>
  <c r="Y91" i="1"/>
  <c r="AD91" i="1" s="1"/>
  <c r="D93" i="1"/>
  <c r="B94" i="1"/>
  <c r="C93" i="1"/>
  <c r="E93" i="1"/>
  <c r="F93" i="1" s="1"/>
  <c r="I93" i="1" s="1"/>
  <c r="V92" i="1"/>
  <c r="W92" i="1" s="1"/>
  <c r="J92" i="1"/>
  <c r="K92" i="1" s="1"/>
  <c r="B90" i="4"/>
  <c r="A91" i="4"/>
  <c r="P92" i="1" l="1"/>
  <c r="U92" i="1" s="1"/>
  <c r="N92" i="1"/>
  <c r="S92" i="1" s="1"/>
  <c r="O92" i="1"/>
  <c r="T92" i="1" s="1"/>
  <c r="L92" i="1"/>
  <c r="Q92" i="1" s="1"/>
  <c r="M92" i="1"/>
  <c r="R92" i="1" s="1"/>
  <c r="AB92" i="1"/>
  <c r="AG92" i="1" s="1"/>
  <c r="Z92" i="1"/>
  <c r="AE92" i="1" s="1"/>
  <c r="AA92" i="1"/>
  <c r="AF92" i="1" s="1"/>
  <c r="X92" i="1"/>
  <c r="AC92" i="1" s="1"/>
  <c r="Y92" i="1"/>
  <c r="AD92" i="1" s="1"/>
  <c r="C89" i="4"/>
  <c r="D89" i="4"/>
  <c r="F89" i="4"/>
  <c r="E89" i="4"/>
  <c r="G89" i="4"/>
  <c r="J93" i="1"/>
  <c r="K93" i="1" s="1"/>
  <c r="V93" i="1"/>
  <c r="W93" i="1" s="1"/>
  <c r="G90" i="4"/>
  <c r="D94" i="1"/>
  <c r="E94" i="1"/>
  <c r="F94" i="1" s="1"/>
  <c r="I94" i="1" s="1"/>
  <c r="B95" i="1"/>
  <c r="C94" i="1"/>
  <c r="A92" i="4"/>
  <c r="B91" i="4"/>
  <c r="P93" i="1" l="1"/>
  <c r="U93" i="1" s="1"/>
  <c r="N93" i="1"/>
  <c r="S93" i="1" s="1"/>
  <c r="O93" i="1"/>
  <c r="T93" i="1" s="1"/>
  <c r="M93" i="1"/>
  <c r="R93" i="1" s="1"/>
  <c r="L93" i="1"/>
  <c r="Q93" i="1" s="1"/>
  <c r="AB93" i="1"/>
  <c r="AG93" i="1" s="1"/>
  <c r="Z93" i="1"/>
  <c r="AE93" i="1" s="1"/>
  <c r="AA93" i="1"/>
  <c r="AF93" i="1" s="1"/>
  <c r="F91" i="4" s="1"/>
  <c r="X93" i="1"/>
  <c r="AC93" i="1" s="1"/>
  <c r="Y93" i="1"/>
  <c r="AD93" i="1" s="1"/>
  <c r="C90" i="4"/>
  <c r="F90" i="4"/>
  <c r="E90" i="4"/>
  <c r="D90" i="4"/>
  <c r="D95" i="1"/>
  <c r="C95" i="1"/>
  <c r="B96" i="1"/>
  <c r="E95" i="1"/>
  <c r="F95" i="1" s="1"/>
  <c r="I95" i="1" s="1"/>
  <c r="C91" i="4"/>
  <c r="D91" i="4"/>
  <c r="E91" i="4"/>
  <c r="J94" i="1"/>
  <c r="K94" i="1" s="1"/>
  <c r="V94" i="1"/>
  <c r="W94" i="1" s="1"/>
  <c r="A93" i="4"/>
  <c r="G91" i="4"/>
  <c r="B92" i="4"/>
  <c r="P94" i="1" l="1"/>
  <c r="U94" i="1" s="1"/>
  <c r="N94" i="1"/>
  <c r="S94" i="1" s="1"/>
  <c r="O94" i="1"/>
  <c r="T94" i="1" s="1"/>
  <c r="L94" i="1"/>
  <c r="Q94" i="1" s="1"/>
  <c r="M94" i="1"/>
  <c r="R94" i="1" s="1"/>
  <c r="AB94" i="1"/>
  <c r="AG94" i="1" s="1"/>
  <c r="AA94" i="1"/>
  <c r="AF94" i="1" s="1"/>
  <c r="Z94" i="1"/>
  <c r="AE94" i="1" s="1"/>
  <c r="Y94" i="1"/>
  <c r="AD94" i="1" s="1"/>
  <c r="X94" i="1"/>
  <c r="AC94" i="1" s="1"/>
  <c r="B97" i="1"/>
  <c r="D96" i="1"/>
  <c r="C96" i="1"/>
  <c r="E96" i="1"/>
  <c r="F96" i="1" s="1"/>
  <c r="I96" i="1" s="1"/>
  <c r="V95" i="1"/>
  <c r="W95" i="1" s="1"/>
  <c r="J95" i="1"/>
  <c r="K95" i="1" s="1"/>
  <c r="A94" i="4"/>
  <c r="B93" i="4"/>
  <c r="P95" i="1" l="1"/>
  <c r="U95" i="1" s="1"/>
  <c r="N95" i="1"/>
  <c r="S95" i="1" s="1"/>
  <c r="O95" i="1"/>
  <c r="T95" i="1" s="1"/>
  <c r="M95" i="1"/>
  <c r="R95" i="1" s="1"/>
  <c r="L95" i="1"/>
  <c r="Q95" i="1" s="1"/>
  <c r="AB95" i="1"/>
  <c r="AG95" i="1" s="1"/>
  <c r="AA95" i="1"/>
  <c r="AF95" i="1" s="1"/>
  <c r="X95" i="1"/>
  <c r="AC95" i="1" s="1"/>
  <c r="Y95" i="1"/>
  <c r="AD95" i="1" s="1"/>
  <c r="Z95" i="1"/>
  <c r="AE95" i="1" s="1"/>
  <c r="D92" i="4"/>
  <c r="E92" i="4"/>
  <c r="C92" i="4"/>
  <c r="G92" i="4"/>
  <c r="F92" i="4"/>
  <c r="J96" i="1"/>
  <c r="K96" i="1" s="1"/>
  <c r="V96" i="1"/>
  <c r="W96" i="1" s="1"/>
  <c r="B98" i="1"/>
  <c r="C97" i="1"/>
  <c r="D97" i="1"/>
  <c r="E97" i="1"/>
  <c r="F97" i="1" s="1"/>
  <c r="I97" i="1" s="1"/>
  <c r="G93" i="4"/>
  <c r="B94" i="4"/>
  <c r="A95" i="4"/>
  <c r="P96" i="1" l="1"/>
  <c r="U96" i="1" s="1"/>
  <c r="N96" i="1"/>
  <c r="S96" i="1" s="1"/>
  <c r="O96" i="1"/>
  <c r="T96" i="1" s="1"/>
  <c r="L96" i="1"/>
  <c r="Q96" i="1" s="1"/>
  <c r="M96" i="1"/>
  <c r="R96" i="1" s="1"/>
  <c r="AB96" i="1"/>
  <c r="AG96" i="1" s="1"/>
  <c r="AA96" i="1"/>
  <c r="AF96" i="1" s="1"/>
  <c r="X96" i="1"/>
  <c r="AC96" i="1" s="1"/>
  <c r="Y96" i="1"/>
  <c r="AD96" i="1" s="1"/>
  <c r="Z96" i="1"/>
  <c r="AE96" i="1" s="1"/>
  <c r="D93" i="4"/>
  <c r="F93" i="4"/>
  <c r="C93" i="4"/>
  <c r="E93" i="4"/>
  <c r="E98" i="1"/>
  <c r="F98" i="1" s="1"/>
  <c r="I98" i="1" s="1"/>
  <c r="C98" i="1"/>
  <c r="B99" i="1"/>
  <c r="D98" i="1"/>
  <c r="J97" i="1"/>
  <c r="K97" i="1" s="1"/>
  <c r="V97" i="1"/>
  <c r="W97" i="1" s="1"/>
  <c r="F94" i="4"/>
  <c r="D94" i="4"/>
  <c r="C94" i="4"/>
  <c r="E94" i="4"/>
  <c r="B95" i="4"/>
  <c r="A96" i="4"/>
  <c r="G94" i="4"/>
  <c r="P97" i="1" l="1"/>
  <c r="U97" i="1" s="1"/>
  <c r="N97" i="1"/>
  <c r="S97" i="1" s="1"/>
  <c r="O97" i="1"/>
  <c r="T97" i="1" s="1"/>
  <c r="M97" i="1"/>
  <c r="R97" i="1" s="1"/>
  <c r="L97" i="1"/>
  <c r="Q97" i="1" s="1"/>
  <c r="AB97" i="1"/>
  <c r="AG97" i="1" s="1"/>
  <c r="AA97" i="1"/>
  <c r="AF97" i="1" s="1"/>
  <c r="Y97" i="1"/>
  <c r="AD97" i="1" s="1"/>
  <c r="X97" i="1"/>
  <c r="AC97" i="1" s="1"/>
  <c r="Z97" i="1"/>
  <c r="AE97" i="1" s="1"/>
  <c r="D99" i="1"/>
  <c r="C99" i="1"/>
  <c r="B100" i="1"/>
  <c r="E99" i="1"/>
  <c r="F99" i="1" s="1"/>
  <c r="I99" i="1" s="1"/>
  <c r="J98" i="1"/>
  <c r="K98" i="1" s="1"/>
  <c r="V98" i="1"/>
  <c r="W98" i="1" s="1"/>
  <c r="A97" i="4"/>
  <c r="B96" i="4"/>
  <c r="E95" i="4"/>
  <c r="D95" i="4"/>
  <c r="F95" i="4"/>
  <c r="G95" i="4"/>
  <c r="C95" i="4"/>
  <c r="AB98" i="1" l="1"/>
  <c r="AG98" i="1" s="1"/>
  <c r="AA98" i="1"/>
  <c r="AF98" i="1" s="1"/>
  <c r="Z98" i="1"/>
  <c r="AE98" i="1" s="1"/>
  <c r="X98" i="1"/>
  <c r="AC98" i="1" s="1"/>
  <c r="Y98" i="1"/>
  <c r="AD98" i="1" s="1"/>
  <c r="P98" i="1"/>
  <c r="U98" i="1" s="1"/>
  <c r="N98" i="1"/>
  <c r="S98" i="1" s="1"/>
  <c r="O98" i="1"/>
  <c r="T98" i="1" s="1"/>
  <c r="L98" i="1"/>
  <c r="Q98" i="1" s="1"/>
  <c r="M98" i="1"/>
  <c r="R98" i="1" s="1"/>
  <c r="J99" i="1"/>
  <c r="K99" i="1" s="1"/>
  <c r="V99" i="1"/>
  <c r="W99" i="1" s="1"/>
  <c r="E100" i="1"/>
  <c r="F100" i="1" s="1"/>
  <c r="I100" i="1" s="1"/>
  <c r="C100" i="1"/>
  <c r="B101" i="1"/>
  <c r="D100" i="1"/>
  <c r="F96" i="4"/>
  <c r="C96" i="4"/>
  <c r="G96" i="4"/>
  <c r="D96" i="4"/>
  <c r="B97" i="4"/>
  <c r="A98" i="4"/>
  <c r="AB99" i="1" l="1"/>
  <c r="AG99" i="1" s="1"/>
  <c r="AA99" i="1"/>
  <c r="AF99" i="1" s="1"/>
  <c r="Z99" i="1"/>
  <c r="AE99" i="1" s="1"/>
  <c r="X99" i="1"/>
  <c r="AC99" i="1" s="1"/>
  <c r="C97" i="4" s="1"/>
  <c r="Y99" i="1"/>
  <c r="AD99" i="1" s="1"/>
  <c r="P99" i="1"/>
  <c r="U99" i="1" s="1"/>
  <c r="N99" i="1"/>
  <c r="S99" i="1" s="1"/>
  <c r="O99" i="1"/>
  <c r="T99" i="1" s="1"/>
  <c r="M99" i="1"/>
  <c r="R99" i="1" s="1"/>
  <c r="L99" i="1"/>
  <c r="Q99" i="1" s="1"/>
  <c r="E96" i="4"/>
  <c r="D101" i="1"/>
  <c r="C101" i="1"/>
  <c r="B102" i="1"/>
  <c r="E101" i="1"/>
  <c r="F101" i="1" s="1"/>
  <c r="I101" i="1" s="1"/>
  <c r="V100" i="1"/>
  <c r="W100" i="1" s="1"/>
  <c r="J100" i="1"/>
  <c r="K100" i="1" s="1"/>
  <c r="E97" i="4"/>
  <c r="F97" i="4"/>
  <c r="D97" i="4"/>
  <c r="A99" i="4"/>
  <c r="B98" i="4"/>
  <c r="G97" i="4"/>
  <c r="AB100" i="1" l="1"/>
  <c r="AG100" i="1" s="1"/>
  <c r="AA100" i="1"/>
  <c r="AF100" i="1" s="1"/>
  <c r="X100" i="1"/>
  <c r="AC100" i="1" s="1"/>
  <c r="Y100" i="1"/>
  <c r="AD100" i="1" s="1"/>
  <c r="Z100" i="1"/>
  <c r="AE100" i="1" s="1"/>
  <c r="P100" i="1"/>
  <c r="U100" i="1" s="1"/>
  <c r="N100" i="1"/>
  <c r="S100" i="1" s="1"/>
  <c r="O100" i="1"/>
  <c r="T100" i="1" s="1"/>
  <c r="L100" i="1"/>
  <c r="Q100" i="1" s="1"/>
  <c r="M100" i="1"/>
  <c r="R100" i="1" s="1"/>
  <c r="J101" i="1"/>
  <c r="K101" i="1" s="1"/>
  <c r="V101" i="1"/>
  <c r="W101" i="1" s="1"/>
  <c r="C102" i="1"/>
  <c r="B103" i="1"/>
  <c r="E102" i="1"/>
  <c r="F102" i="1" s="1"/>
  <c r="I102" i="1" s="1"/>
  <c r="D102" i="1"/>
  <c r="A100" i="4"/>
  <c r="B99" i="4"/>
  <c r="P101" i="1" l="1"/>
  <c r="U101" i="1" s="1"/>
  <c r="N101" i="1"/>
  <c r="S101" i="1" s="1"/>
  <c r="O101" i="1"/>
  <c r="T101" i="1" s="1"/>
  <c r="M101" i="1"/>
  <c r="R101" i="1" s="1"/>
  <c r="L101" i="1"/>
  <c r="Q101" i="1" s="1"/>
  <c r="AB101" i="1"/>
  <c r="AG101" i="1" s="1"/>
  <c r="AA101" i="1"/>
  <c r="AF101" i="1" s="1"/>
  <c r="Y101" i="1"/>
  <c r="AD101" i="1" s="1"/>
  <c r="Z101" i="1"/>
  <c r="AE101" i="1" s="1"/>
  <c r="X101" i="1"/>
  <c r="AC101" i="1" s="1"/>
  <c r="F98" i="4"/>
  <c r="D98" i="4"/>
  <c r="G98" i="4"/>
  <c r="C98" i="4"/>
  <c r="E98" i="4"/>
  <c r="E103" i="1"/>
  <c r="F103" i="1" s="1"/>
  <c r="I103" i="1" s="1"/>
  <c r="D103" i="1"/>
  <c r="C103" i="1"/>
  <c r="B104" i="1"/>
  <c r="J102" i="1"/>
  <c r="K102" i="1" s="1"/>
  <c r="V102" i="1"/>
  <c r="W102" i="1" s="1"/>
  <c r="G99" i="4"/>
  <c r="A101" i="4"/>
  <c r="B100" i="4"/>
  <c r="P102" i="1" l="1"/>
  <c r="U102" i="1" s="1"/>
  <c r="O102" i="1"/>
  <c r="T102" i="1" s="1"/>
  <c r="L102" i="1"/>
  <c r="Q102" i="1" s="1"/>
  <c r="M102" i="1"/>
  <c r="R102" i="1" s="1"/>
  <c r="N102" i="1"/>
  <c r="S102" i="1" s="1"/>
  <c r="AB102" i="1"/>
  <c r="AG102" i="1" s="1"/>
  <c r="AA102" i="1"/>
  <c r="AF102" i="1" s="1"/>
  <c r="Z102" i="1"/>
  <c r="AE102" i="1" s="1"/>
  <c r="X102" i="1"/>
  <c r="AC102" i="1" s="1"/>
  <c r="Y102" i="1"/>
  <c r="AD102" i="1" s="1"/>
  <c r="E99" i="4"/>
  <c r="C99" i="4"/>
  <c r="D99" i="4"/>
  <c r="F99" i="4"/>
  <c r="E104" i="1"/>
  <c r="F104" i="1" s="1"/>
  <c r="I104" i="1" s="1"/>
  <c r="D104" i="1"/>
  <c r="B105" i="1"/>
  <c r="C104" i="1"/>
  <c r="F100" i="4"/>
  <c r="C100" i="4"/>
  <c r="D100" i="4"/>
  <c r="J103" i="1"/>
  <c r="K103" i="1" s="1"/>
  <c r="V103" i="1"/>
  <c r="W103" i="1" s="1"/>
  <c r="G100" i="4"/>
  <c r="B101" i="4"/>
  <c r="A102" i="4"/>
  <c r="E100" i="4" l="1"/>
  <c r="P103" i="1"/>
  <c r="U103" i="1" s="1"/>
  <c r="O103" i="1"/>
  <c r="T103" i="1" s="1"/>
  <c r="L103" i="1"/>
  <c r="Q103" i="1" s="1"/>
  <c r="M103" i="1"/>
  <c r="R103" i="1" s="1"/>
  <c r="N103" i="1"/>
  <c r="S103" i="1" s="1"/>
  <c r="AB103" i="1"/>
  <c r="AG103" i="1" s="1"/>
  <c r="AA103" i="1"/>
  <c r="AF103" i="1" s="1"/>
  <c r="Y103" i="1"/>
  <c r="AD103" i="1" s="1"/>
  <c r="Z103" i="1"/>
  <c r="AE103" i="1" s="1"/>
  <c r="X103" i="1"/>
  <c r="AC103" i="1" s="1"/>
  <c r="D105" i="1"/>
  <c r="B106" i="1"/>
  <c r="E105" i="1"/>
  <c r="F105" i="1" s="1"/>
  <c r="I105" i="1" s="1"/>
  <c r="C105" i="1"/>
  <c r="V104" i="1"/>
  <c r="W104" i="1" s="1"/>
  <c r="J104" i="1"/>
  <c r="K104" i="1" s="1"/>
  <c r="B102" i="4"/>
  <c r="A103" i="4"/>
  <c r="P104" i="1" l="1"/>
  <c r="U104" i="1" s="1"/>
  <c r="O104" i="1"/>
  <c r="T104" i="1" s="1"/>
  <c r="L104" i="1"/>
  <c r="Q104" i="1" s="1"/>
  <c r="M104" i="1"/>
  <c r="R104" i="1" s="1"/>
  <c r="N104" i="1"/>
  <c r="S104" i="1" s="1"/>
  <c r="AB104" i="1"/>
  <c r="AG104" i="1" s="1"/>
  <c r="AA104" i="1"/>
  <c r="AF104" i="1" s="1"/>
  <c r="X104" i="1"/>
  <c r="AC104" i="1" s="1"/>
  <c r="Y104" i="1"/>
  <c r="AD104" i="1" s="1"/>
  <c r="Z104" i="1"/>
  <c r="AE104" i="1" s="1"/>
  <c r="D101" i="4"/>
  <c r="F101" i="4"/>
  <c r="C101" i="4"/>
  <c r="E101" i="4"/>
  <c r="G101" i="4"/>
  <c r="V105" i="1"/>
  <c r="W105" i="1" s="1"/>
  <c r="J105" i="1"/>
  <c r="K105" i="1" s="1"/>
  <c r="C106" i="1"/>
  <c r="D106" i="1"/>
  <c r="B107" i="1"/>
  <c r="E106" i="1"/>
  <c r="F106" i="1" s="1"/>
  <c r="I106" i="1" s="1"/>
  <c r="C102" i="4"/>
  <c r="D102" i="4"/>
  <c r="E102" i="4"/>
  <c r="G102" i="4"/>
  <c r="A104" i="4"/>
  <c r="B103" i="4"/>
  <c r="AB105" i="1" l="1"/>
  <c r="AG105" i="1" s="1"/>
  <c r="AA105" i="1"/>
  <c r="AF105" i="1" s="1"/>
  <c r="Y105" i="1"/>
  <c r="AD105" i="1" s="1"/>
  <c r="X105" i="1"/>
  <c r="AC105" i="1" s="1"/>
  <c r="C103" i="4" s="1"/>
  <c r="Z105" i="1"/>
  <c r="AE105" i="1" s="1"/>
  <c r="P105" i="1"/>
  <c r="U105" i="1" s="1"/>
  <c r="O105" i="1"/>
  <c r="T105" i="1" s="1"/>
  <c r="L105" i="1"/>
  <c r="Q105" i="1" s="1"/>
  <c r="M105" i="1"/>
  <c r="R105" i="1" s="1"/>
  <c r="N105" i="1"/>
  <c r="S105" i="1" s="1"/>
  <c r="F102" i="4"/>
  <c r="E107" i="1"/>
  <c r="F107" i="1" s="1"/>
  <c r="I107" i="1" s="1"/>
  <c r="B108" i="1"/>
  <c r="C107" i="1"/>
  <c r="D107" i="1"/>
  <c r="J106" i="1"/>
  <c r="K106" i="1" s="1"/>
  <c r="V106" i="1"/>
  <c r="W106" i="1" s="1"/>
  <c r="D103" i="4"/>
  <c r="F103" i="4"/>
  <c r="E103" i="4"/>
  <c r="B104" i="4"/>
  <c r="A105" i="4"/>
  <c r="G103" i="4"/>
  <c r="P106" i="1" l="1"/>
  <c r="U106" i="1" s="1"/>
  <c r="O106" i="1"/>
  <c r="T106" i="1" s="1"/>
  <c r="L106" i="1"/>
  <c r="Q106" i="1" s="1"/>
  <c r="M106" i="1"/>
  <c r="R106" i="1" s="1"/>
  <c r="N106" i="1"/>
  <c r="S106" i="1" s="1"/>
  <c r="AB106" i="1"/>
  <c r="AG106" i="1" s="1"/>
  <c r="AA106" i="1"/>
  <c r="AF106" i="1" s="1"/>
  <c r="Z106" i="1"/>
  <c r="AE106" i="1" s="1"/>
  <c r="X106" i="1"/>
  <c r="AC106" i="1" s="1"/>
  <c r="Y106" i="1"/>
  <c r="AD106" i="1" s="1"/>
  <c r="C108" i="1"/>
  <c r="E108" i="1"/>
  <c r="F108" i="1" s="1"/>
  <c r="I108" i="1" s="1"/>
  <c r="B109" i="1"/>
  <c r="D108" i="1"/>
  <c r="V107" i="1"/>
  <c r="W107" i="1" s="1"/>
  <c r="J107" i="1"/>
  <c r="K107" i="1" s="1"/>
  <c r="A106" i="4"/>
  <c r="B105" i="4"/>
  <c r="AB107" i="1" l="1"/>
  <c r="AG107" i="1" s="1"/>
  <c r="AA107" i="1"/>
  <c r="AF107" i="1" s="1"/>
  <c r="X107" i="1"/>
  <c r="AC107" i="1" s="1"/>
  <c r="Y107" i="1"/>
  <c r="AD107" i="1" s="1"/>
  <c r="Z107" i="1"/>
  <c r="AE107" i="1" s="1"/>
  <c r="P107" i="1"/>
  <c r="U107" i="1" s="1"/>
  <c r="O107" i="1"/>
  <c r="T107" i="1" s="1"/>
  <c r="L107" i="1"/>
  <c r="Q107" i="1" s="1"/>
  <c r="M107" i="1"/>
  <c r="R107" i="1" s="1"/>
  <c r="N107" i="1"/>
  <c r="S107" i="1" s="1"/>
  <c r="C104" i="4"/>
  <c r="E104" i="4"/>
  <c r="F104" i="4"/>
  <c r="G104" i="4"/>
  <c r="D104" i="4"/>
  <c r="V108" i="1"/>
  <c r="W108" i="1" s="1"/>
  <c r="J108" i="1"/>
  <c r="K108" i="1" s="1"/>
  <c r="G105" i="4"/>
  <c r="C109" i="1"/>
  <c r="E109" i="1"/>
  <c r="F109" i="1" s="1"/>
  <c r="I109" i="1" s="1"/>
  <c r="B110" i="1"/>
  <c r="D109" i="1"/>
  <c r="A107" i="4"/>
  <c r="B106" i="4"/>
  <c r="AB108" i="1" l="1"/>
  <c r="AG108" i="1" s="1"/>
  <c r="AA108" i="1"/>
  <c r="AF108" i="1" s="1"/>
  <c r="X108" i="1"/>
  <c r="AC108" i="1" s="1"/>
  <c r="Z108" i="1"/>
  <c r="AE108" i="1" s="1"/>
  <c r="Y108" i="1"/>
  <c r="AD108" i="1" s="1"/>
  <c r="P108" i="1"/>
  <c r="U108" i="1" s="1"/>
  <c r="O108" i="1"/>
  <c r="T108" i="1" s="1"/>
  <c r="L108" i="1"/>
  <c r="Q108" i="1" s="1"/>
  <c r="M108" i="1"/>
  <c r="R108" i="1" s="1"/>
  <c r="N108" i="1"/>
  <c r="S108" i="1" s="1"/>
  <c r="E105" i="4"/>
  <c r="D105" i="4"/>
  <c r="F105" i="4"/>
  <c r="C105" i="4"/>
  <c r="B111" i="1"/>
  <c r="E110" i="1"/>
  <c r="F110" i="1" s="1"/>
  <c r="I110" i="1" s="1"/>
  <c r="C110" i="1"/>
  <c r="D110" i="1"/>
  <c r="J109" i="1"/>
  <c r="K109" i="1" s="1"/>
  <c r="V109" i="1"/>
  <c r="W109" i="1" s="1"/>
  <c r="F106" i="4"/>
  <c r="C106" i="4"/>
  <c r="B107" i="4"/>
  <c r="A108" i="4"/>
  <c r="D106" i="4"/>
  <c r="G106" i="4"/>
  <c r="E106" i="4"/>
  <c r="P109" i="1" l="1"/>
  <c r="U109" i="1" s="1"/>
  <c r="O109" i="1"/>
  <c r="T109" i="1" s="1"/>
  <c r="L109" i="1"/>
  <c r="Q109" i="1" s="1"/>
  <c r="M109" i="1"/>
  <c r="R109" i="1" s="1"/>
  <c r="N109" i="1"/>
  <c r="S109" i="1" s="1"/>
  <c r="AB109" i="1"/>
  <c r="AG109" i="1" s="1"/>
  <c r="AA109" i="1"/>
  <c r="AF109" i="1" s="1"/>
  <c r="Y109" i="1"/>
  <c r="AD109" i="1" s="1"/>
  <c r="X109" i="1"/>
  <c r="AC109" i="1" s="1"/>
  <c r="Z109" i="1"/>
  <c r="AE109" i="1" s="1"/>
  <c r="G107" i="4"/>
  <c r="J110" i="1"/>
  <c r="K110" i="1" s="1"/>
  <c r="V110" i="1"/>
  <c r="W110" i="1" s="1"/>
  <c r="D111" i="1"/>
  <c r="B112" i="1"/>
  <c r="C111" i="1"/>
  <c r="E111" i="1"/>
  <c r="F111" i="1" s="1"/>
  <c r="I111" i="1" s="1"/>
  <c r="A109" i="4"/>
  <c r="E107" i="4"/>
  <c r="B108" i="4"/>
  <c r="AB110" i="1" l="1"/>
  <c r="AG110" i="1" s="1"/>
  <c r="AA110" i="1"/>
  <c r="AF110" i="1" s="1"/>
  <c r="Z110" i="1"/>
  <c r="AE110" i="1" s="1"/>
  <c r="Y110" i="1"/>
  <c r="AD110" i="1" s="1"/>
  <c r="X110" i="1"/>
  <c r="AC110" i="1" s="1"/>
  <c r="P110" i="1"/>
  <c r="U110" i="1" s="1"/>
  <c r="O110" i="1"/>
  <c r="T110" i="1" s="1"/>
  <c r="L110" i="1"/>
  <c r="Q110" i="1" s="1"/>
  <c r="M110" i="1"/>
  <c r="R110" i="1" s="1"/>
  <c r="N110" i="1"/>
  <c r="S110" i="1" s="1"/>
  <c r="C107" i="4"/>
  <c r="D107" i="4"/>
  <c r="F107" i="4"/>
  <c r="V111" i="1"/>
  <c r="W111" i="1" s="1"/>
  <c r="J111" i="1"/>
  <c r="K111" i="1" s="1"/>
  <c r="G108" i="4"/>
  <c r="E112" i="1"/>
  <c r="F112" i="1" s="1"/>
  <c r="I112" i="1" s="1"/>
  <c r="C112" i="1"/>
  <c r="D112" i="1"/>
  <c r="B113" i="1"/>
  <c r="A110" i="4"/>
  <c r="B109" i="4"/>
  <c r="P111" i="1" l="1"/>
  <c r="U111" i="1" s="1"/>
  <c r="O111" i="1"/>
  <c r="T111" i="1" s="1"/>
  <c r="L111" i="1"/>
  <c r="Q111" i="1" s="1"/>
  <c r="M111" i="1"/>
  <c r="R111" i="1" s="1"/>
  <c r="N111" i="1"/>
  <c r="S111" i="1" s="1"/>
  <c r="AB111" i="1"/>
  <c r="AG111" i="1" s="1"/>
  <c r="AA111" i="1"/>
  <c r="AF111" i="1" s="1"/>
  <c r="F109" i="4" s="1"/>
  <c r="X111" i="1"/>
  <c r="AC111" i="1" s="1"/>
  <c r="C109" i="4" s="1"/>
  <c r="Y111" i="1"/>
  <c r="AD111" i="1" s="1"/>
  <c r="Z111" i="1"/>
  <c r="AE111" i="1" s="1"/>
  <c r="F108" i="4"/>
  <c r="E108" i="4"/>
  <c r="C108" i="4"/>
  <c r="D108" i="4"/>
  <c r="C113" i="1"/>
  <c r="E113" i="1"/>
  <c r="F113" i="1" s="1"/>
  <c r="I113" i="1" s="1"/>
  <c r="D113" i="1"/>
  <c r="B114" i="1"/>
  <c r="V112" i="1"/>
  <c r="W112" i="1" s="1"/>
  <c r="J112" i="1"/>
  <c r="K112" i="1" s="1"/>
  <c r="E109" i="4"/>
  <c r="B110" i="4"/>
  <c r="G109" i="4"/>
  <c r="D109" i="4"/>
  <c r="A111" i="4"/>
  <c r="P112" i="1" l="1"/>
  <c r="U112" i="1" s="1"/>
  <c r="O112" i="1"/>
  <c r="T112" i="1" s="1"/>
  <c r="L112" i="1"/>
  <c r="Q112" i="1" s="1"/>
  <c r="M112" i="1"/>
  <c r="R112" i="1" s="1"/>
  <c r="N112" i="1"/>
  <c r="S112" i="1" s="1"/>
  <c r="AB112" i="1"/>
  <c r="AG112" i="1" s="1"/>
  <c r="AA112" i="1"/>
  <c r="AF112" i="1" s="1"/>
  <c r="X112" i="1"/>
  <c r="AC112" i="1" s="1"/>
  <c r="Y112" i="1"/>
  <c r="AD112" i="1" s="1"/>
  <c r="Z112" i="1"/>
  <c r="AE112" i="1" s="1"/>
  <c r="B115" i="1"/>
  <c r="C114" i="1"/>
  <c r="E114" i="1"/>
  <c r="F114" i="1" s="1"/>
  <c r="I114" i="1" s="1"/>
  <c r="D114" i="1"/>
  <c r="V113" i="1"/>
  <c r="W113" i="1" s="1"/>
  <c r="J113" i="1"/>
  <c r="K113" i="1" s="1"/>
  <c r="B111" i="4"/>
  <c r="A112" i="4"/>
  <c r="P113" i="1" l="1"/>
  <c r="U113" i="1" s="1"/>
  <c r="O113" i="1"/>
  <c r="T113" i="1" s="1"/>
  <c r="L113" i="1"/>
  <c r="Q113" i="1" s="1"/>
  <c r="M113" i="1"/>
  <c r="R113" i="1" s="1"/>
  <c r="N113" i="1"/>
  <c r="S113" i="1" s="1"/>
  <c r="AB113" i="1"/>
  <c r="AG113" i="1" s="1"/>
  <c r="AA113" i="1"/>
  <c r="AF113" i="1" s="1"/>
  <c r="Y113" i="1"/>
  <c r="AD113" i="1" s="1"/>
  <c r="X113" i="1"/>
  <c r="AC113" i="1" s="1"/>
  <c r="Z113" i="1"/>
  <c r="AE113" i="1" s="1"/>
  <c r="E110" i="4"/>
  <c r="F110" i="4"/>
  <c r="D110" i="4"/>
  <c r="C110" i="4"/>
  <c r="G110" i="4"/>
  <c r="D115" i="1"/>
  <c r="C115" i="1"/>
  <c r="E115" i="1"/>
  <c r="F115" i="1" s="1"/>
  <c r="I115" i="1" s="1"/>
  <c r="B116" i="1"/>
  <c r="V114" i="1"/>
  <c r="W114" i="1" s="1"/>
  <c r="J114" i="1"/>
  <c r="K114" i="1" s="1"/>
  <c r="G111" i="4"/>
  <c r="A113" i="4"/>
  <c r="B112" i="4"/>
  <c r="AB114" i="1" l="1"/>
  <c r="AG114" i="1" s="1"/>
  <c r="AA114" i="1"/>
  <c r="AF114" i="1" s="1"/>
  <c r="F112" i="4" s="1"/>
  <c r="Z114" i="1"/>
  <c r="AE114" i="1" s="1"/>
  <c r="X114" i="1"/>
  <c r="AC114" i="1" s="1"/>
  <c r="C112" i="4" s="1"/>
  <c r="Y114" i="1"/>
  <c r="AD114" i="1" s="1"/>
  <c r="P114" i="1"/>
  <c r="U114" i="1" s="1"/>
  <c r="O114" i="1"/>
  <c r="T114" i="1" s="1"/>
  <c r="L114" i="1"/>
  <c r="Q114" i="1" s="1"/>
  <c r="M114" i="1"/>
  <c r="R114" i="1" s="1"/>
  <c r="N114" i="1"/>
  <c r="S114" i="1" s="1"/>
  <c r="E111" i="4"/>
  <c r="D111" i="4"/>
  <c r="F111" i="4"/>
  <c r="C111" i="4"/>
  <c r="E116" i="1"/>
  <c r="F116" i="1" s="1"/>
  <c r="I116" i="1" s="1"/>
  <c r="B117" i="1"/>
  <c r="D116" i="1"/>
  <c r="C116" i="1"/>
  <c r="J115" i="1"/>
  <c r="K115" i="1" s="1"/>
  <c r="V115" i="1"/>
  <c r="W115" i="1" s="1"/>
  <c r="B113" i="4"/>
  <c r="A114" i="4"/>
  <c r="G112" i="4"/>
  <c r="D112" i="4"/>
  <c r="E112" i="4"/>
  <c r="P115" i="1" l="1"/>
  <c r="U115" i="1" s="1"/>
  <c r="O115" i="1"/>
  <c r="T115" i="1" s="1"/>
  <c r="L115" i="1"/>
  <c r="Q115" i="1" s="1"/>
  <c r="M115" i="1"/>
  <c r="R115" i="1" s="1"/>
  <c r="N115" i="1"/>
  <c r="S115" i="1" s="1"/>
  <c r="AB115" i="1"/>
  <c r="AG115" i="1" s="1"/>
  <c r="AA115" i="1"/>
  <c r="AF115" i="1" s="1"/>
  <c r="Z115" i="1"/>
  <c r="AE115" i="1" s="1"/>
  <c r="X115" i="1"/>
  <c r="AC115" i="1" s="1"/>
  <c r="Y115" i="1"/>
  <c r="AD115" i="1" s="1"/>
  <c r="G113" i="4"/>
  <c r="B118" i="1"/>
  <c r="C117" i="1"/>
  <c r="E117" i="1"/>
  <c r="F117" i="1" s="1"/>
  <c r="I117" i="1" s="1"/>
  <c r="D117" i="1"/>
  <c r="J116" i="1"/>
  <c r="K116" i="1" s="1"/>
  <c r="V116" i="1"/>
  <c r="W116" i="1" s="1"/>
  <c r="F113" i="4"/>
  <c r="A115" i="4"/>
  <c r="B114" i="4"/>
  <c r="AB116" i="1" l="1"/>
  <c r="AG116" i="1" s="1"/>
  <c r="AA116" i="1"/>
  <c r="AF116" i="1" s="1"/>
  <c r="X116" i="1"/>
  <c r="AC116" i="1" s="1"/>
  <c r="Y116" i="1"/>
  <c r="AD116" i="1" s="1"/>
  <c r="Z116" i="1"/>
  <c r="AE116" i="1" s="1"/>
  <c r="P116" i="1"/>
  <c r="U116" i="1" s="1"/>
  <c r="O116" i="1"/>
  <c r="T116" i="1" s="1"/>
  <c r="L116" i="1"/>
  <c r="Q116" i="1" s="1"/>
  <c r="M116" i="1"/>
  <c r="R116" i="1" s="1"/>
  <c r="N116" i="1"/>
  <c r="S116" i="1" s="1"/>
  <c r="C113" i="4"/>
  <c r="D113" i="4"/>
  <c r="E113" i="4"/>
  <c r="J117" i="1"/>
  <c r="K117" i="1" s="1"/>
  <c r="V117" i="1"/>
  <c r="W117" i="1" s="1"/>
  <c r="D118" i="1"/>
  <c r="C118" i="1"/>
  <c r="B119" i="1"/>
  <c r="E118" i="1"/>
  <c r="F118" i="1" s="1"/>
  <c r="I118" i="1" s="1"/>
  <c r="G114" i="4"/>
  <c r="B115" i="4"/>
  <c r="A116" i="4"/>
  <c r="P117" i="1" l="1"/>
  <c r="U117" i="1" s="1"/>
  <c r="O117" i="1"/>
  <c r="T117" i="1" s="1"/>
  <c r="L117" i="1"/>
  <c r="Q117" i="1" s="1"/>
  <c r="M117" i="1"/>
  <c r="R117" i="1" s="1"/>
  <c r="N117" i="1"/>
  <c r="S117" i="1" s="1"/>
  <c r="AB117" i="1"/>
  <c r="AG117" i="1" s="1"/>
  <c r="AA117" i="1"/>
  <c r="AF117" i="1" s="1"/>
  <c r="Y117" i="1"/>
  <c r="AD117" i="1" s="1"/>
  <c r="D115" i="4" s="1"/>
  <c r="Z117" i="1"/>
  <c r="AE117" i="1" s="1"/>
  <c r="X117" i="1"/>
  <c r="AC117" i="1" s="1"/>
  <c r="D114" i="4"/>
  <c r="F114" i="4"/>
  <c r="E114" i="4"/>
  <c r="C114" i="4"/>
  <c r="J118" i="1"/>
  <c r="K118" i="1" s="1"/>
  <c r="V118" i="1"/>
  <c r="W118" i="1" s="1"/>
  <c r="F115" i="4"/>
  <c r="C115" i="4"/>
  <c r="E115" i="4"/>
  <c r="D119" i="1"/>
  <c r="B120" i="1"/>
  <c r="E119" i="1"/>
  <c r="F119" i="1" s="1"/>
  <c r="I119" i="1" s="1"/>
  <c r="C119" i="1"/>
  <c r="A117" i="4"/>
  <c r="B116" i="4"/>
  <c r="G115" i="4"/>
  <c r="P118" i="1" l="1"/>
  <c r="U118" i="1" s="1"/>
  <c r="O118" i="1"/>
  <c r="T118" i="1" s="1"/>
  <c r="L118" i="1"/>
  <c r="Q118" i="1" s="1"/>
  <c r="M118" i="1"/>
  <c r="R118" i="1" s="1"/>
  <c r="N118" i="1"/>
  <c r="S118" i="1" s="1"/>
  <c r="AB118" i="1"/>
  <c r="AG118" i="1" s="1"/>
  <c r="AA118" i="1"/>
  <c r="AF118" i="1" s="1"/>
  <c r="Z118" i="1"/>
  <c r="AE118" i="1" s="1"/>
  <c r="X118" i="1"/>
  <c r="AC118" i="1" s="1"/>
  <c r="Y118" i="1"/>
  <c r="AD118" i="1" s="1"/>
  <c r="D120" i="1"/>
  <c r="C120" i="1"/>
  <c r="E120" i="1"/>
  <c r="F120" i="1" s="1"/>
  <c r="I120" i="1" s="1"/>
  <c r="B121" i="1"/>
  <c r="J119" i="1"/>
  <c r="K119" i="1" s="1"/>
  <c r="V119" i="1"/>
  <c r="W119" i="1" s="1"/>
  <c r="B117" i="4"/>
  <c r="A118" i="4"/>
  <c r="F116" i="4"/>
  <c r="E116" i="4"/>
  <c r="D116" i="4"/>
  <c r="C116" i="4"/>
  <c r="G116" i="4"/>
  <c r="AB119" i="1" l="1"/>
  <c r="AG119" i="1" s="1"/>
  <c r="AA119" i="1"/>
  <c r="AF119" i="1" s="1"/>
  <c r="Y119" i="1"/>
  <c r="AD119" i="1" s="1"/>
  <c r="Z119" i="1"/>
  <c r="AE119" i="1" s="1"/>
  <c r="X119" i="1"/>
  <c r="AC119" i="1" s="1"/>
  <c r="P119" i="1"/>
  <c r="U119" i="1" s="1"/>
  <c r="O119" i="1"/>
  <c r="T119" i="1" s="1"/>
  <c r="L119" i="1"/>
  <c r="Q119" i="1" s="1"/>
  <c r="M119" i="1"/>
  <c r="R119" i="1" s="1"/>
  <c r="N119" i="1"/>
  <c r="S119" i="1" s="1"/>
  <c r="D121" i="1"/>
  <c r="E121" i="1"/>
  <c r="F121" i="1" s="1"/>
  <c r="I121" i="1" s="1"/>
  <c r="B122" i="1"/>
  <c r="C121" i="1"/>
  <c r="V120" i="1"/>
  <c r="W120" i="1" s="1"/>
  <c r="J120" i="1"/>
  <c r="K120" i="1" s="1"/>
  <c r="G117" i="4"/>
  <c r="B118" i="4"/>
  <c r="A119" i="4"/>
  <c r="AB120" i="1" l="1"/>
  <c r="AG120" i="1" s="1"/>
  <c r="AA120" i="1"/>
  <c r="AF120" i="1" s="1"/>
  <c r="X120" i="1"/>
  <c r="AC120" i="1" s="1"/>
  <c r="Y120" i="1"/>
  <c r="AD120" i="1" s="1"/>
  <c r="D118" i="4" s="1"/>
  <c r="Z120" i="1"/>
  <c r="AE120" i="1" s="1"/>
  <c r="P120" i="1"/>
  <c r="U120" i="1" s="1"/>
  <c r="O120" i="1"/>
  <c r="T120" i="1" s="1"/>
  <c r="L120" i="1"/>
  <c r="Q120" i="1" s="1"/>
  <c r="M120" i="1"/>
  <c r="R120" i="1" s="1"/>
  <c r="N120" i="1"/>
  <c r="S120" i="1" s="1"/>
  <c r="C117" i="4"/>
  <c r="F117" i="4"/>
  <c r="D117" i="4"/>
  <c r="E117" i="4"/>
  <c r="C118" i="4"/>
  <c r="F118" i="4"/>
  <c r="J121" i="1"/>
  <c r="K121" i="1" s="1"/>
  <c r="V121" i="1"/>
  <c r="W121" i="1" s="1"/>
  <c r="D122" i="1"/>
  <c r="C122" i="1"/>
  <c r="B123" i="1"/>
  <c r="E122" i="1"/>
  <c r="F122" i="1" s="1"/>
  <c r="I122" i="1" s="1"/>
  <c r="B119" i="4"/>
  <c r="A120" i="4"/>
  <c r="G118" i="4"/>
  <c r="E118" i="4"/>
  <c r="AB121" i="1" l="1"/>
  <c r="AG121" i="1" s="1"/>
  <c r="AA121" i="1"/>
  <c r="AF121" i="1" s="1"/>
  <c r="Y121" i="1"/>
  <c r="AD121" i="1" s="1"/>
  <c r="X121" i="1"/>
  <c r="AC121" i="1" s="1"/>
  <c r="Z121" i="1"/>
  <c r="AE121" i="1" s="1"/>
  <c r="P121" i="1"/>
  <c r="U121" i="1" s="1"/>
  <c r="O121" i="1"/>
  <c r="T121" i="1" s="1"/>
  <c r="L121" i="1"/>
  <c r="Q121" i="1" s="1"/>
  <c r="M121" i="1"/>
  <c r="R121" i="1" s="1"/>
  <c r="N121" i="1"/>
  <c r="S121" i="1" s="1"/>
  <c r="V122" i="1"/>
  <c r="W122" i="1" s="1"/>
  <c r="J122" i="1"/>
  <c r="K122" i="1" s="1"/>
  <c r="D123" i="1"/>
  <c r="E123" i="1"/>
  <c r="F123" i="1" s="1"/>
  <c r="I123" i="1" s="1"/>
  <c r="C123" i="1"/>
  <c r="B124" i="1"/>
  <c r="B120" i="4"/>
  <c r="A121" i="4"/>
  <c r="G119" i="4"/>
  <c r="P122" i="1" l="1"/>
  <c r="U122" i="1" s="1"/>
  <c r="O122" i="1"/>
  <c r="T122" i="1" s="1"/>
  <c r="L122" i="1"/>
  <c r="Q122" i="1" s="1"/>
  <c r="M122" i="1"/>
  <c r="R122" i="1" s="1"/>
  <c r="N122" i="1"/>
  <c r="S122" i="1" s="1"/>
  <c r="AB122" i="1"/>
  <c r="AG122" i="1" s="1"/>
  <c r="AA122" i="1"/>
  <c r="AF122" i="1" s="1"/>
  <c r="Z122" i="1"/>
  <c r="AE122" i="1" s="1"/>
  <c r="X122" i="1"/>
  <c r="AC122" i="1" s="1"/>
  <c r="Y122" i="1"/>
  <c r="AD122" i="1" s="1"/>
  <c r="E119" i="4"/>
  <c r="F119" i="4"/>
  <c r="C119" i="4"/>
  <c r="D119" i="4"/>
  <c r="G120" i="4"/>
  <c r="D124" i="1"/>
  <c r="E124" i="1"/>
  <c r="F124" i="1" s="1"/>
  <c r="I124" i="1" s="1"/>
  <c r="C124" i="1"/>
  <c r="B125" i="1"/>
  <c r="V123" i="1"/>
  <c r="W123" i="1" s="1"/>
  <c r="J123" i="1"/>
  <c r="K123" i="1" s="1"/>
  <c r="B121" i="4"/>
  <c r="A122" i="4"/>
  <c r="AB123" i="1" l="1"/>
  <c r="AG123" i="1" s="1"/>
  <c r="AA123" i="1"/>
  <c r="AF123" i="1" s="1"/>
  <c r="X123" i="1"/>
  <c r="AC123" i="1" s="1"/>
  <c r="C121" i="4" s="1"/>
  <c r="Y123" i="1"/>
  <c r="AD123" i="1" s="1"/>
  <c r="Z123" i="1"/>
  <c r="AE123" i="1" s="1"/>
  <c r="P123" i="1"/>
  <c r="U123" i="1" s="1"/>
  <c r="O123" i="1"/>
  <c r="T123" i="1" s="1"/>
  <c r="L123" i="1"/>
  <c r="Q123" i="1" s="1"/>
  <c r="M123" i="1"/>
  <c r="R123" i="1" s="1"/>
  <c r="N123" i="1"/>
  <c r="S123" i="1" s="1"/>
  <c r="E120" i="4"/>
  <c r="C120" i="4"/>
  <c r="D120" i="4"/>
  <c r="F120" i="4"/>
  <c r="J124" i="1"/>
  <c r="K124" i="1" s="1"/>
  <c r="V124" i="1"/>
  <c r="W124" i="1" s="1"/>
  <c r="F121" i="4"/>
  <c r="D121" i="4"/>
  <c r="E121" i="4"/>
  <c r="C125" i="1"/>
  <c r="D125" i="1"/>
  <c r="B126" i="1"/>
  <c r="E125" i="1"/>
  <c r="F125" i="1" s="1"/>
  <c r="I125" i="1" s="1"/>
  <c r="A123" i="4"/>
  <c r="B122" i="4"/>
  <c r="G121" i="4"/>
  <c r="P124" i="1" l="1"/>
  <c r="U124" i="1" s="1"/>
  <c r="O124" i="1"/>
  <c r="T124" i="1" s="1"/>
  <c r="L124" i="1"/>
  <c r="Q124" i="1" s="1"/>
  <c r="M124" i="1"/>
  <c r="R124" i="1" s="1"/>
  <c r="N124" i="1"/>
  <c r="S124" i="1" s="1"/>
  <c r="AB124" i="1"/>
  <c r="AG124" i="1" s="1"/>
  <c r="AA124" i="1"/>
  <c r="AF124" i="1" s="1"/>
  <c r="X124" i="1"/>
  <c r="AC124" i="1" s="1"/>
  <c r="Z124" i="1"/>
  <c r="AE124" i="1" s="1"/>
  <c r="Y124" i="1"/>
  <c r="AD124" i="1" s="1"/>
  <c r="D126" i="1"/>
  <c r="C126" i="1"/>
  <c r="B127" i="1"/>
  <c r="E126" i="1"/>
  <c r="F126" i="1" s="1"/>
  <c r="I126" i="1" s="1"/>
  <c r="V125" i="1"/>
  <c r="W125" i="1" s="1"/>
  <c r="J125" i="1"/>
  <c r="K125" i="1" s="1"/>
  <c r="B123" i="4"/>
  <c r="A124" i="4"/>
  <c r="P125" i="1" l="1"/>
  <c r="U125" i="1" s="1"/>
  <c r="O125" i="1"/>
  <c r="T125" i="1" s="1"/>
  <c r="L125" i="1"/>
  <c r="Q125" i="1" s="1"/>
  <c r="M125" i="1"/>
  <c r="R125" i="1" s="1"/>
  <c r="N125" i="1"/>
  <c r="S125" i="1" s="1"/>
  <c r="AB125" i="1"/>
  <c r="AG125" i="1" s="1"/>
  <c r="AA125" i="1"/>
  <c r="AF125" i="1" s="1"/>
  <c r="Y125" i="1"/>
  <c r="AD125" i="1" s="1"/>
  <c r="X125" i="1"/>
  <c r="AC125" i="1" s="1"/>
  <c r="Z125" i="1"/>
  <c r="AE125" i="1" s="1"/>
  <c r="G122" i="4"/>
  <c r="D122" i="4"/>
  <c r="E122" i="4"/>
  <c r="F122" i="4"/>
  <c r="C122" i="4"/>
  <c r="J126" i="1"/>
  <c r="K126" i="1" s="1"/>
  <c r="V126" i="1"/>
  <c r="W126" i="1" s="1"/>
  <c r="E127" i="1"/>
  <c r="F127" i="1" s="1"/>
  <c r="I127" i="1" s="1"/>
  <c r="D127" i="1"/>
  <c r="B128" i="1"/>
  <c r="C127" i="1"/>
  <c r="G123" i="4"/>
  <c r="A125" i="4"/>
  <c r="B124" i="4"/>
  <c r="P126" i="1" l="1"/>
  <c r="U126" i="1" s="1"/>
  <c r="O126" i="1"/>
  <c r="T126" i="1" s="1"/>
  <c r="L126" i="1"/>
  <c r="Q126" i="1" s="1"/>
  <c r="M126" i="1"/>
  <c r="R126" i="1" s="1"/>
  <c r="N126" i="1"/>
  <c r="S126" i="1" s="1"/>
  <c r="AB126" i="1"/>
  <c r="AG126" i="1" s="1"/>
  <c r="AA126" i="1"/>
  <c r="AF126" i="1" s="1"/>
  <c r="F124" i="4" s="1"/>
  <c r="Z126" i="1"/>
  <c r="AE126" i="1" s="1"/>
  <c r="Y126" i="1"/>
  <c r="AD126" i="1" s="1"/>
  <c r="X126" i="1"/>
  <c r="AC126" i="1" s="1"/>
  <c r="E123" i="4"/>
  <c r="D123" i="4"/>
  <c r="F123" i="4"/>
  <c r="C123" i="4"/>
  <c r="D128" i="1"/>
  <c r="C128" i="1"/>
  <c r="B129" i="1"/>
  <c r="E128" i="1"/>
  <c r="F128" i="1" s="1"/>
  <c r="I128" i="1" s="1"/>
  <c r="C124" i="4"/>
  <c r="D124" i="4"/>
  <c r="V127" i="1"/>
  <c r="W127" i="1" s="1"/>
  <c r="J127" i="1"/>
  <c r="K127" i="1" s="1"/>
  <c r="G124" i="4"/>
  <c r="A126" i="4"/>
  <c r="B125" i="4"/>
  <c r="E124" i="4" l="1"/>
  <c r="AB127" i="1"/>
  <c r="AG127" i="1" s="1"/>
  <c r="AA127" i="1"/>
  <c r="AF127" i="1" s="1"/>
  <c r="X127" i="1"/>
  <c r="AC127" i="1" s="1"/>
  <c r="Y127" i="1"/>
  <c r="AD127" i="1" s="1"/>
  <c r="Z127" i="1"/>
  <c r="AE127" i="1" s="1"/>
  <c r="P127" i="1"/>
  <c r="U127" i="1" s="1"/>
  <c r="O127" i="1"/>
  <c r="T127" i="1" s="1"/>
  <c r="L127" i="1"/>
  <c r="Q127" i="1" s="1"/>
  <c r="M127" i="1"/>
  <c r="R127" i="1" s="1"/>
  <c r="N127" i="1"/>
  <c r="S127" i="1" s="1"/>
  <c r="E129" i="1"/>
  <c r="F129" i="1" s="1"/>
  <c r="I129" i="1" s="1"/>
  <c r="D129" i="1"/>
  <c r="C129" i="1"/>
  <c r="B130" i="1"/>
  <c r="V128" i="1"/>
  <c r="W128" i="1" s="1"/>
  <c r="J128" i="1"/>
  <c r="K128" i="1" s="1"/>
  <c r="C125" i="4"/>
  <c r="D125" i="4"/>
  <c r="B126" i="4"/>
  <c r="A127" i="4"/>
  <c r="P128" i="1" l="1"/>
  <c r="U128" i="1" s="1"/>
  <c r="O128" i="1"/>
  <c r="T128" i="1" s="1"/>
  <c r="L128" i="1"/>
  <c r="Q128" i="1" s="1"/>
  <c r="M128" i="1"/>
  <c r="R128" i="1" s="1"/>
  <c r="N128" i="1"/>
  <c r="S128" i="1" s="1"/>
  <c r="AB128" i="1"/>
  <c r="AG128" i="1" s="1"/>
  <c r="AA128" i="1"/>
  <c r="AF128" i="1" s="1"/>
  <c r="X128" i="1"/>
  <c r="AC128" i="1" s="1"/>
  <c r="Y128" i="1"/>
  <c r="AD128" i="1" s="1"/>
  <c r="Z128" i="1"/>
  <c r="AE128" i="1" s="1"/>
  <c r="G125" i="4"/>
  <c r="E125" i="4"/>
  <c r="F125" i="4"/>
  <c r="G126" i="4"/>
  <c r="D130" i="1"/>
  <c r="B131" i="1"/>
  <c r="C130" i="1"/>
  <c r="E130" i="1"/>
  <c r="F130" i="1" s="1"/>
  <c r="I130" i="1" s="1"/>
  <c r="V129" i="1"/>
  <c r="W129" i="1" s="1"/>
  <c r="J129" i="1"/>
  <c r="K129" i="1" s="1"/>
  <c r="A128" i="4"/>
  <c r="B127" i="4"/>
  <c r="P129" i="1" l="1"/>
  <c r="U129" i="1" s="1"/>
  <c r="O129" i="1"/>
  <c r="T129" i="1" s="1"/>
  <c r="L129" i="1"/>
  <c r="Q129" i="1" s="1"/>
  <c r="M129" i="1"/>
  <c r="R129" i="1" s="1"/>
  <c r="N129" i="1"/>
  <c r="S129" i="1" s="1"/>
  <c r="AB129" i="1"/>
  <c r="AG129" i="1" s="1"/>
  <c r="AA129" i="1"/>
  <c r="AF129" i="1" s="1"/>
  <c r="F127" i="4" s="1"/>
  <c r="Y129" i="1"/>
  <c r="AD129" i="1" s="1"/>
  <c r="D127" i="4" s="1"/>
  <c r="X129" i="1"/>
  <c r="AC129" i="1" s="1"/>
  <c r="Z129" i="1"/>
  <c r="AE129" i="1" s="1"/>
  <c r="C126" i="4"/>
  <c r="E126" i="4"/>
  <c r="D126" i="4"/>
  <c r="F126" i="4"/>
  <c r="E131" i="1"/>
  <c r="F131" i="1" s="1"/>
  <c r="I131" i="1" s="1"/>
  <c r="C131" i="1"/>
  <c r="B132" i="1"/>
  <c r="D131" i="1"/>
  <c r="C127" i="4"/>
  <c r="E127" i="4"/>
  <c r="J130" i="1"/>
  <c r="K130" i="1" s="1"/>
  <c r="V130" i="1"/>
  <c r="W130" i="1" s="1"/>
  <c r="B128" i="4"/>
  <c r="G127" i="4"/>
  <c r="A129" i="4"/>
  <c r="AB130" i="1" l="1"/>
  <c r="AG130" i="1" s="1"/>
  <c r="AA130" i="1"/>
  <c r="AF130" i="1" s="1"/>
  <c r="Z130" i="1"/>
  <c r="AE130" i="1" s="1"/>
  <c r="X130" i="1"/>
  <c r="AC130" i="1" s="1"/>
  <c r="Y130" i="1"/>
  <c r="AD130" i="1" s="1"/>
  <c r="P130" i="1"/>
  <c r="U130" i="1" s="1"/>
  <c r="O130" i="1"/>
  <c r="T130" i="1" s="1"/>
  <c r="L130" i="1"/>
  <c r="Q130" i="1" s="1"/>
  <c r="M130" i="1"/>
  <c r="R130" i="1" s="1"/>
  <c r="N130" i="1"/>
  <c r="S130" i="1" s="1"/>
  <c r="C132" i="1"/>
  <c r="B133" i="1"/>
  <c r="E132" i="1"/>
  <c r="F132" i="1" s="1"/>
  <c r="I132" i="1" s="1"/>
  <c r="D132" i="1"/>
  <c r="J131" i="1"/>
  <c r="K131" i="1" s="1"/>
  <c r="V131" i="1"/>
  <c r="W131" i="1" s="1"/>
  <c r="B129" i="4"/>
  <c r="A130" i="4"/>
  <c r="AB131" i="1" l="1"/>
  <c r="AG131" i="1" s="1"/>
  <c r="AA131" i="1"/>
  <c r="AF131" i="1" s="1"/>
  <c r="Z131" i="1"/>
  <c r="AE131" i="1" s="1"/>
  <c r="X131" i="1"/>
  <c r="AC131" i="1" s="1"/>
  <c r="Y131" i="1"/>
  <c r="AD131" i="1" s="1"/>
  <c r="P131" i="1"/>
  <c r="U131" i="1" s="1"/>
  <c r="O131" i="1"/>
  <c r="T131" i="1" s="1"/>
  <c r="L131" i="1"/>
  <c r="Q131" i="1" s="1"/>
  <c r="M131" i="1"/>
  <c r="R131" i="1" s="1"/>
  <c r="N131" i="1"/>
  <c r="S131" i="1" s="1"/>
  <c r="G128" i="4"/>
  <c r="E128" i="4"/>
  <c r="C128" i="4"/>
  <c r="F128" i="4"/>
  <c r="D128" i="4"/>
  <c r="E133" i="1"/>
  <c r="F133" i="1" s="1"/>
  <c r="I133" i="1" s="1"/>
  <c r="C133" i="1"/>
  <c r="D133" i="1"/>
  <c r="B134" i="1"/>
  <c r="E129" i="4"/>
  <c r="G129" i="4"/>
  <c r="J132" i="1"/>
  <c r="K132" i="1" s="1"/>
  <c r="V132" i="1"/>
  <c r="W132" i="1" s="1"/>
  <c r="B130" i="4"/>
  <c r="A131" i="4"/>
  <c r="AB132" i="1" l="1"/>
  <c r="AG132" i="1" s="1"/>
  <c r="AA132" i="1"/>
  <c r="AF132" i="1" s="1"/>
  <c r="X132" i="1"/>
  <c r="AC132" i="1" s="1"/>
  <c r="Y132" i="1"/>
  <c r="AD132" i="1" s="1"/>
  <c r="D130" i="4" s="1"/>
  <c r="Z132" i="1"/>
  <c r="AE132" i="1" s="1"/>
  <c r="P132" i="1"/>
  <c r="U132" i="1" s="1"/>
  <c r="O132" i="1"/>
  <c r="T132" i="1" s="1"/>
  <c r="L132" i="1"/>
  <c r="Q132" i="1" s="1"/>
  <c r="M132" i="1"/>
  <c r="R132" i="1" s="1"/>
  <c r="N132" i="1"/>
  <c r="S132" i="1" s="1"/>
  <c r="D129" i="4"/>
  <c r="F129" i="4"/>
  <c r="C129" i="4"/>
  <c r="E134" i="1"/>
  <c r="F134" i="1" s="1"/>
  <c r="I134" i="1" s="1"/>
  <c r="C134" i="1"/>
  <c r="B135" i="1"/>
  <c r="D134" i="1"/>
  <c r="C130" i="4"/>
  <c r="E130" i="4"/>
  <c r="F130" i="4"/>
  <c r="J133" i="1"/>
  <c r="K133" i="1" s="1"/>
  <c r="V133" i="1"/>
  <c r="W133" i="1" s="1"/>
  <c r="B131" i="4"/>
  <c r="G130" i="4"/>
  <c r="A132" i="4"/>
  <c r="AB133" i="1" l="1"/>
  <c r="AG133" i="1" s="1"/>
  <c r="AA133" i="1"/>
  <c r="AF133" i="1" s="1"/>
  <c r="Y133" i="1"/>
  <c r="AD133" i="1" s="1"/>
  <c r="Z133" i="1"/>
  <c r="AE133" i="1" s="1"/>
  <c r="X133" i="1"/>
  <c r="AC133" i="1" s="1"/>
  <c r="P133" i="1"/>
  <c r="U133" i="1" s="1"/>
  <c r="O133" i="1"/>
  <c r="T133" i="1" s="1"/>
  <c r="L133" i="1"/>
  <c r="Q133" i="1" s="1"/>
  <c r="M133" i="1"/>
  <c r="R133" i="1" s="1"/>
  <c r="N133" i="1"/>
  <c r="S133" i="1" s="1"/>
  <c r="E135" i="1"/>
  <c r="F135" i="1" s="1"/>
  <c r="I135" i="1" s="1"/>
  <c r="D135" i="1"/>
  <c r="B136" i="1"/>
  <c r="C135" i="1"/>
  <c r="V134" i="1"/>
  <c r="W134" i="1" s="1"/>
  <c r="J134" i="1"/>
  <c r="K134" i="1" s="1"/>
  <c r="B132" i="4"/>
  <c r="A133" i="4"/>
  <c r="P134" i="1" l="1"/>
  <c r="U134" i="1" s="1"/>
  <c r="O134" i="1"/>
  <c r="T134" i="1" s="1"/>
  <c r="L134" i="1"/>
  <c r="Q134" i="1" s="1"/>
  <c r="M134" i="1"/>
  <c r="R134" i="1" s="1"/>
  <c r="N134" i="1"/>
  <c r="S134" i="1" s="1"/>
  <c r="AB134" i="1"/>
  <c r="AG134" i="1" s="1"/>
  <c r="AA134" i="1"/>
  <c r="AF134" i="1" s="1"/>
  <c r="Z134" i="1"/>
  <c r="AE134" i="1" s="1"/>
  <c r="X134" i="1"/>
  <c r="AC134" i="1" s="1"/>
  <c r="Y134" i="1"/>
  <c r="AD134" i="1" s="1"/>
  <c r="F131" i="4"/>
  <c r="E131" i="4"/>
  <c r="D131" i="4"/>
  <c r="C131" i="4"/>
  <c r="G131" i="4"/>
  <c r="V135" i="1"/>
  <c r="W135" i="1" s="1"/>
  <c r="J135" i="1"/>
  <c r="K135" i="1" s="1"/>
  <c r="C136" i="1"/>
  <c r="B137" i="1"/>
  <c r="D136" i="1"/>
  <c r="E136" i="1"/>
  <c r="F136" i="1" s="1"/>
  <c r="I136" i="1" s="1"/>
  <c r="G132" i="4"/>
  <c r="B133" i="4"/>
  <c r="A134" i="4"/>
  <c r="AB135" i="1" l="1"/>
  <c r="AG135" i="1" s="1"/>
  <c r="AA135" i="1"/>
  <c r="AF135" i="1" s="1"/>
  <c r="Y135" i="1"/>
  <c r="AD135" i="1" s="1"/>
  <c r="D133" i="4" s="1"/>
  <c r="Z135" i="1"/>
  <c r="AE135" i="1" s="1"/>
  <c r="X135" i="1"/>
  <c r="AC135" i="1" s="1"/>
  <c r="P135" i="1"/>
  <c r="U135" i="1" s="1"/>
  <c r="O135" i="1"/>
  <c r="T135" i="1" s="1"/>
  <c r="L135" i="1"/>
  <c r="Q135" i="1" s="1"/>
  <c r="M135" i="1"/>
  <c r="R135" i="1" s="1"/>
  <c r="N135" i="1"/>
  <c r="S135" i="1" s="1"/>
  <c r="E132" i="4"/>
  <c r="F132" i="4"/>
  <c r="C132" i="4"/>
  <c r="D132" i="4"/>
  <c r="E137" i="1"/>
  <c r="F137" i="1" s="1"/>
  <c r="I137" i="1" s="1"/>
  <c r="C137" i="1"/>
  <c r="B138" i="1"/>
  <c r="D137" i="1"/>
  <c r="J136" i="1"/>
  <c r="K136" i="1" s="1"/>
  <c r="V136" i="1"/>
  <c r="W136" i="1" s="1"/>
  <c r="F133" i="4"/>
  <c r="B134" i="4"/>
  <c r="C133" i="4"/>
  <c r="G133" i="4"/>
  <c r="A135" i="4"/>
  <c r="E133" i="4" l="1"/>
  <c r="AB136" i="1"/>
  <c r="AG136" i="1" s="1"/>
  <c r="AA136" i="1"/>
  <c r="AF136" i="1" s="1"/>
  <c r="X136" i="1"/>
  <c r="AC136" i="1" s="1"/>
  <c r="Y136" i="1"/>
  <c r="AD136" i="1" s="1"/>
  <c r="Z136" i="1"/>
  <c r="AE136" i="1" s="1"/>
  <c r="P136" i="1"/>
  <c r="U136" i="1" s="1"/>
  <c r="O136" i="1"/>
  <c r="T136" i="1" s="1"/>
  <c r="L136" i="1"/>
  <c r="Q136" i="1" s="1"/>
  <c r="M136" i="1"/>
  <c r="R136" i="1" s="1"/>
  <c r="N136" i="1"/>
  <c r="S136" i="1" s="1"/>
  <c r="E138" i="1"/>
  <c r="F138" i="1" s="1"/>
  <c r="I138" i="1" s="1"/>
  <c r="B139" i="1"/>
  <c r="D138" i="1"/>
  <c r="C138" i="1"/>
  <c r="J137" i="1"/>
  <c r="K137" i="1" s="1"/>
  <c r="V137" i="1"/>
  <c r="W137" i="1" s="1"/>
  <c r="B135" i="4"/>
  <c r="A136" i="4"/>
  <c r="P137" i="1" l="1"/>
  <c r="U137" i="1" s="1"/>
  <c r="O137" i="1"/>
  <c r="T137" i="1" s="1"/>
  <c r="L137" i="1"/>
  <c r="Q137" i="1" s="1"/>
  <c r="M137" i="1"/>
  <c r="R137" i="1" s="1"/>
  <c r="N137" i="1"/>
  <c r="S137" i="1" s="1"/>
  <c r="AB137" i="1"/>
  <c r="AG137" i="1" s="1"/>
  <c r="AA137" i="1"/>
  <c r="AF137" i="1" s="1"/>
  <c r="Y137" i="1"/>
  <c r="AD137" i="1" s="1"/>
  <c r="X137" i="1"/>
  <c r="AC137" i="1" s="1"/>
  <c r="Z137" i="1"/>
  <c r="AE137" i="1" s="1"/>
  <c r="G134" i="4"/>
  <c r="F134" i="4"/>
  <c r="E134" i="4"/>
  <c r="D134" i="4"/>
  <c r="C134" i="4"/>
  <c r="E139" i="1"/>
  <c r="F139" i="1" s="1"/>
  <c r="I139" i="1" s="1"/>
  <c r="D139" i="1"/>
  <c r="C139" i="1"/>
  <c r="B140" i="1"/>
  <c r="J138" i="1"/>
  <c r="K138" i="1" s="1"/>
  <c r="V138" i="1"/>
  <c r="W138" i="1" s="1"/>
  <c r="G135" i="4"/>
  <c r="A137" i="4"/>
  <c r="B136" i="4"/>
  <c r="P138" i="1" l="1"/>
  <c r="U138" i="1" s="1"/>
  <c r="O138" i="1"/>
  <c r="T138" i="1" s="1"/>
  <c r="L138" i="1"/>
  <c r="Q138" i="1" s="1"/>
  <c r="M138" i="1"/>
  <c r="R138" i="1" s="1"/>
  <c r="N138" i="1"/>
  <c r="S138" i="1" s="1"/>
  <c r="AB138" i="1"/>
  <c r="AG138" i="1" s="1"/>
  <c r="AA138" i="1"/>
  <c r="AF138" i="1" s="1"/>
  <c r="F136" i="4" s="1"/>
  <c r="Z138" i="1"/>
  <c r="AE138" i="1" s="1"/>
  <c r="X138" i="1"/>
  <c r="AC138" i="1" s="1"/>
  <c r="Y138" i="1"/>
  <c r="AD138" i="1" s="1"/>
  <c r="D135" i="4"/>
  <c r="F135" i="4"/>
  <c r="E135" i="4"/>
  <c r="C135" i="4"/>
  <c r="D140" i="1"/>
  <c r="C140" i="1"/>
  <c r="E140" i="1"/>
  <c r="F140" i="1" s="1"/>
  <c r="I140" i="1" s="1"/>
  <c r="B141" i="1"/>
  <c r="D136" i="4"/>
  <c r="V139" i="1"/>
  <c r="W139" i="1" s="1"/>
  <c r="J139" i="1"/>
  <c r="K139" i="1" s="1"/>
  <c r="A138" i="4"/>
  <c r="G136" i="4"/>
  <c r="C136" i="4"/>
  <c r="B137" i="4"/>
  <c r="E136" i="4" l="1"/>
  <c r="P139" i="1"/>
  <c r="U139" i="1" s="1"/>
  <c r="O139" i="1"/>
  <c r="T139" i="1" s="1"/>
  <c r="L139" i="1"/>
  <c r="Q139" i="1" s="1"/>
  <c r="M139" i="1"/>
  <c r="R139" i="1" s="1"/>
  <c r="N139" i="1"/>
  <c r="S139" i="1" s="1"/>
  <c r="AB139" i="1"/>
  <c r="AG139" i="1" s="1"/>
  <c r="AA139" i="1"/>
  <c r="AF139" i="1" s="1"/>
  <c r="X139" i="1"/>
  <c r="AC139" i="1" s="1"/>
  <c r="Y139" i="1"/>
  <c r="AD139" i="1" s="1"/>
  <c r="Z139" i="1"/>
  <c r="AE139" i="1" s="1"/>
  <c r="E141" i="1"/>
  <c r="F141" i="1" s="1"/>
  <c r="I141" i="1" s="1"/>
  <c r="C141" i="1"/>
  <c r="B142" i="1"/>
  <c r="D141" i="1"/>
  <c r="J140" i="1"/>
  <c r="K140" i="1" s="1"/>
  <c r="V140" i="1"/>
  <c r="W140" i="1" s="1"/>
  <c r="D137" i="4"/>
  <c r="E137" i="4"/>
  <c r="C137" i="4"/>
  <c r="G137" i="4"/>
  <c r="F137" i="4"/>
  <c r="B138" i="4"/>
  <c r="A139" i="4"/>
  <c r="AB140" i="1" l="1"/>
  <c r="AG140" i="1" s="1"/>
  <c r="AA140" i="1"/>
  <c r="AF140" i="1" s="1"/>
  <c r="X140" i="1"/>
  <c r="AC140" i="1" s="1"/>
  <c r="Z140" i="1"/>
  <c r="AE140" i="1" s="1"/>
  <c r="Y140" i="1"/>
  <c r="AD140" i="1" s="1"/>
  <c r="P140" i="1"/>
  <c r="U140" i="1" s="1"/>
  <c r="O140" i="1"/>
  <c r="T140" i="1" s="1"/>
  <c r="L140" i="1"/>
  <c r="Q140" i="1" s="1"/>
  <c r="M140" i="1"/>
  <c r="R140" i="1" s="1"/>
  <c r="N140" i="1"/>
  <c r="S140" i="1" s="1"/>
  <c r="G138" i="4"/>
  <c r="D138" i="4"/>
  <c r="E142" i="1"/>
  <c r="F142" i="1" s="1"/>
  <c r="I142" i="1" s="1"/>
  <c r="D142" i="1"/>
  <c r="C142" i="1"/>
  <c r="B143" i="1"/>
  <c r="V141" i="1"/>
  <c r="W141" i="1" s="1"/>
  <c r="J141" i="1"/>
  <c r="K141" i="1" s="1"/>
  <c r="B139" i="4"/>
  <c r="A140" i="4"/>
  <c r="AB141" i="1" l="1"/>
  <c r="AG141" i="1" s="1"/>
  <c r="AA141" i="1"/>
  <c r="AF141" i="1" s="1"/>
  <c r="Y141" i="1"/>
  <c r="AD141" i="1" s="1"/>
  <c r="X141" i="1"/>
  <c r="AC141" i="1" s="1"/>
  <c r="C139" i="4" s="1"/>
  <c r="Z141" i="1"/>
  <c r="AE141" i="1" s="1"/>
  <c r="P141" i="1"/>
  <c r="U141" i="1" s="1"/>
  <c r="O141" i="1"/>
  <c r="T141" i="1" s="1"/>
  <c r="L141" i="1"/>
  <c r="Q141" i="1" s="1"/>
  <c r="M141" i="1"/>
  <c r="R141" i="1" s="1"/>
  <c r="N141" i="1"/>
  <c r="S141" i="1" s="1"/>
  <c r="F138" i="4"/>
  <c r="C138" i="4"/>
  <c r="E138" i="4"/>
  <c r="F139" i="4"/>
  <c r="E143" i="1"/>
  <c r="F143" i="1" s="1"/>
  <c r="I143" i="1" s="1"/>
  <c r="D143" i="1"/>
  <c r="C143" i="1"/>
  <c r="B144" i="1"/>
  <c r="V142" i="1"/>
  <c r="W142" i="1" s="1"/>
  <c r="J142" i="1"/>
  <c r="K142" i="1" s="1"/>
  <c r="B140" i="4"/>
  <c r="A141" i="4"/>
  <c r="E139" i="4"/>
  <c r="G139" i="4"/>
  <c r="D139" i="4"/>
  <c r="AB142" i="1" l="1"/>
  <c r="AG142" i="1" s="1"/>
  <c r="AA142" i="1"/>
  <c r="AF142" i="1" s="1"/>
  <c r="Z142" i="1"/>
  <c r="AE142" i="1" s="1"/>
  <c r="Y142" i="1"/>
  <c r="AD142" i="1" s="1"/>
  <c r="X142" i="1"/>
  <c r="AC142" i="1" s="1"/>
  <c r="P142" i="1"/>
  <c r="U142" i="1" s="1"/>
  <c r="O142" i="1"/>
  <c r="T142" i="1" s="1"/>
  <c r="L142" i="1"/>
  <c r="Q142" i="1" s="1"/>
  <c r="M142" i="1"/>
  <c r="R142" i="1" s="1"/>
  <c r="N142" i="1"/>
  <c r="S142" i="1" s="1"/>
  <c r="G140" i="4"/>
  <c r="C144" i="1"/>
  <c r="B145" i="1"/>
  <c r="D144" i="1"/>
  <c r="E144" i="1"/>
  <c r="F144" i="1" s="1"/>
  <c r="I144" i="1" s="1"/>
  <c r="J143" i="1"/>
  <c r="K143" i="1" s="1"/>
  <c r="V143" i="1"/>
  <c r="W143" i="1" s="1"/>
  <c r="A142" i="4"/>
  <c r="B141" i="4"/>
  <c r="P143" i="1" l="1"/>
  <c r="U143" i="1" s="1"/>
  <c r="O143" i="1"/>
  <c r="T143" i="1" s="1"/>
  <c r="L143" i="1"/>
  <c r="Q143" i="1" s="1"/>
  <c r="M143" i="1"/>
  <c r="R143" i="1" s="1"/>
  <c r="N143" i="1"/>
  <c r="S143" i="1" s="1"/>
  <c r="AB143" i="1"/>
  <c r="AG143" i="1" s="1"/>
  <c r="AA143" i="1"/>
  <c r="AF143" i="1" s="1"/>
  <c r="X143" i="1"/>
  <c r="AC143" i="1" s="1"/>
  <c r="Y143" i="1"/>
  <c r="AD143" i="1" s="1"/>
  <c r="Z143" i="1"/>
  <c r="AE143" i="1" s="1"/>
  <c r="E140" i="4"/>
  <c r="C140" i="4"/>
  <c r="D140" i="4"/>
  <c r="F140" i="4"/>
  <c r="E145" i="1"/>
  <c r="F145" i="1" s="1"/>
  <c r="I145" i="1" s="1"/>
  <c r="C145" i="1"/>
  <c r="D145" i="1"/>
  <c r="B146" i="1"/>
  <c r="G141" i="4"/>
  <c r="J144" i="1"/>
  <c r="K144" i="1" s="1"/>
  <c r="V144" i="1"/>
  <c r="W144" i="1" s="1"/>
  <c r="B142" i="4"/>
  <c r="A143" i="4"/>
  <c r="P144" i="1" l="1"/>
  <c r="U144" i="1" s="1"/>
  <c r="O144" i="1"/>
  <c r="T144" i="1" s="1"/>
  <c r="L144" i="1"/>
  <c r="Q144" i="1" s="1"/>
  <c r="M144" i="1"/>
  <c r="R144" i="1" s="1"/>
  <c r="N144" i="1"/>
  <c r="S144" i="1" s="1"/>
  <c r="AB144" i="1"/>
  <c r="AG144" i="1" s="1"/>
  <c r="AA144" i="1"/>
  <c r="AF144" i="1" s="1"/>
  <c r="F142" i="4" s="1"/>
  <c r="X144" i="1"/>
  <c r="AC144" i="1" s="1"/>
  <c r="Y144" i="1"/>
  <c r="AD144" i="1" s="1"/>
  <c r="D142" i="4" s="1"/>
  <c r="Z144" i="1"/>
  <c r="AE144" i="1" s="1"/>
  <c r="E141" i="4"/>
  <c r="F141" i="4"/>
  <c r="D141" i="4"/>
  <c r="C141" i="4"/>
  <c r="E146" i="1"/>
  <c r="F146" i="1" s="1"/>
  <c r="I146" i="1" s="1"/>
  <c r="D146" i="1"/>
  <c r="B147" i="1"/>
  <c r="C146" i="1"/>
  <c r="C142" i="4"/>
  <c r="E142" i="4"/>
  <c r="J145" i="1"/>
  <c r="K145" i="1" s="1"/>
  <c r="V145" i="1"/>
  <c r="W145" i="1" s="1"/>
  <c r="G142" i="4"/>
  <c r="B143" i="4"/>
  <c r="A144" i="4"/>
  <c r="P145" i="1" l="1"/>
  <c r="U145" i="1" s="1"/>
  <c r="O145" i="1"/>
  <c r="T145" i="1" s="1"/>
  <c r="L145" i="1"/>
  <c r="Q145" i="1" s="1"/>
  <c r="M145" i="1"/>
  <c r="R145" i="1" s="1"/>
  <c r="N145" i="1"/>
  <c r="S145" i="1" s="1"/>
  <c r="AB145" i="1"/>
  <c r="AG145" i="1" s="1"/>
  <c r="AA145" i="1"/>
  <c r="AF145" i="1" s="1"/>
  <c r="Y145" i="1"/>
  <c r="AD145" i="1" s="1"/>
  <c r="X145" i="1"/>
  <c r="AC145" i="1" s="1"/>
  <c r="Z145" i="1"/>
  <c r="AE145" i="1" s="1"/>
  <c r="E147" i="1"/>
  <c r="F147" i="1" s="1"/>
  <c r="I147" i="1" s="1"/>
  <c r="D147" i="1"/>
  <c r="B148" i="1"/>
  <c r="C147" i="1"/>
  <c r="V146" i="1"/>
  <c r="W146" i="1" s="1"/>
  <c r="J146" i="1"/>
  <c r="K146" i="1" s="1"/>
  <c r="B144" i="4"/>
  <c r="A145" i="4"/>
  <c r="P146" i="1" l="1"/>
  <c r="U146" i="1" s="1"/>
  <c r="O146" i="1"/>
  <c r="T146" i="1" s="1"/>
  <c r="L146" i="1"/>
  <c r="Q146" i="1" s="1"/>
  <c r="M146" i="1"/>
  <c r="R146" i="1" s="1"/>
  <c r="N146" i="1"/>
  <c r="S146" i="1" s="1"/>
  <c r="AB146" i="1"/>
  <c r="AG146" i="1" s="1"/>
  <c r="AA146" i="1"/>
  <c r="AF146" i="1" s="1"/>
  <c r="Z146" i="1"/>
  <c r="AE146" i="1" s="1"/>
  <c r="X146" i="1"/>
  <c r="AC146" i="1" s="1"/>
  <c r="Y146" i="1"/>
  <c r="AD146" i="1" s="1"/>
  <c r="G143" i="4"/>
  <c r="F143" i="4"/>
  <c r="D143" i="4"/>
  <c r="E143" i="4"/>
  <c r="C143" i="4"/>
  <c r="V147" i="1"/>
  <c r="W147" i="1" s="1"/>
  <c r="J147" i="1"/>
  <c r="K147" i="1" s="1"/>
  <c r="G144" i="4"/>
  <c r="C148" i="1"/>
  <c r="B149" i="1"/>
  <c r="D148" i="1"/>
  <c r="E148" i="1"/>
  <c r="F148" i="1" s="1"/>
  <c r="I148" i="1" s="1"/>
  <c r="B145" i="4"/>
  <c r="A146" i="4"/>
  <c r="AB147" i="1" l="1"/>
  <c r="AG147" i="1" s="1"/>
  <c r="AA147" i="1"/>
  <c r="AF147" i="1" s="1"/>
  <c r="Z147" i="1"/>
  <c r="AE147" i="1" s="1"/>
  <c r="X147" i="1"/>
  <c r="AC147" i="1" s="1"/>
  <c r="Y147" i="1"/>
  <c r="AD147" i="1" s="1"/>
  <c r="P147" i="1"/>
  <c r="U147" i="1" s="1"/>
  <c r="O147" i="1"/>
  <c r="T147" i="1" s="1"/>
  <c r="L147" i="1"/>
  <c r="Q147" i="1" s="1"/>
  <c r="M147" i="1"/>
  <c r="R147" i="1" s="1"/>
  <c r="N147" i="1"/>
  <c r="S147" i="1" s="1"/>
  <c r="C144" i="4"/>
  <c r="E144" i="4"/>
  <c r="F144" i="4"/>
  <c r="D144" i="4"/>
  <c r="V148" i="1"/>
  <c r="W148" i="1" s="1"/>
  <c r="J148" i="1"/>
  <c r="K148" i="1" s="1"/>
  <c r="E149" i="1"/>
  <c r="F149" i="1" s="1"/>
  <c r="I149" i="1" s="1"/>
  <c r="C149" i="1"/>
  <c r="B150" i="1"/>
  <c r="D149" i="1"/>
  <c r="E145" i="4"/>
  <c r="F145" i="4"/>
  <c r="G145" i="4"/>
  <c r="D145" i="4"/>
  <c r="C145" i="4"/>
  <c r="A147" i="4"/>
  <c r="B146" i="4"/>
  <c r="AB148" i="1" l="1"/>
  <c r="AG148" i="1" s="1"/>
  <c r="AA148" i="1"/>
  <c r="AF148" i="1" s="1"/>
  <c r="X148" i="1"/>
  <c r="AC148" i="1" s="1"/>
  <c r="Y148" i="1"/>
  <c r="AD148" i="1" s="1"/>
  <c r="Z148" i="1"/>
  <c r="AE148" i="1" s="1"/>
  <c r="P148" i="1"/>
  <c r="U148" i="1" s="1"/>
  <c r="O148" i="1"/>
  <c r="T148" i="1" s="1"/>
  <c r="L148" i="1"/>
  <c r="Q148" i="1" s="1"/>
  <c r="M148" i="1"/>
  <c r="R148" i="1" s="1"/>
  <c r="N148" i="1"/>
  <c r="S148" i="1" s="1"/>
  <c r="C150" i="1"/>
  <c r="D150" i="1"/>
  <c r="E150" i="1"/>
  <c r="F150" i="1" s="1"/>
  <c r="I150" i="1" s="1"/>
  <c r="B151" i="1"/>
  <c r="J149" i="1"/>
  <c r="K149" i="1" s="1"/>
  <c r="V149" i="1"/>
  <c r="W149" i="1" s="1"/>
  <c r="A148" i="4"/>
  <c r="B147" i="4"/>
  <c r="AB149" i="1" l="1"/>
  <c r="AG149" i="1" s="1"/>
  <c r="AA149" i="1"/>
  <c r="AF149" i="1" s="1"/>
  <c r="Y149" i="1"/>
  <c r="AD149" i="1" s="1"/>
  <c r="Z149" i="1"/>
  <c r="AE149" i="1" s="1"/>
  <c r="X149" i="1"/>
  <c r="AC149" i="1" s="1"/>
  <c r="P149" i="1"/>
  <c r="U149" i="1" s="1"/>
  <c r="O149" i="1"/>
  <c r="T149" i="1" s="1"/>
  <c r="L149" i="1"/>
  <c r="Q149" i="1" s="1"/>
  <c r="M149" i="1"/>
  <c r="R149" i="1" s="1"/>
  <c r="N149" i="1"/>
  <c r="S149" i="1" s="1"/>
  <c r="G146" i="4"/>
  <c r="D146" i="4"/>
  <c r="C146" i="4"/>
  <c r="E146" i="4"/>
  <c r="F146" i="4"/>
  <c r="G147" i="4"/>
  <c r="J150" i="1"/>
  <c r="K150" i="1" s="1"/>
  <c r="V150" i="1"/>
  <c r="W150" i="1" s="1"/>
  <c r="E151" i="1"/>
  <c r="F151" i="1" s="1"/>
  <c r="I151" i="1" s="1"/>
  <c r="C151" i="1"/>
  <c r="D151" i="1"/>
  <c r="B152" i="1"/>
  <c r="A149" i="4"/>
  <c r="B148" i="4"/>
  <c r="AB150" i="1" l="1"/>
  <c r="AG150" i="1" s="1"/>
  <c r="AA150" i="1"/>
  <c r="AF150" i="1" s="1"/>
  <c r="Z150" i="1"/>
  <c r="AE150" i="1" s="1"/>
  <c r="X150" i="1"/>
  <c r="AC150" i="1" s="1"/>
  <c r="Y150" i="1"/>
  <c r="AD150" i="1" s="1"/>
  <c r="P150" i="1"/>
  <c r="U150" i="1" s="1"/>
  <c r="O150" i="1"/>
  <c r="T150" i="1" s="1"/>
  <c r="L150" i="1"/>
  <c r="Q150" i="1" s="1"/>
  <c r="M150" i="1"/>
  <c r="R150" i="1" s="1"/>
  <c r="N150" i="1"/>
  <c r="S150" i="1" s="1"/>
  <c r="C147" i="4"/>
  <c r="E147" i="4"/>
  <c r="F147" i="4"/>
  <c r="D147" i="4"/>
  <c r="C148" i="4"/>
  <c r="D152" i="1"/>
  <c r="C152" i="1"/>
  <c r="B153" i="1"/>
  <c r="E152" i="1"/>
  <c r="F152" i="1" s="1"/>
  <c r="I152" i="1" s="1"/>
  <c r="V151" i="1"/>
  <c r="W151" i="1" s="1"/>
  <c r="J151" i="1"/>
  <c r="K151" i="1" s="1"/>
  <c r="B149" i="4"/>
  <c r="G148" i="4"/>
  <c r="D148" i="4"/>
  <c r="F148" i="4"/>
  <c r="E148" i="4"/>
  <c r="A150" i="4"/>
  <c r="P151" i="1" l="1"/>
  <c r="U151" i="1" s="1"/>
  <c r="O151" i="1"/>
  <c r="T151" i="1" s="1"/>
  <c r="L151" i="1"/>
  <c r="Q151" i="1" s="1"/>
  <c r="M151" i="1"/>
  <c r="R151" i="1" s="1"/>
  <c r="N151" i="1"/>
  <c r="S151" i="1" s="1"/>
  <c r="AB151" i="1"/>
  <c r="AG151" i="1" s="1"/>
  <c r="AA151" i="1"/>
  <c r="AF151" i="1" s="1"/>
  <c r="Y151" i="1"/>
  <c r="AD151" i="1" s="1"/>
  <c r="Z151" i="1"/>
  <c r="AE151" i="1" s="1"/>
  <c r="X151" i="1"/>
  <c r="AC151" i="1" s="1"/>
  <c r="V152" i="1"/>
  <c r="W152" i="1" s="1"/>
  <c r="J152" i="1"/>
  <c r="K152" i="1" s="1"/>
  <c r="E153" i="1"/>
  <c r="F153" i="1" s="1"/>
  <c r="I153" i="1" s="1"/>
  <c r="C153" i="1"/>
  <c r="B154" i="1"/>
  <c r="D153" i="1"/>
  <c r="B150" i="4"/>
  <c r="A151" i="4"/>
  <c r="P152" i="1" l="1"/>
  <c r="U152" i="1" s="1"/>
  <c r="O152" i="1"/>
  <c r="T152" i="1" s="1"/>
  <c r="L152" i="1"/>
  <c r="Q152" i="1" s="1"/>
  <c r="M152" i="1"/>
  <c r="R152" i="1" s="1"/>
  <c r="N152" i="1"/>
  <c r="S152" i="1" s="1"/>
  <c r="AB152" i="1"/>
  <c r="AG152" i="1" s="1"/>
  <c r="AA152" i="1"/>
  <c r="AF152" i="1" s="1"/>
  <c r="X152" i="1"/>
  <c r="AC152" i="1" s="1"/>
  <c r="Y152" i="1"/>
  <c r="AD152" i="1" s="1"/>
  <c r="Z152" i="1"/>
  <c r="AE152" i="1" s="1"/>
  <c r="G149" i="4"/>
  <c r="C149" i="4"/>
  <c r="D149" i="4"/>
  <c r="F149" i="4"/>
  <c r="E149" i="4"/>
  <c r="V153" i="1"/>
  <c r="W153" i="1" s="1"/>
  <c r="J153" i="1"/>
  <c r="K153" i="1" s="1"/>
  <c r="D154" i="1"/>
  <c r="C154" i="1"/>
  <c r="B155" i="1"/>
  <c r="E154" i="1"/>
  <c r="F154" i="1" s="1"/>
  <c r="I154" i="1" s="1"/>
  <c r="A152" i="4"/>
  <c r="B151" i="4"/>
  <c r="C150" i="4"/>
  <c r="G150" i="4"/>
  <c r="E150" i="4"/>
  <c r="AB153" i="1" l="1"/>
  <c r="AG153" i="1" s="1"/>
  <c r="AA153" i="1"/>
  <c r="AF153" i="1" s="1"/>
  <c r="Y153" i="1"/>
  <c r="AD153" i="1" s="1"/>
  <c r="X153" i="1"/>
  <c r="AC153" i="1" s="1"/>
  <c r="Z153" i="1"/>
  <c r="AE153" i="1" s="1"/>
  <c r="P153" i="1"/>
  <c r="U153" i="1" s="1"/>
  <c r="O153" i="1"/>
  <c r="T153" i="1" s="1"/>
  <c r="L153" i="1"/>
  <c r="Q153" i="1" s="1"/>
  <c r="M153" i="1"/>
  <c r="R153" i="1" s="1"/>
  <c r="N153" i="1"/>
  <c r="S153" i="1" s="1"/>
  <c r="F150" i="4"/>
  <c r="D150" i="4"/>
  <c r="E155" i="1"/>
  <c r="F155" i="1" s="1"/>
  <c r="I155" i="1" s="1"/>
  <c r="C155" i="1"/>
  <c r="B156" i="1"/>
  <c r="D155" i="1"/>
  <c r="J154" i="1"/>
  <c r="K154" i="1" s="1"/>
  <c r="V154" i="1"/>
  <c r="W154" i="1" s="1"/>
  <c r="E151" i="4"/>
  <c r="D151" i="4"/>
  <c r="F151" i="4"/>
  <c r="G151" i="4"/>
  <c r="C151" i="4"/>
  <c r="A153" i="4"/>
  <c r="B152" i="4"/>
  <c r="P154" i="1" l="1"/>
  <c r="U154" i="1" s="1"/>
  <c r="O154" i="1"/>
  <c r="T154" i="1" s="1"/>
  <c r="L154" i="1"/>
  <c r="Q154" i="1" s="1"/>
  <c r="M154" i="1"/>
  <c r="R154" i="1" s="1"/>
  <c r="N154" i="1"/>
  <c r="S154" i="1" s="1"/>
  <c r="AB154" i="1"/>
  <c r="AG154" i="1" s="1"/>
  <c r="AA154" i="1"/>
  <c r="AF154" i="1" s="1"/>
  <c r="Z154" i="1"/>
  <c r="AE154" i="1" s="1"/>
  <c r="X154" i="1"/>
  <c r="AC154" i="1" s="1"/>
  <c r="Y154" i="1"/>
  <c r="AD154" i="1" s="1"/>
  <c r="E156" i="1"/>
  <c r="F156" i="1" s="1"/>
  <c r="I156" i="1" s="1"/>
  <c r="C156" i="1"/>
  <c r="D156" i="1"/>
  <c r="B157" i="1"/>
  <c r="J155" i="1"/>
  <c r="K155" i="1" s="1"/>
  <c r="V155" i="1"/>
  <c r="W155" i="1" s="1"/>
  <c r="B153" i="4"/>
  <c r="A154" i="4"/>
  <c r="P155" i="1" l="1"/>
  <c r="U155" i="1" s="1"/>
  <c r="O155" i="1"/>
  <c r="T155" i="1" s="1"/>
  <c r="L155" i="1"/>
  <c r="Q155" i="1" s="1"/>
  <c r="M155" i="1"/>
  <c r="R155" i="1" s="1"/>
  <c r="N155" i="1"/>
  <c r="S155" i="1" s="1"/>
  <c r="AB155" i="1"/>
  <c r="AG155" i="1" s="1"/>
  <c r="AA155" i="1"/>
  <c r="AF155" i="1" s="1"/>
  <c r="X155" i="1"/>
  <c r="AC155" i="1" s="1"/>
  <c r="Y155" i="1"/>
  <c r="AD155" i="1" s="1"/>
  <c r="Z155" i="1"/>
  <c r="AE155" i="1" s="1"/>
  <c r="D152" i="4"/>
  <c r="E152" i="4"/>
  <c r="C152" i="4"/>
  <c r="F152" i="4"/>
  <c r="G152" i="4"/>
  <c r="E157" i="1"/>
  <c r="F157" i="1" s="1"/>
  <c r="I157" i="1" s="1"/>
  <c r="D157" i="1"/>
  <c r="B158" i="1"/>
  <c r="C157" i="1"/>
  <c r="J156" i="1"/>
  <c r="K156" i="1" s="1"/>
  <c r="V156" i="1"/>
  <c r="W156" i="1" s="1"/>
  <c r="G153" i="4"/>
  <c r="A155" i="4"/>
  <c r="B154" i="4"/>
  <c r="P156" i="1" l="1"/>
  <c r="U156" i="1" s="1"/>
  <c r="O156" i="1"/>
  <c r="T156" i="1" s="1"/>
  <c r="L156" i="1"/>
  <c r="Q156" i="1" s="1"/>
  <c r="M156" i="1"/>
  <c r="R156" i="1" s="1"/>
  <c r="N156" i="1"/>
  <c r="S156" i="1" s="1"/>
  <c r="AB156" i="1"/>
  <c r="AG156" i="1" s="1"/>
  <c r="AA156" i="1"/>
  <c r="AF156" i="1" s="1"/>
  <c r="X156" i="1"/>
  <c r="AC156" i="1" s="1"/>
  <c r="Z156" i="1"/>
  <c r="AE156" i="1" s="1"/>
  <c r="Y156" i="1"/>
  <c r="AD156" i="1" s="1"/>
  <c r="F153" i="4"/>
  <c r="E153" i="4"/>
  <c r="C153" i="4"/>
  <c r="D153" i="4"/>
  <c r="C154" i="4"/>
  <c r="E154" i="4"/>
  <c r="F154" i="4"/>
  <c r="E158" i="1"/>
  <c r="F158" i="1" s="1"/>
  <c r="I158" i="1" s="1"/>
  <c r="D158" i="1"/>
  <c r="B159" i="1"/>
  <c r="C158" i="1"/>
  <c r="J157" i="1"/>
  <c r="K157" i="1" s="1"/>
  <c r="V157" i="1"/>
  <c r="W157" i="1" s="1"/>
  <c r="G154" i="4"/>
  <c r="D154" i="4"/>
  <c r="B155" i="4"/>
  <c r="A156" i="4"/>
  <c r="AB157" i="1" l="1"/>
  <c r="AG157" i="1" s="1"/>
  <c r="AA157" i="1"/>
  <c r="AF157" i="1" s="1"/>
  <c r="Y157" i="1"/>
  <c r="AD157" i="1" s="1"/>
  <c r="X157" i="1"/>
  <c r="AC157" i="1" s="1"/>
  <c r="Z157" i="1"/>
  <c r="AE157" i="1" s="1"/>
  <c r="P157" i="1"/>
  <c r="U157" i="1" s="1"/>
  <c r="O157" i="1"/>
  <c r="T157" i="1" s="1"/>
  <c r="L157" i="1"/>
  <c r="Q157" i="1" s="1"/>
  <c r="M157" i="1"/>
  <c r="R157" i="1" s="1"/>
  <c r="N157" i="1"/>
  <c r="S157" i="1" s="1"/>
  <c r="V158" i="1"/>
  <c r="W158" i="1" s="1"/>
  <c r="J158" i="1"/>
  <c r="K158" i="1" s="1"/>
  <c r="E159" i="1"/>
  <c r="F159" i="1" s="1"/>
  <c r="I159" i="1" s="1"/>
  <c r="D159" i="1"/>
  <c r="B160" i="1"/>
  <c r="C159" i="1"/>
  <c r="A157" i="4"/>
  <c r="B156" i="4"/>
  <c r="P158" i="1" l="1"/>
  <c r="U158" i="1" s="1"/>
  <c r="O158" i="1"/>
  <c r="T158" i="1" s="1"/>
  <c r="L158" i="1"/>
  <c r="Q158" i="1" s="1"/>
  <c r="M158" i="1"/>
  <c r="R158" i="1" s="1"/>
  <c r="N158" i="1"/>
  <c r="S158" i="1" s="1"/>
  <c r="AB158" i="1"/>
  <c r="AG158" i="1" s="1"/>
  <c r="AA158" i="1"/>
  <c r="AF158" i="1" s="1"/>
  <c r="Z158" i="1"/>
  <c r="AE158" i="1" s="1"/>
  <c r="Y158" i="1"/>
  <c r="AD158" i="1" s="1"/>
  <c r="X158" i="1"/>
  <c r="AC158" i="1" s="1"/>
  <c r="G155" i="4"/>
  <c r="D155" i="4"/>
  <c r="F155" i="4"/>
  <c r="C155" i="4"/>
  <c r="E155" i="4"/>
  <c r="J159" i="1"/>
  <c r="K159" i="1" s="1"/>
  <c r="V159" i="1"/>
  <c r="W159" i="1" s="1"/>
  <c r="D160" i="1"/>
  <c r="B161" i="1"/>
  <c r="C160" i="1"/>
  <c r="E160" i="1"/>
  <c r="F160" i="1" s="1"/>
  <c r="I160" i="1" s="1"/>
  <c r="G156" i="4"/>
  <c r="B157" i="4"/>
  <c r="A158" i="4"/>
  <c r="AB159" i="1" l="1"/>
  <c r="AG159" i="1" s="1"/>
  <c r="AA159" i="1"/>
  <c r="AF159" i="1" s="1"/>
  <c r="X159" i="1"/>
  <c r="AC159" i="1" s="1"/>
  <c r="Y159" i="1"/>
  <c r="AD159" i="1" s="1"/>
  <c r="Z159" i="1"/>
  <c r="AE159" i="1" s="1"/>
  <c r="P159" i="1"/>
  <c r="U159" i="1" s="1"/>
  <c r="O159" i="1"/>
  <c r="T159" i="1" s="1"/>
  <c r="L159" i="1"/>
  <c r="Q159" i="1" s="1"/>
  <c r="M159" i="1"/>
  <c r="R159" i="1" s="1"/>
  <c r="N159" i="1"/>
  <c r="S159" i="1" s="1"/>
  <c r="E156" i="4"/>
  <c r="F156" i="4"/>
  <c r="C156" i="4"/>
  <c r="D156" i="4"/>
  <c r="V160" i="1"/>
  <c r="W160" i="1" s="1"/>
  <c r="J160" i="1"/>
  <c r="K160" i="1" s="1"/>
  <c r="E161" i="1"/>
  <c r="F161" i="1" s="1"/>
  <c r="I161" i="1" s="1"/>
  <c r="B162" i="1"/>
  <c r="C161" i="1"/>
  <c r="D161" i="1"/>
  <c r="E157" i="4"/>
  <c r="F157" i="4"/>
  <c r="C157" i="4"/>
  <c r="D157" i="4"/>
  <c r="A159" i="4"/>
  <c r="B158" i="4"/>
  <c r="G157" i="4"/>
  <c r="AB160" i="1" l="1"/>
  <c r="AG160" i="1" s="1"/>
  <c r="AA160" i="1"/>
  <c r="AF160" i="1" s="1"/>
  <c r="X160" i="1"/>
  <c r="AC160" i="1" s="1"/>
  <c r="Y160" i="1"/>
  <c r="AD160" i="1" s="1"/>
  <c r="Z160" i="1"/>
  <c r="AE160" i="1" s="1"/>
  <c r="P160" i="1"/>
  <c r="U160" i="1" s="1"/>
  <c r="O160" i="1"/>
  <c r="T160" i="1" s="1"/>
  <c r="L160" i="1"/>
  <c r="Q160" i="1" s="1"/>
  <c r="M160" i="1"/>
  <c r="R160" i="1" s="1"/>
  <c r="N160" i="1"/>
  <c r="S160" i="1" s="1"/>
  <c r="D162" i="1"/>
  <c r="C162" i="1"/>
  <c r="E162" i="1"/>
  <c r="F162" i="1" s="1"/>
  <c r="I162" i="1" s="1"/>
  <c r="B163" i="1"/>
  <c r="J161" i="1"/>
  <c r="K161" i="1" s="1"/>
  <c r="V161" i="1"/>
  <c r="W161" i="1" s="1"/>
  <c r="E158" i="4"/>
  <c r="C158" i="4"/>
  <c r="D158" i="4"/>
  <c r="F158" i="4"/>
  <c r="G158" i="4"/>
  <c r="A160" i="4"/>
  <c r="B159" i="4"/>
  <c r="AB161" i="1" l="1"/>
  <c r="AG161" i="1" s="1"/>
  <c r="AA161" i="1"/>
  <c r="AF161" i="1" s="1"/>
  <c r="Y161" i="1"/>
  <c r="AD161" i="1" s="1"/>
  <c r="X161" i="1"/>
  <c r="AC161" i="1" s="1"/>
  <c r="Z161" i="1"/>
  <c r="AE161" i="1" s="1"/>
  <c r="P161" i="1"/>
  <c r="U161" i="1" s="1"/>
  <c r="O161" i="1"/>
  <c r="T161" i="1" s="1"/>
  <c r="L161" i="1"/>
  <c r="Q161" i="1" s="1"/>
  <c r="M161" i="1"/>
  <c r="R161" i="1" s="1"/>
  <c r="N161" i="1"/>
  <c r="S161" i="1" s="1"/>
  <c r="E163" i="1"/>
  <c r="F163" i="1" s="1"/>
  <c r="I163" i="1" s="1"/>
  <c r="C163" i="1"/>
  <c r="B164" i="1"/>
  <c r="D163" i="1"/>
  <c r="V162" i="1"/>
  <c r="W162" i="1" s="1"/>
  <c r="J162" i="1"/>
  <c r="K162" i="1" s="1"/>
  <c r="G159" i="4"/>
  <c r="A161" i="4"/>
  <c r="B160" i="4"/>
  <c r="P162" i="1" l="1"/>
  <c r="U162" i="1" s="1"/>
  <c r="O162" i="1"/>
  <c r="T162" i="1" s="1"/>
  <c r="L162" i="1"/>
  <c r="Q162" i="1" s="1"/>
  <c r="M162" i="1"/>
  <c r="R162" i="1" s="1"/>
  <c r="N162" i="1"/>
  <c r="S162" i="1" s="1"/>
  <c r="AB162" i="1"/>
  <c r="AG162" i="1" s="1"/>
  <c r="AA162" i="1"/>
  <c r="AF162" i="1" s="1"/>
  <c r="Z162" i="1"/>
  <c r="AE162" i="1" s="1"/>
  <c r="X162" i="1"/>
  <c r="AC162" i="1" s="1"/>
  <c r="Y162" i="1"/>
  <c r="AD162" i="1" s="1"/>
  <c r="C159" i="4"/>
  <c r="D159" i="4"/>
  <c r="E159" i="4"/>
  <c r="F159" i="4"/>
  <c r="D160" i="4"/>
  <c r="F160" i="4"/>
  <c r="E160" i="4"/>
  <c r="C160" i="4"/>
  <c r="B165" i="1"/>
  <c r="E164" i="1"/>
  <c r="F164" i="1" s="1"/>
  <c r="I164" i="1" s="1"/>
  <c r="D164" i="1"/>
  <c r="C164" i="1"/>
  <c r="V163" i="1"/>
  <c r="W163" i="1" s="1"/>
  <c r="J163" i="1"/>
  <c r="K163" i="1" s="1"/>
  <c r="G160" i="4"/>
  <c r="A162" i="4"/>
  <c r="B161" i="4"/>
  <c r="P163" i="1" l="1"/>
  <c r="U163" i="1" s="1"/>
  <c r="O163" i="1"/>
  <c r="T163" i="1" s="1"/>
  <c r="L163" i="1"/>
  <c r="Q163" i="1" s="1"/>
  <c r="M163" i="1"/>
  <c r="R163" i="1" s="1"/>
  <c r="N163" i="1"/>
  <c r="S163" i="1" s="1"/>
  <c r="AB163" i="1"/>
  <c r="AG163" i="1" s="1"/>
  <c r="AA163" i="1"/>
  <c r="AF163" i="1" s="1"/>
  <c r="Z163" i="1"/>
  <c r="AE163" i="1" s="1"/>
  <c r="X163" i="1"/>
  <c r="AC163" i="1" s="1"/>
  <c r="Y163" i="1"/>
  <c r="AD163" i="1" s="1"/>
  <c r="J164" i="1"/>
  <c r="K164" i="1" s="1"/>
  <c r="V164" i="1"/>
  <c r="W164" i="1" s="1"/>
  <c r="E165" i="1"/>
  <c r="F165" i="1" s="1"/>
  <c r="I165" i="1" s="1"/>
  <c r="B166" i="1"/>
  <c r="D165" i="1"/>
  <c r="C165" i="1"/>
  <c r="A163" i="4"/>
  <c r="B162" i="4"/>
  <c r="AB164" i="1" l="1"/>
  <c r="AG164" i="1" s="1"/>
  <c r="AA164" i="1"/>
  <c r="AF164" i="1" s="1"/>
  <c r="X164" i="1"/>
  <c r="AC164" i="1" s="1"/>
  <c r="Y164" i="1"/>
  <c r="AD164" i="1" s="1"/>
  <c r="Z164" i="1"/>
  <c r="AE164" i="1" s="1"/>
  <c r="P164" i="1"/>
  <c r="U164" i="1" s="1"/>
  <c r="O164" i="1"/>
  <c r="T164" i="1" s="1"/>
  <c r="L164" i="1"/>
  <c r="Q164" i="1" s="1"/>
  <c r="M164" i="1"/>
  <c r="R164" i="1" s="1"/>
  <c r="N164" i="1"/>
  <c r="S164" i="1" s="1"/>
  <c r="G161" i="4"/>
  <c r="E161" i="4"/>
  <c r="D161" i="4"/>
  <c r="C161" i="4"/>
  <c r="F161" i="4"/>
  <c r="D166" i="1"/>
  <c r="B167" i="1"/>
  <c r="C166" i="1"/>
  <c r="E166" i="1"/>
  <c r="F166" i="1" s="1"/>
  <c r="I166" i="1" s="1"/>
  <c r="J165" i="1"/>
  <c r="K165" i="1" s="1"/>
  <c r="V165" i="1"/>
  <c r="W165" i="1" s="1"/>
  <c r="G162" i="4"/>
  <c r="A164" i="4"/>
  <c r="B163" i="4"/>
  <c r="P165" i="1" l="1"/>
  <c r="U165" i="1" s="1"/>
  <c r="O165" i="1"/>
  <c r="T165" i="1" s="1"/>
  <c r="L165" i="1"/>
  <c r="Q165" i="1" s="1"/>
  <c r="M165" i="1"/>
  <c r="R165" i="1" s="1"/>
  <c r="N165" i="1"/>
  <c r="S165" i="1" s="1"/>
  <c r="AB165" i="1"/>
  <c r="AG165" i="1" s="1"/>
  <c r="AA165" i="1"/>
  <c r="AF165" i="1" s="1"/>
  <c r="Y165" i="1"/>
  <c r="AD165" i="1" s="1"/>
  <c r="Z165" i="1"/>
  <c r="AE165" i="1" s="1"/>
  <c r="X165" i="1"/>
  <c r="AC165" i="1" s="1"/>
  <c r="E162" i="4"/>
  <c r="D162" i="4"/>
  <c r="C162" i="4"/>
  <c r="F162" i="4"/>
  <c r="E167" i="1"/>
  <c r="F167" i="1" s="1"/>
  <c r="I167" i="1" s="1"/>
  <c r="C167" i="1"/>
  <c r="D167" i="1"/>
  <c r="B168" i="1"/>
  <c r="E163" i="4"/>
  <c r="D163" i="4"/>
  <c r="C163" i="4"/>
  <c r="V166" i="1"/>
  <c r="W166" i="1" s="1"/>
  <c r="J166" i="1"/>
  <c r="K166" i="1" s="1"/>
  <c r="F163" i="4"/>
  <c r="G163" i="4"/>
  <c r="A165" i="4"/>
  <c r="B164" i="4"/>
  <c r="AB166" i="1" l="1"/>
  <c r="AG166" i="1" s="1"/>
  <c r="AA166" i="1"/>
  <c r="AF166" i="1" s="1"/>
  <c r="Z166" i="1"/>
  <c r="AE166" i="1" s="1"/>
  <c r="X166" i="1"/>
  <c r="AC166" i="1" s="1"/>
  <c r="Y166" i="1"/>
  <c r="AD166" i="1" s="1"/>
  <c r="P166" i="1"/>
  <c r="U166" i="1" s="1"/>
  <c r="O166" i="1"/>
  <c r="T166" i="1" s="1"/>
  <c r="L166" i="1"/>
  <c r="Q166" i="1" s="1"/>
  <c r="M166" i="1"/>
  <c r="R166" i="1" s="1"/>
  <c r="N166" i="1"/>
  <c r="S166" i="1" s="1"/>
  <c r="B169" i="1"/>
  <c r="D168" i="1"/>
  <c r="E168" i="1"/>
  <c r="F168" i="1" s="1"/>
  <c r="I168" i="1" s="1"/>
  <c r="C168" i="1"/>
  <c r="V167" i="1"/>
  <c r="W167" i="1" s="1"/>
  <c r="J167" i="1"/>
  <c r="K167" i="1" s="1"/>
  <c r="B165" i="4"/>
  <c r="A166" i="4"/>
  <c r="P167" i="1" l="1"/>
  <c r="U167" i="1" s="1"/>
  <c r="O167" i="1"/>
  <c r="T167" i="1" s="1"/>
  <c r="L167" i="1"/>
  <c r="Q167" i="1" s="1"/>
  <c r="M167" i="1"/>
  <c r="R167" i="1" s="1"/>
  <c r="N167" i="1"/>
  <c r="S167" i="1" s="1"/>
  <c r="AB167" i="1"/>
  <c r="AG167" i="1" s="1"/>
  <c r="AA167" i="1"/>
  <c r="AF167" i="1" s="1"/>
  <c r="Y167" i="1"/>
  <c r="AD167" i="1" s="1"/>
  <c r="Z167" i="1"/>
  <c r="AE167" i="1" s="1"/>
  <c r="X167" i="1"/>
  <c r="AC167" i="1" s="1"/>
  <c r="G164" i="4"/>
  <c r="C164" i="4"/>
  <c r="D164" i="4"/>
  <c r="E164" i="4"/>
  <c r="F164" i="4"/>
  <c r="J168" i="1"/>
  <c r="K168" i="1" s="1"/>
  <c r="V168" i="1"/>
  <c r="W168" i="1" s="1"/>
  <c r="E165" i="4"/>
  <c r="C165" i="4"/>
  <c r="G165" i="4"/>
  <c r="E169" i="1"/>
  <c r="F169" i="1" s="1"/>
  <c r="I169" i="1" s="1"/>
  <c r="B170" i="1"/>
  <c r="C169" i="1"/>
  <c r="D169" i="1"/>
  <c r="A167" i="4"/>
  <c r="B166" i="4"/>
  <c r="P168" i="1" l="1"/>
  <c r="U168" i="1" s="1"/>
  <c r="O168" i="1"/>
  <c r="T168" i="1" s="1"/>
  <c r="L168" i="1"/>
  <c r="Q168" i="1" s="1"/>
  <c r="M168" i="1"/>
  <c r="R168" i="1" s="1"/>
  <c r="N168" i="1"/>
  <c r="S168" i="1" s="1"/>
  <c r="AB168" i="1"/>
  <c r="AG168" i="1" s="1"/>
  <c r="AA168" i="1"/>
  <c r="AF168" i="1" s="1"/>
  <c r="X168" i="1"/>
  <c r="AC168" i="1" s="1"/>
  <c r="Y168" i="1"/>
  <c r="AD168" i="1" s="1"/>
  <c r="Z168" i="1"/>
  <c r="AE168" i="1" s="1"/>
  <c r="F165" i="4"/>
  <c r="D165" i="4"/>
  <c r="F166" i="4"/>
  <c r="E166" i="4"/>
  <c r="C166" i="4"/>
  <c r="D170" i="1"/>
  <c r="C170" i="1"/>
  <c r="E170" i="1"/>
  <c r="F170" i="1" s="1"/>
  <c r="I170" i="1" s="1"/>
  <c r="B171" i="1"/>
  <c r="J169" i="1"/>
  <c r="K169" i="1" s="1"/>
  <c r="V169" i="1"/>
  <c r="W169" i="1" s="1"/>
  <c r="G166" i="4"/>
  <c r="D166" i="4"/>
  <c r="A168" i="4"/>
  <c r="B167" i="4"/>
  <c r="AB169" i="1" l="1"/>
  <c r="AG169" i="1" s="1"/>
  <c r="AA169" i="1"/>
  <c r="AF169" i="1" s="1"/>
  <c r="Y169" i="1"/>
  <c r="AD169" i="1" s="1"/>
  <c r="X169" i="1"/>
  <c r="AC169" i="1" s="1"/>
  <c r="Z169" i="1"/>
  <c r="AE169" i="1" s="1"/>
  <c r="P169" i="1"/>
  <c r="U169" i="1" s="1"/>
  <c r="O169" i="1"/>
  <c r="T169" i="1" s="1"/>
  <c r="L169" i="1"/>
  <c r="Q169" i="1" s="1"/>
  <c r="M169" i="1"/>
  <c r="R169" i="1" s="1"/>
  <c r="N169" i="1"/>
  <c r="S169" i="1" s="1"/>
  <c r="E171" i="1"/>
  <c r="F171" i="1" s="1"/>
  <c r="I171" i="1" s="1"/>
  <c r="C171" i="1"/>
  <c r="B172" i="1"/>
  <c r="D171" i="1"/>
  <c r="V170" i="1"/>
  <c r="W170" i="1" s="1"/>
  <c r="J170" i="1"/>
  <c r="K170" i="1" s="1"/>
  <c r="A169" i="4"/>
  <c r="B168" i="4"/>
  <c r="AB170" i="1" l="1"/>
  <c r="AG170" i="1" s="1"/>
  <c r="AA170" i="1"/>
  <c r="AF170" i="1" s="1"/>
  <c r="Z170" i="1"/>
  <c r="AE170" i="1" s="1"/>
  <c r="X170" i="1"/>
  <c r="AC170" i="1" s="1"/>
  <c r="Y170" i="1"/>
  <c r="AD170" i="1" s="1"/>
  <c r="P170" i="1"/>
  <c r="U170" i="1" s="1"/>
  <c r="O170" i="1"/>
  <c r="T170" i="1" s="1"/>
  <c r="L170" i="1"/>
  <c r="Q170" i="1" s="1"/>
  <c r="M170" i="1"/>
  <c r="R170" i="1" s="1"/>
  <c r="N170" i="1"/>
  <c r="S170" i="1" s="1"/>
  <c r="C167" i="4"/>
  <c r="F167" i="4"/>
  <c r="D167" i="4"/>
  <c r="E167" i="4"/>
  <c r="G167" i="4"/>
  <c r="B173" i="1"/>
  <c r="E172" i="1"/>
  <c r="F172" i="1" s="1"/>
  <c r="I172" i="1" s="1"/>
  <c r="C172" i="1"/>
  <c r="D172" i="1"/>
  <c r="V171" i="1"/>
  <c r="W171" i="1" s="1"/>
  <c r="J171" i="1"/>
  <c r="K171" i="1" s="1"/>
  <c r="G168" i="4"/>
  <c r="B169" i="4"/>
  <c r="A170" i="4"/>
  <c r="AB171" i="1" l="1"/>
  <c r="AG171" i="1" s="1"/>
  <c r="AA171" i="1"/>
  <c r="AF171" i="1" s="1"/>
  <c r="X171" i="1"/>
  <c r="AC171" i="1" s="1"/>
  <c r="Y171" i="1"/>
  <c r="AD171" i="1" s="1"/>
  <c r="Z171" i="1"/>
  <c r="AE171" i="1" s="1"/>
  <c r="P171" i="1"/>
  <c r="U171" i="1" s="1"/>
  <c r="O171" i="1"/>
  <c r="T171" i="1" s="1"/>
  <c r="L171" i="1"/>
  <c r="Q171" i="1" s="1"/>
  <c r="M171" i="1"/>
  <c r="R171" i="1" s="1"/>
  <c r="N171" i="1"/>
  <c r="S171" i="1" s="1"/>
  <c r="F168" i="4"/>
  <c r="C168" i="4"/>
  <c r="E168" i="4"/>
  <c r="D168" i="4"/>
  <c r="J172" i="1"/>
  <c r="K172" i="1" s="1"/>
  <c r="V172" i="1"/>
  <c r="W172" i="1" s="1"/>
  <c r="E169" i="4"/>
  <c r="C169" i="4"/>
  <c r="D169" i="4"/>
  <c r="F169" i="4"/>
  <c r="E173" i="1"/>
  <c r="F173" i="1" s="1"/>
  <c r="I173" i="1" s="1"/>
  <c r="B174" i="1"/>
  <c r="D173" i="1"/>
  <c r="C173" i="1"/>
  <c r="B170" i="4"/>
  <c r="G169" i="4"/>
  <c r="A171" i="4"/>
  <c r="AB172" i="1" l="1"/>
  <c r="AG172" i="1" s="1"/>
  <c r="AA172" i="1"/>
  <c r="AF172" i="1" s="1"/>
  <c r="X172" i="1"/>
  <c r="AC172" i="1" s="1"/>
  <c r="Z172" i="1"/>
  <c r="AE172" i="1" s="1"/>
  <c r="Y172" i="1"/>
  <c r="AD172" i="1" s="1"/>
  <c r="P172" i="1"/>
  <c r="U172" i="1" s="1"/>
  <c r="O172" i="1"/>
  <c r="T172" i="1" s="1"/>
  <c r="L172" i="1"/>
  <c r="Q172" i="1" s="1"/>
  <c r="M172" i="1"/>
  <c r="R172" i="1" s="1"/>
  <c r="N172" i="1"/>
  <c r="S172" i="1" s="1"/>
  <c r="D174" i="1"/>
  <c r="C174" i="1"/>
  <c r="B175" i="1"/>
  <c r="E174" i="1"/>
  <c r="F174" i="1" s="1"/>
  <c r="I174" i="1" s="1"/>
  <c r="J173" i="1"/>
  <c r="K173" i="1" s="1"/>
  <c r="V173" i="1"/>
  <c r="W173" i="1" s="1"/>
  <c r="B171" i="4"/>
  <c r="A172" i="4"/>
  <c r="AB173" i="1" l="1"/>
  <c r="AG173" i="1" s="1"/>
  <c r="AA173" i="1"/>
  <c r="AF173" i="1" s="1"/>
  <c r="Y173" i="1"/>
  <c r="AD173" i="1" s="1"/>
  <c r="X173" i="1"/>
  <c r="AC173" i="1" s="1"/>
  <c r="Z173" i="1"/>
  <c r="AE173" i="1" s="1"/>
  <c r="P173" i="1"/>
  <c r="U173" i="1" s="1"/>
  <c r="O173" i="1"/>
  <c r="T173" i="1" s="1"/>
  <c r="L173" i="1"/>
  <c r="Q173" i="1" s="1"/>
  <c r="M173" i="1"/>
  <c r="R173" i="1" s="1"/>
  <c r="N173" i="1"/>
  <c r="S173" i="1" s="1"/>
  <c r="G170" i="4"/>
  <c r="C170" i="4"/>
  <c r="E170" i="4"/>
  <c r="F170" i="4"/>
  <c r="D170" i="4"/>
  <c r="E171" i="4"/>
  <c r="D171" i="4"/>
  <c r="G171" i="4"/>
  <c r="F171" i="4"/>
  <c r="V174" i="1"/>
  <c r="W174" i="1" s="1"/>
  <c r="J174" i="1"/>
  <c r="K174" i="1" s="1"/>
  <c r="E175" i="1"/>
  <c r="F175" i="1" s="1"/>
  <c r="I175" i="1" s="1"/>
  <c r="C175" i="1"/>
  <c r="D175" i="1"/>
  <c r="B176" i="1"/>
  <c r="B172" i="4"/>
  <c r="A173" i="4"/>
  <c r="AB174" i="1" l="1"/>
  <c r="AG174" i="1" s="1"/>
  <c r="AA174" i="1"/>
  <c r="AF174" i="1" s="1"/>
  <c r="Z174" i="1"/>
  <c r="AE174" i="1" s="1"/>
  <c r="Y174" i="1"/>
  <c r="AD174" i="1" s="1"/>
  <c r="X174" i="1"/>
  <c r="AC174" i="1" s="1"/>
  <c r="P174" i="1"/>
  <c r="U174" i="1" s="1"/>
  <c r="O174" i="1"/>
  <c r="T174" i="1" s="1"/>
  <c r="L174" i="1"/>
  <c r="Q174" i="1" s="1"/>
  <c r="M174" i="1"/>
  <c r="R174" i="1" s="1"/>
  <c r="N174" i="1"/>
  <c r="S174" i="1" s="1"/>
  <c r="C171" i="4"/>
  <c r="B177" i="1"/>
  <c r="E176" i="1"/>
  <c r="F176" i="1" s="1"/>
  <c r="I176" i="1" s="1"/>
  <c r="C176" i="1"/>
  <c r="D176" i="1"/>
  <c r="D172" i="4"/>
  <c r="F172" i="4"/>
  <c r="E172" i="4"/>
  <c r="C172" i="4"/>
  <c r="V175" i="1"/>
  <c r="W175" i="1" s="1"/>
  <c r="J175" i="1"/>
  <c r="K175" i="1" s="1"/>
  <c r="B173" i="4"/>
  <c r="G172" i="4"/>
  <c r="A174" i="4"/>
  <c r="P175" i="1" l="1"/>
  <c r="U175" i="1" s="1"/>
  <c r="O175" i="1"/>
  <c r="T175" i="1" s="1"/>
  <c r="L175" i="1"/>
  <c r="Q175" i="1" s="1"/>
  <c r="M175" i="1"/>
  <c r="R175" i="1" s="1"/>
  <c r="N175" i="1"/>
  <c r="S175" i="1" s="1"/>
  <c r="AB175" i="1"/>
  <c r="AG175" i="1" s="1"/>
  <c r="AA175" i="1"/>
  <c r="AF175" i="1" s="1"/>
  <c r="X175" i="1"/>
  <c r="AC175" i="1" s="1"/>
  <c r="Y175" i="1"/>
  <c r="AD175" i="1" s="1"/>
  <c r="Z175" i="1"/>
  <c r="AE175" i="1" s="1"/>
  <c r="J176" i="1"/>
  <c r="K176" i="1" s="1"/>
  <c r="V176" i="1"/>
  <c r="W176" i="1" s="1"/>
  <c r="E177" i="1"/>
  <c r="F177" i="1" s="1"/>
  <c r="I177" i="1" s="1"/>
  <c r="B178" i="1"/>
  <c r="D177" i="1"/>
  <c r="C177" i="1"/>
  <c r="A175" i="4"/>
  <c r="B174" i="4"/>
  <c r="P176" i="1" l="1"/>
  <c r="U176" i="1" s="1"/>
  <c r="O176" i="1"/>
  <c r="T176" i="1" s="1"/>
  <c r="L176" i="1"/>
  <c r="Q176" i="1" s="1"/>
  <c r="M176" i="1"/>
  <c r="R176" i="1" s="1"/>
  <c r="N176" i="1"/>
  <c r="S176" i="1" s="1"/>
  <c r="AB176" i="1"/>
  <c r="AG176" i="1" s="1"/>
  <c r="AA176" i="1"/>
  <c r="AF176" i="1" s="1"/>
  <c r="X176" i="1"/>
  <c r="AC176" i="1" s="1"/>
  <c r="Y176" i="1"/>
  <c r="AD176" i="1" s="1"/>
  <c r="Z176" i="1"/>
  <c r="AE176" i="1" s="1"/>
  <c r="D173" i="4"/>
  <c r="E173" i="4"/>
  <c r="F173" i="4"/>
  <c r="C173" i="4"/>
  <c r="G173" i="4"/>
  <c r="D178" i="1"/>
  <c r="C178" i="1"/>
  <c r="B179" i="1"/>
  <c r="E178" i="1"/>
  <c r="F178" i="1" s="1"/>
  <c r="I178" i="1" s="1"/>
  <c r="J177" i="1"/>
  <c r="K177" i="1" s="1"/>
  <c r="V177" i="1"/>
  <c r="W177" i="1" s="1"/>
  <c r="G174" i="4"/>
  <c r="B175" i="4"/>
  <c r="A176" i="4"/>
  <c r="P177" i="1" l="1"/>
  <c r="U177" i="1" s="1"/>
  <c r="O177" i="1"/>
  <c r="T177" i="1" s="1"/>
  <c r="L177" i="1"/>
  <c r="Q177" i="1" s="1"/>
  <c r="M177" i="1"/>
  <c r="R177" i="1" s="1"/>
  <c r="N177" i="1"/>
  <c r="S177" i="1" s="1"/>
  <c r="AB177" i="1"/>
  <c r="AG177" i="1" s="1"/>
  <c r="AA177" i="1"/>
  <c r="AF177" i="1" s="1"/>
  <c r="Y177" i="1"/>
  <c r="AD177" i="1" s="1"/>
  <c r="X177" i="1"/>
  <c r="AC177" i="1" s="1"/>
  <c r="Z177" i="1"/>
  <c r="AE177" i="1" s="1"/>
  <c r="D174" i="4"/>
  <c r="E174" i="4"/>
  <c r="F174" i="4"/>
  <c r="C174" i="4"/>
  <c r="V178" i="1"/>
  <c r="W178" i="1" s="1"/>
  <c r="J178" i="1"/>
  <c r="K178" i="1" s="1"/>
  <c r="C179" i="1"/>
  <c r="B180" i="1"/>
  <c r="E179" i="1"/>
  <c r="F179" i="1" s="1"/>
  <c r="I179" i="1" s="1"/>
  <c r="D179" i="1"/>
  <c r="E175" i="4"/>
  <c r="D175" i="4"/>
  <c r="C175" i="4"/>
  <c r="F175" i="4"/>
  <c r="A177" i="4"/>
  <c r="B176" i="4"/>
  <c r="G175" i="4"/>
  <c r="P178" i="1" l="1"/>
  <c r="U178" i="1" s="1"/>
  <c r="O178" i="1"/>
  <c r="T178" i="1" s="1"/>
  <c r="L178" i="1"/>
  <c r="Q178" i="1" s="1"/>
  <c r="M178" i="1"/>
  <c r="R178" i="1" s="1"/>
  <c r="N178" i="1"/>
  <c r="S178" i="1" s="1"/>
  <c r="AB178" i="1"/>
  <c r="AG178" i="1" s="1"/>
  <c r="AA178" i="1"/>
  <c r="AF178" i="1" s="1"/>
  <c r="Z178" i="1"/>
  <c r="AE178" i="1" s="1"/>
  <c r="X178" i="1"/>
  <c r="AC178" i="1" s="1"/>
  <c r="Y178" i="1"/>
  <c r="AD178" i="1" s="1"/>
  <c r="D180" i="1"/>
  <c r="B181" i="1"/>
  <c r="C180" i="1"/>
  <c r="E180" i="1"/>
  <c r="F180" i="1" s="1"/>
  <c r="I180" i="1" s="1"/>
  <c r="V179" i="1"/>
  <c r="W179" i="1" s="1"/>
  <c r="J179" i="1"/>
  <c r="K179" i="1" s="1"/>
  <c r="A178" i="4"/>
  <c r="B177" i="4"/>
  <c r="P179" i="1" l="1"/>
  <c r="U179" i="1" s="1"/>
  <c r="O179" i="1"/>
  <c r="T179" i="1" s="1"/>
  <c r="L179" i="1"/>
  <c r="Q179" i="1" s="1"/>
  <c r="M179" i="1"/>
  <c r="R179" i="1" s="1"/>
  <c r="N179" i="1"/>
  <c r="S179" i="1" s="1"/>
  <c r="AB179" i="1"/>
  <c r="AG179" i="1" s="1"/>
  <c r="AA179" i="1"/>
  <c r="AF179" i="1" s="1"/>
  <c r="Z179" i="1"/>
  <c r="AE179" i="1" s="1"/>
  <c r="X179" i="1"/>
  <c r="AC179" i="1" s="1"/>
  <c r="Y179" i="1"/>
  <c r="AD179" i="1" s="1"/>
  <c r="G176" i="4"/>
  <c r="F176" i="4"/>
  <c r="D176" i="4"/>
  <c r="E176" i="4"/>
  <c r="C176" i="4"/>
  <c r="J180" i="1"/>
  <c r="K180" i="1" s="1"/>
  <c r="V180" i="1"/>
  <c r="W180" i="1" s="1"/>
  <c r="G177" i="4"/>
  <c r="C181" i="1"/>
  <c r="B182" i="1"/>
  <c r="E181" i="1"/>
  <c r="F181" i="1" s="1"/>
  <c r="I181" i="1" s="1"/>
  <c r="D181" i="1"/>
  <c r="A179" i="4"/>
  <c r="B178" i="4"/>
  <c r="P180" i="1" l="1"/>
  <c r="U180" i="1" s="1"/>
  <c r="O180" i="1"/>
  <c r="T180" i="1" s="1"/>
  <c r="L180" i="1"/>
  <c r="Q180" i="1" s="1"/>
  <c r="M180" i="1"/>
  <c r="R180" i="1" s="1"/>
  <c r="N180" i="1"/>
  <c r="S180" i="1" s="1"/>
  <c r="AB180" i="1"/>
  <c r="AG180" i="1" s="1"/>
  <c r="AA180" i="1"/>
  <c r="AF180" i="1" s="1"/>
  <c r="X180" i="1"/>
  <c r="AC180" i="1" s="1"/>
  <c r="Y180" i="1"/>
  <c r="AD180" i="1" s="1"/>
  <c r="Z180" i="1"/>
  <c r="AE180" i="1" s="1"/>
  <c r="D177" i="4"/>
  <c r="C177" i="4"/>
  <c r="F177" i="4"/>
  <c r="E177" i="4"/>
  <c r="F178" i="4"/>
  <c r="C178" i="4"/>
  <c r="E178" i="4"/>
  <c r="J181" i="1"/>
  <c r="K181" i="1" s="1"/>
  <c r="V181" i="1"/>
  <c r="W181" i="1" s="1"/>
  <c r="C182" i="1"/>
  <c r="D182" i="1"/>
  <c r="E182" i="1"/>
  <c r="F182" i="1" s="1"/>
  <c r="I182" i="1" s="1"/>
  <c r="B183" i="1"/>
  <c r="G178" i="4"/>
  <c r="D178" i="4"/>
  <c r="A180" i="4"/>
  <c r="B179" i="4"/>
  <c r="AB181" i="1" l="1"/>
  <c r="AG181" i="1" s="1"/>
  <c r="AA181" i="1"/>
  <c r="AF181" i="1" s="1"/>
  <c r="Y181" i="1"/>
  <c r="AD181" i="1" s="1"/>
  <c r="Z181" i="1"/>
  <c r="AE181" i="1" s="1"/>
  <c r="X181" i="1"/>
  <c r="AC181" i="1" s="1"/>
  <c r="P181" i="1"/>
  <c r="U181" i="1" s="1"/>
  <c r="O181" i="1"/>
  <c r="T181" i="1" s="1"/>
  <c r="L181" i="1"/>
  <c r="Q181" i="1" s="1"/>
  <c r="M181" i="1"/>
  <c r="R181" i="1" s="1"/>
  <c r="N181" i="1"/>
  <c r="S181" i="1" s="1"/>
  <c r="V182" i="1"/>
  <c r="W182" i="1" s="1"/>
  <c r="J182" i="1"/>
  <c r="K182" i="1" s="1"/>
  <c r="E183" i="1"/>
  <c r="F183" i="1" s="1"/>
  <c r="I183" i="1" s="1"/>
  <c r="D183" i="1"/>
  <c r="B184" i="1"/>
  <c r="C183" i="1"/>
  <c r="D179" i="4"/>
  <c r="E179" i="4"/>
  <c r="G179" i="4"/>
  <c r="F179" i="4"/>
  <c r="C179" i="4"/>
  <c r="A181" i="4"/>
  <c r="B180" i="4"/>
  <c r="P182" i="1" l="1"/>
  <c r="U182" i="1" s="1"/>
  <c r="O182" i="1"/>
  <c r="T182" i="1" s="1"/>
  <c r="L182" i="1"/>
  <c r="Q182" i="1" s="1"/>
  <c r="M182" i="1"/>
  <c r="R182" i="1" s="1"/>
  <c r="N182" i="1"/>
  <c r="S182" i="1" s="1"/>
  <c r="AB182" i="1"/>
  <c r="AG182" i="1" s="1"/>
  <c r="AA182" i="1"/>
  <c r="AF182" i="1" s="1"/>
  <c r="Z182" i="1"/>
  <c r="AE182" i="1" s="1"/>
  <c r="X182" i="1"/>
  <c r="AC182" i="1" s="1"/>
  <c r="Y182" i="1"/>
  <c r="AD182" i="1" s="1"/>
  <c r="G180" i="4"/>
  <c r="D184" i="1"/>
  <c r="C184" i="1"/>
  <c r="E184" i="1"/>
  <c r="F184" i="1" s="1"/>
  <c r="I184" i="1" s="1"/>
  <c r="B185" i="1"/>
  <c r="J183" i="1"/>
  <c r="K183" i="1" s="1"/>
  <c r="V183" i="1"/>
  <c r="W183" i="1" s="1"/>
  <c r="A182" i="4"/>
  <c r="B181" i="4"/>
  <c r="P183" i="1" l="1"/>
  <c r="U183" i="1" s="1"/>
  <c r="O183" i="1"/>
  <c r="T183" i="1" s="1"/>
  <c r="L183" i="1"/>
  <c r="Q183" i="1" s="1"/>
  <c r="M183" i="1"/>
  <c r="R183" i="1" s="1"/>
  <c r="N183" i="1"/>
  <c r="S183" i="1" s="1"/>
  <c r="AB183" i="1"/>
  <c r="AG183" i="1" s="1"/>
  <c r="AA183" i="1"/>
  <c r="AF183" i="1" s="1"/>
  <c r="Y183" i="1"/>
  <c r="AD183" i="1" s="1"/>
  <c r="Z183" i="1"/>
  <c r="AE183" i="1" s="1"/>
  <c r="X183" i="1"/>
  <c r="AC183" i="1" s="1"/>
  <c r="D180" i="4"/>
  <c r="F180" i="4"/>
  <c r="E180" i="4"/>
  <c r="C180" i="4"/>
  <c r="E185" i="1"/>
  <c r="F185" i="1" s="1"/>
  <c r="I185" i="1" s="1"/>
  <c r="C185" i="1"/>
  <c r="B186" i="1"/>
  <c r="D185" i="1"/>
  <c r="E181" i="4"/>
  <c r="C181" i="4"/>
  <c r="F181" i="4"/>
  <c r="D181" i="4"/>
  <c r="V184" i="1"/>
  <c r="W184" i="1" s="1"/>
  <c r="J184" i="1"/>
  <c r="K184" i="1" s="1"/>
  <c r="B182" i="4"/>
  <c r="G181" i="4"/>
  <c r="A183" i="4"/>
  <c r="AB184" i="1" l="1"/>
  <c r="AG184" i="1" s="1"/>
  <c r="AA184" i="1"/>
  <c r="AF184" i="1" s="1"/>
  <c r="X184" i="1"/>
  <c r="AC184" i="1" s="1"/>
  <c r="Y184" i="1"/>
  <c r="AD184" i="1" s="1"/>
  <c r="Z184" i="1"/>
  <c r="AE184" i="1" s="1"/>
  <c r="P184" i="1"/>
  <c r="U184" i="1" s="1"/>
  <c r="O184" i="1"/>
  <c r="T184" i="1" s="1"/>
  <c r="L184" i="1"/>
  <c r="Q184" i="1" s="1"/>
  <c r="M184" i="1"/>
  <c r="R184" i="1" s="1"/>
  <c r="N184" i="1"/>
  <c r="S184" i="1" s="1"/>
  <c r="D186" i="1"/>
  <c r="C186" i="1"/>
  <c r="B187" i="1"/>
  <c r="E186" i="1"/>
  <c r="F186" i="1" s="1"/>
  <c r="I186" i="1" s="1"/>
  <c r="V185" i="1"/>
  <c r="W185" i="1" s="1"/>
  <c r="J185" i="1"/>
  <c r="K185" i="1" s="1"/>
  <c r="A184" i="4"/>
  <c r="B183" i="4"/>
  <c r="P185" i="1" l="1"/>
  <c r="U185" i="1" s="1"/>
  <c r="O185" i="1"/>
  <c r="T185" i="1" s="1"/>
  <c r="L185" i="1"/>
  <c r="Q185" i="1" s="1"/>
  <c r="M185" i="1"/>
  <c r="R185" i="1" s="1"/>
  <c r="N185" i="1"/>
  <c r="S185" i="1" s="1"/>
  <c r="AB185" i="1"/>
  <c r="AG185" i="1" s="1"/>
  <c r="AA185" i="1"/>
  <c r="AF185" i="1" s="1"/>
  <c r="Y185" i="1"/>
  <c r="AD185" i="1" s="1"/>
  <c r="X185" i="1"/>
  <c r="AC185" i="1" s="1"/>
  <c r="Z185" i="1"/>
  <c r="AE185" i="1" s="1"/>
  <c r="G182" i="4"/>
  <c r="E182" i="4"/>
  <c r="C182" i="4"/>
  <c r="D182" i="4"/>
  <c r="F182" i="4"/>
  <c r="J186" i="1"/>
  <c r="K186" i="1" s="1"/>
  <c r="V186" i="1"/>
  <c r="W186" i="1" s="1"/>
  <c r="C187" i="1"/>
  <c r="B188" i="1"/>
  <c r="D187" i="1"/>
  <c r="E187" i="1"/>
  <c r="F187" i="1" s="1"/>
  <c r="I187" i="1" s="1"/>
  <c r="G183" i="4"/>
  <c r="A185" i="4"/>
  <c r="B184" i="4"/>
  <c r="P186" i="1" l="1"/>
  <c r="U186" i="1" s="1"/>
  <c r="O186" i="1"/>
  <c r="T186" i="1" s="1"/>
  <c r="L186" i="1"/>
  <c r="Q186" i="1" s="1"/>
  <c r="M186" i="1"/>
  <c r="R186" i="1" s="1"/>
  <c r="N186" i="1"/>
  <c r="S186" i="1" s="1"/>
  <c r="AB186" i="1"/>
  <c r="AG186" i="1" s="1"/>
  <c r="AA186" i="1"/>
  <c r="AF186" i="1" s="1"/>
  <c r="Z186" i="1"/>
  <c r="AE186" i="1" s="1"/>
  <c r="X186" i="1"/>
  <c r="AC186" i="1" s="1"/>
  <c r="C184" i="4" s="1"/>
  <c r="Y186" i="1"/>
  <c r="AD186" i="1" s="1"/>
  <c r="F183" i="4"/>
  <c r="D183" i="4"/>
  <c r="C183" i="4"/>
  <c r="E183" i="4"/>
  <c r="E188" i="1"/>
  <c r="F188" i="1" s="1"/>
  <c r="I188" i="1" s="1"/>
  <c r="D188" i="1"/>
  <c r="B189" i="1"/>
  <c r="C188" i="1"/>
  <c r="F184" i="4"/>
  <c r="D184" i="4"/>
  <c r="J187" i="1"/>
  <c r="K187" i="1" s="1"/>
  <c r="V187" i="1"/>
  <c r="W187" i="1" s="1"/>
  <c r="B185" i="4"/>
  <c r="A186" i="4"/>
  <c r="G184" i="4"/>
  <c r="E184" i="4" l="1"/>
  <c r="P187" i="1"/>
  <c r="U187" i="1" s="1"/>
  <c r="O187" i="1"/>
  <c r="T187" i="1" s="1"/>
  <c r="L187" i="1"/>
  <c r="Q187" i="1" s="1"/>
  <c r="M187" i="1"/>
  <c r="R187" i="1" s="1"/>
  <c r="N187" i="1"/>
  <c r="S187" i="1" s="1"/>
  <c r="AB187" i="1"/>
  <c r="AG187" i="1" s="1"/>
  <c r="AA187" i="1"/>
  <c r="AF187" i="1" s="1"/>
  <c r="X187" i="1"/>
  <c r="AC187" i="1" s="1"/>
  <c r="Y187" i="1"/>
  <c r="AD187" i="1" s="1"/>
  <c r="Z187" i="1"/>
  <c r="AE187" i="1" s="1"/>
  <c r="E189" i="1"/>
  <c r="F189" i="1" s="1"/>
  <c r="I189" i="1" s="1"/>
  <c r="D189" i="1"/>
  <c r="C189" i="1"/>
  <c r="B190" i="1"/>
  <c r="V188" i="1"/>
  <c r="W188" i="1" s="1"/>
  <c r="J188" i="1"/>
  <c r="K188" i="1" s="1"/>
  <c r="B186" i="4"/>
  <c r="A187" i="4"/>
  <c r="E185" i="4"/>
  <c r="D185" i="4"/>
  <c r="P188" i="1" l="1"/>
  <c r="U188" i="1" s="1"/>
  <c r="O188" i="1"/>
  <c r="T188" i="1" s="1"/>
  <c r="L188" i="1"/>
  <c r="Q188" i="1" s="1"/>
  <c r="M188" i="1"/>
  <c r="R188" i="1" s="1"/>
  <c r="N188" i="1"/>
  <c r="S188" i="1" s="1"/>
  <c r="AB188" i="1"/>
  <c r="AG188" i="1" s="1"/>
  <c r="AA188" i="1"/>
  <c r="AF188" i="1" s="1"/>
  <c r="X188" i="1"/>
  <c r="AC188" i="1" s="1"/>
  <c r="Z188" i="1"/>
  <c r="AE188" i="1" s="1"/>
  <c r="Y188" i="1"/>
  <c r="AD188" i="1" s="1"/>
  <c r="C185" i="4"/>
  <c r="G185" i="4"/>
  <c r="F185" i="4"/>
  <c r="D190" i="1"/>
  <c r="B191" i="1"/>
  <c r="E190" i="1"/>
  <c r="F190" i="1" s="1"/>
  <c r="I190" i="1" s="1"/>
  <c r="C190" i="1"/>
  <c r="V189" i="1"/>
  <c r="W189" i="1" s="1"/>
  <c r="J189" i="1"/>
  <c r="K189" i="1" s="1"/>
  <c r="G186" i="4"/>
  <c r="A188" i="4"/>
  <c r="B187" i="4"/>
  <c r="AB189" i="1" l="1"/>
  <c r="AG189" i="1" s="1"/>
  <c r="AA189" i="1"/>
  <c r="AF189" i="1" s="1"/>
  <c r="Y189" i="1"/>
  <c r="AD189" i="1" s="1"/>
  <c r="X189" i="1"/>
  <c r="AC189" i="1" s="1"/>
  <c r="Z189" i="1"/>
  <c r="AE189" i="1" s="1"/>
  <c r="P189" i="1"/>
  <c r="U189" i="1" s="1"/>
  <c r="O189" i="1"/>
  <c r="T189" i="1" s="1"/>
  <c r="L189" i="1"/>
  <c r="Q189" i="1" s="1"/>
  <c r="M189" i="1"/>
  <c r="R189" i="1" s="1"/>
  <c r="N189" i="1"/>
  <c r="S189" i="1" s="1"/>
  <c r="D186" i="4"/>
  <c r="F186" i="4"/>
  <c r="C186" i="4"/>
  <c r="E186" i="4"/>
  <c r="J190" i="1"/>
  <c r="K190" i="1" s="1"/>
  <c r="V190" i="1"/>
  <c r="W190" i="1" s="1"/>
  <c r="C191" i="1"/>
  <c r="B192" i="1"/>
  <c r="E191" i="1"/>
  <c r="F191" i="1" s="1"/>
  <c r="I191" i="1" s="1"/>
  <c r="D191" i="1"/>
  <c r="E187" i="4"/>
  <c r="C187" i="4"/>
  <c r="B188" i="4"/>
  <c r="F187" i="4"/>
  <c r="G187" i="4"/>
  <c r="D187" i="4"/>
  <c r="A189" i="4"/>
  <c r="P190" i="1" l="1"/>
  <c r="U190" i="1" s="1"/>
  <c r="O190" i="1"/>
  <c r="T190" i="1" s="1"/>
  <c r="L190" i="1"/>
  <c r="Q190" i="1" s="1"/>
  <c r="M190" i="1"/>
  <c r="R190" i="1" s="1"/>
  <c r="N190" i="1"/>
  <c r="S190" i="1" s="1"/>
  <c r="AB190" i="1"/>
  <c r="AG190" i="1" s="1"/>
  <c r="AA190" i="1"/>
  <c r="AF190" i="1" s="1"/>
  <c r="Z190" i="1"/>
  <c r="AE190" i="1" s="1"/>
  <c r="Y190" i="1"/>
  <c r="AD190" i="1" s="1"/>
  <c r="X190" i="1"/>
  <c r="AC190" i="1" s="1"/>
  <c r="D192" i="1"/>
  <c r="B193" i="1"/>
  <c r="C192" i="1"/>
  <c r="E192" i="1"/>
  <c r="F192" i="1" s="1"/>
  <c r="I192" i="1" s="1"/>
  <c r="V191" i="1"/>
  <c r="W191" i="1" s="1"/>
  <c r="J191" i="1"/>
  <c r="K191" i="1" s="1"/>
  <c r="B189" i="4"/>
  <c r="A190" i="4"/>
  <c r="P191" i="1" l="1"/>
  <c r="U191" i="1" s="1"/>
  <c r="O191" i="1"/>
  <c r="T191" i="1" s="1"/>
  <c r="L191" i="1"/>
  <c r="Q191" i="1" s="1"/>
  <c r="M191" i="1"/>
  <c r="R191" i="1" s="1"/>
  <c r="N191" i="1"/>
  <c r="S191" i="1" s="1"/>
  <c r="AB191" i="1"/>
  <c r="AG191" i="1" s="1"/>
  <c r="AA191" i="1"/>
  <c r="AF191" i="1" s="1"/>
  <c r="X191" i="1"/>
  <c r="AC191" i="1" s="1"/>
  <c r="Y191" i="1"/>
  <c r="AD191" i="1" s="1"/>
  <c r="Z191" i="1"/>
  <c r="AE191" i="1" s="1"/>
  <c r="G188" i="4"/>
  <c r="D188" i="4"/>
  <c r="E188" i="4"/>
  <c r="C188" i="4"/>
  <c r="F188" i="4"/>
  <c r="V192" i="1"/>
  <c r="W192" i="1" s="1"/>
  <c r="J192" i="1"/>
  <c r="K192" i="1" s="1"/>
  <c r="C193" i="1"/>
  <c r="B194" i="1"/>
  <c r="D193" i="1"/>
  <c r="E193" i="1"/>
  <c r="F193" i="1" s="1"/>
  <c r="I193" i="1" s="1"/>
  <c r="G189" i="4"/>
  <c r="A191" i="4"/>
  <c r="B190" i="4"/>
  <c r="AB192" i="1" l="1"/>
  <c r="AG192" i="1" s="1"/>
  <c r="AA192" i="1"/>
  <c r="AF192" i="1" s="1"/>
  <c r="X192" i="1"/>
  <c r="AC192" i="1" s="1"/>
  <c r="Y192" i="1"/>
  <c r="AD192" i="1" s="1"/>
  <c r="Z192" i="1"/>
  <c r="AE192" i="1" s="1"/>
  <c r="P192" i="1"/>
  <c r="U192" i="1" s="1"/>
  <c r="O192" i="1"/>
  <c r="T192" i="1" s="1"/>
  <c r="L192" i="1"/>
  <c r="Q192" i="1" s="1"/>
  <c r="M192" i="1"/>
  <c r="R192" i="1" s="1"/>
  <c r="N192" i="1"/>
  <c r="S192" i="1" s="1"/>
  <c r="F189" i="4"/>
  <c r="D189" i="4"/>
  <c r="C189" i="4"/>
  <c r="E189" i="4"/>
  <c r="E194" i="1"/>
  <c r="F194" i="1" s="1"/>
  <c r="I194" i="1" s="1"/>
  <c r="B195" i="1"/>
  <c r="D194" i="1"/>
  <c r="C194" i="1"/>
  <c r="J193" i="1"/>
  <c r="K193" i="1" s="1"/>
  <c r="V193" i="1"/>
  <c r="W193" i="1" s="1"/>
  <c r="F190" i="4"/>
  <c r="C190" i="4"/>
  <c r="G190" i="4"/>
  <c r="E190" i="4"/>
  <c r="D190" i="4"/>
  <c r="A192" i="4"/>
  <c r="B191" i="4"/>
  <c r="P193" i="1" l="1"/>
  <c r="U193" i="1" s="1"/>
  <c r="O193" i="1"/>
  <c r="T193" i="1" s="1"/>
  <c r="L193" i="1"/>
  <c r="Q193" i="1" s="1"/>
  <c r="M193" i="1"/>
  <c r="R193" i="1" s="1"/>
  <c r="N193" i="1"/>
  <c r="S193" i="1" s="1"/>
  <c r="AB193" i="1"/>
  <c r="AG193" i="1" s="1"/>
  <c r="AA193" i="1"/>
  <c r="AF193" i="1" s="1"/>
  <c r="Y193" i="1"/>
  <c r="AD193" i="1" s="1"/>
  <c r="X193" i="1"/>
  <c r="AC193" i="1" s="1"/>
  <c r="Z193" i="1"/>
  <c r="AE193" i="1" s="1"/>
  <c r="E195" i="1"/>
  <c r="F195" i="1" s="1"/>
  <c r="I195" i="1" s="1"/>
  <c r="B196" i="1"/>
  <c r="C195" i="1"/>
  <c r="D195" i="1"/>
  <c r="V194" i="1"/>
  <c r="W194" i="1" s="1"/>
  <c r="J194" i="1"/>
  <c r="K194" i="1" s="1"/>
  <c r="B192" i="4"/>
  <c r="A193" i="4"/>
  <c r="AB194" i="1" l="1"/>
  <c r="AG194" i="1" s="1"/>
  <c r="AA194" i="1"/>
  <c r="AF194" i="1" s="1"/>
  <c r="Z194" i="1"/>
  <c r="AE194" i="1" s="1"/>
  <c r="X194" i="1"/>
  <c r="AC194" i="1" s="1"/>
  <c r="Y194" i="1"/>
  <c r="AD194" i="1" s="1"/>
  <c r="P194" i="1"/>
  <c r="U194" i="1" s="1"/>
  <c r="O194" i="1"/>
  <c r="T194" i="1" s="1"/>
  <c r="L194" i="1"/>
  <c r="Q194" i="1" s="1"/>
  <c r="M194" i="1"/>
  <c r="R194" i="1" s="1"/>
  <c r="N194" i="1"/>
  <c r="S194" i="1" s="1"/>
  <c r="C191" i="4"/>
  <c r="F191" i="4"/>
  <c r="D191" i="4"/>
  <c r="E191" i="4"/>
  <c r="G191" i="4"/>
  <c r="J195" i="1"/>
  <c r="K195" i="1" s="1"/>
  <c r="V195" i="1"/>
  <c r="W195" i="1" s="1"/>
  <c r="E196" i="1"/>
  <c r="F196" i="1" s="1"/>
  <c r="I196" i="1" s="1"/>
  <c r="B197" i="1"/>
  <c r="D196" i="1"/>
  <c r="C196" i="1"/>
  <c r="G192" i="4"/>
  <c r="A194" i="4"/>
  <c r="B193" i="4"/>
  <c r="P195" i="1" l="1"/>
  <c r="U195" i="1" s="1"/>
  <c r="O195" i="1"/>
  <c r="T195" i="1" s="1"/>
  <c r="L195" i="1"/>
  <c r="Q195" i="1" s="1"/>
  <c r="M195" i="1"/>
  <c r="R195" i="1" s="1"/>
  <c r="N195" i="1"/>
  <c r="S195" i="1" s="1"/>
  <c r="AB195" i="1"/>
  <c r="AG195" i="1" s="1"/>
  <c r="AA195" i="1"/>
  <c r="AF195" i="1" s="1"/>
  <c r="Z195" i="1"/>
  <c r="AE195" i="1" s="1"/>
  <c r="X195" i="1"/>
  <c r="AC195" i="1" s="1"/>
  <c r="Y195" i="1"/>
  <c r="AD195" i="1" s="1"/>
  <c r="D192" i="4"/>
  <c r="C192" i="4"/>
  <c r="E192" i="4"/>
  <c r="F192" i="4"/>
  <c r="E197" i="1"/>
  <c r="F197" i="1" s="1"/>
  <c r="I197" i="1" s="1"/>
  <c r="C197" i="1"/>
  <c r="B198" i="1"/>
  <c r="D197" i="1"/>
  <c r="J196" i="1"/>
  <c r="K196" i="1" s="1"/>
  <c r="V196" i="1"/>
  <c r="W196" i="1" s="1"/>
  <c r="E193" i="4"/>
  <c r="C193" i="4"/>
  <c r="F193" i="4"/>
  <c r="D193" i="4"/>
  <c r="G193" i="4"/>
  <c r="B194" i="4"/>
  <c r="A195" i="4"/>
  <c r="P196" i="1" l="1"/>
  <c r="U196" i="1" s="1"/>
  <c r="O196" i="1"/>
  <c r="T196" i="1" s="1"/>
  <c r="L196" i="1"/>
  <c r="Q196" i="1" s="1"/>
  <c r="M196" i="1"/>
  <c r="R196" i="1" s="1"/>
  <c r="N196" i="1"/>
  <c r="S196" i="1" s="1"/>
  <c r="AB196" i="1"/>
  <c r="AG196" i="1" s="1"/>
  <c r="AA196" i="1"/>
  <c r="AF196" i="1" s="1"/>
  <c r="X196" i="1"/>
  <c r="AC196" i="1" s="1"/>
  <c r="Y196" i="1"/>
  <c r="AD196" i="1" s="1"/>
  <c r="Z196" i="1"/>
  <c r="AE196" i="1" s="1"/>
  <c r="D198" i="1"/>
  <c r="B199" i="1"/>
  <c r="C198" i="1"/>
  <c r="E198" i="1"/>
  <c r="F198" i="1" s="1"/>
  <c r="I198" i="1" s="1"/>
  <c r="V197" i="1"/>
  <c r="W197" i="1" s="1"/>
  <c r="J197" i="1"/>
  <c r="K197" i="1" s="1"/>
  <c r="A196" i="4"/>
  <c r="B195" i="4"/>
  <c r="P197" i="1" l="1"/>
  <c r="U197" i="1" s="1"/>
  <c r="O197" i="1"/>
  <c r="T197" i="1" s="1"/>
  <c r="L197" i="1"/>
  <c r="Q197" i="1" s="1"/>
  <c r="M197" i="1"/>
  <c r="R197" i="1" s="1"/>
  <c r="N197" i="1"/>
  <c r="S197" i="1" s="1"/>
  <c r="AB197" i="1"/>
  <c r="AG197" i="1" s="1"/>
  <c r="AA197" i="1"/>
  <c r="AF197" i="1" s="1"/>
  <c r="X197" i="1"/>
  <c r="AC197" i="1" s="1"/>
  <c r="Y197" i="1"/>
  <c r="AD197" i="1" s="1"/>
  <c r="Z197" i="1"/>
  <c r="AE197" i="1" s="1"/>
  <c r="C194" i="4"/>
  <c r="D194" i="4"/>
  <c r="F194" i="4"/>
  <c r="E194" i="4"/>
  <c r="G194" i="4"/>
  <c r="J198" i="1"/>
  <c r="K198" i="1" s="1"/>
  <c r="V198" i="1"/>
  <c r="W198" i="1" s="1"/>
  <c r="C199" i="1"/>
  <c r="B200" i="1"/>
  <c r="D199" i="1"/>
  <c r="E199" i="1"/>
  <c r="F199" i="1" s="1"/>
  <c r="I199" i="1" s="1"/>
  <c r="A197" i="4"/>
  <c r="B196" i="4"/>
  <c r="G195" i="4"/>
  <c r="P198" i="1" l="1"/>
  <c r="U198" i="1" s="1"/>
  <c r="O198" i="1"/>
  <c r="T198" i="1" s="1"/>
  <c r="L198" i="1"/>
  <c r="Q198" i="1" s="1"/>
  <c r="M198" i="1"/>
  <c r="R198" i="1" s="1"/>
  <c r="N198" i="1"/>
  <c r="S198" i="1" s="1"/>
  <c r="AB198" i="1"/>
  <c r="AG198" i="1" s="1"/>
  <c r="AA198" i="1"/>
  <c r="AF198" i="1" s="1"/>
  <c r="Y198" i="1"/>
  <c r="AD198" i="1" s="1"/>
  <c r="Z198" i="1"/>
  <c r="AE198" i="1" s="1"/>
  <c r="X198" i="1"/>
  <c r="AC198" i="1" s="1"/>
  <c r="C195" i="4"/>
  <c r="E195" i="4"/>
  <c r="F195" i="4"/>
  <c r="D195" i="4"/>
  <c r="V199" i="1"/>
  <c r="W199" i="1" s="1"/>
  <c r="J199" i="1"/>
  <c r="K199" i="1" s="1"/>
  <c r="C200" i="1"/>
  <c r="E200" i="1"/>
  <c r="F200" i="1" s="1"/>
  <c r="I200" i="1" s="1"/>
  <c r="B201" i="1"/>
  <c r="D200" i="1"/>
  <c r="F196" i="4"/>
  <c r="D196" i="4"/>
  <c r="C196" i="4"/>
  <c r="E196" i="4"/>
  <c r="A198" i="4"/>
  <c r="B197" i="4"/>
  <c r="G196" i="4"/>
  <c r="P199" i="1" l="1"/>
  <c r="U199" i="1" s="1"/>
  <c r="O199" i="1"/>
  <c r="T199" i="1" s="1"/>
  <c r="L199" i="1"/>
  <c r="Q199" i="1" s="1"/>
  <c r="M199" i="1"/>
  <c r="R199" i="1" s="1"/>
  <c r="N199" i="1"/>
  <c r="S199" i="1" s="1"/>
  <c r="AB199" i="1"/>
  <c r="AG199" i="1" s="1"/>
  <c r="AA199" i="1"/>
  <c r="AF199" i="1" s="1"/>
  <c r="Z199" i="1"/>
  <c r="AE199" i="1" s="1"/>
  <c r="X199" i="1"/>
  <c r="AC199" i="1" s="1"/>
  <c r="Y199" i="1"/>
  <c r="AD199" i="1" s="1"/>
  <c r="J200" i="1"/>
  <c r="K200" i="1" s="1"/>
  <c r="V200" i="1"/>
  <c r="W200" i="1" s="1"/>
  <c r="D201" i="1"/>
  <c r="B202" i="1"/>
  <c r="C201" i="1"/>
  <c r="E201" i="1"/>
  <c r="F201" i="1" s="1"/>
  <c r="I201" i="1" s="1"/>
  <c r="A199" i="4"/>
  <c r="B198" i="4"/>
  <c r="AB200" i="1" l="1"/>
  <c r="AG200" i="1" s="1"/>
  <c r="AA200" i="1"/>
  <c r="AF200" i="1" s="1"/>
  <c r="X200" i="1"/>
  <c r="AC200" i="1" s="1"/>
  <c r="Y200" i="1"/>
  <c r="AD200" i="1" s="1"/>
  <c r="Z200" i="1"/>
  <c r="AE200" i="1" s="1"/>
  <c r="P200" i="1"/>
  <c r="U200" i="1" s="1"/>
  <c r="O200" i="1"/>
  <c r="T200" i="1" s="1"/>
  <c r="L200" i="1"/>
  <c r="Q200" i="1" s="1"/>
  <c r="M200" i="1"/>
  <c r="R200" i="1" s="1"/>
  <c r="N200" i="1"/>
  <c r="S200" i="1" s="1"/>
  <c r="C197" i="4"/>
  <c r="E197" i="4"/>
  <c r="D197" i="4"/>
  <c r="G197" i="4"/>
  <c r="F197" i="4"/>
  <c r="J201" i="1"/>
  <c r="K201" i="1" s="1"/>
  <c r="V201" i="1"/>
  <c r="W201" i="1" s="1"/>
  <c r="B203" i="1"/>
  <c r="E202" i="1"/>
  <c r="F202" i="1" s="1"/>
  <c r="I202" i="1" s="1"/>
  <c r="C202" i="1"/>
  <c r="D202" i="1"/>
  <c r="G198" i="4"/>
  <c r="A200" i="4"/>
  <c r="B199" i="4"/>
  <c r="P201" i="1" l="1"/>
  <c r="U201" i="1" s="1"/>
  <c r="O201" i="1"/>
  <c r="T201" i="1" s="1"/>
  <c r="L201" i="1"/>
  <c r="Q201" i="1" s="1"/>
  <c r="M201" i="1"/>
  <c r="R201" i="1" s="1"/>
  <c r="N201" i="1"/>
  <c r="S201" i="1" s="1"/>
  <c r="AB201" i="1"/>
  <c r="AG201" i="1" s="1"/>
  <c r="AA201" i="1"/>
  <c r="AF201" i="1" s="1"/>
  <c r="X201" i="1"/>
  <c r="AC201" i="1" s="1"/>
  <c r="Y201" i="1"/>
  <c r="AD201" i="1" s="1"/>
  <c r="Z201" i="1"/>
  <c r="AE201" i="1" s="1"/>
  <c r="C198" i="4"/>
  <c r="D198" i="4"/>
  <c r="F198" i="4"/>
  <c r="E198" i="4"/>
  <c r="V202" i="1"/>
  <c r="W202" i="1" s="1"/>
  <c r="J202" i="1"/>
  <c r="K202" i="1" s="1"/>
  <c r="C203" i="1"/>
  <c r="B204" i="1"/>
  <c r="D203" i="1"/>
  <c r="E203" i="1"/>
  <c r="F203" i="1" s="1"/>
  <c r="I203" i="1" s="1"/>
  <c r="E199" i="4"/>
  <c r="D199" i="4"/>
  <c r="C199" i="4"/>
  <c r="F199" i="4"/>
  <c r="G199" i="4"/>
  <c r="A201" i="4"/>
  <c r="B200" i="4"/>
  <c r="AB202" i="1" l="1"/>
  <c r="AG202" i="1" s="1"/>
  <c r="AA202" i="1"/>
  <c r="AF202" i="1" s="1"/>
  <c r="Y202" i="1"/>
  <c r="AD202" i="1" s="1"/>
  <c r="Z202" i="1"/>
  <c r="AE202" i="1" s="1"/>
  <c r="X202" i="1"/>
  <c r="AC202" i="1" s="1"/>
  <c r="P202" i="1"/>
  <c r="U202" i="1" s="1"/>
  <c r="O202" i="1"/>
  <c r="T202" i="1" s="1"/>
  <c r="L202" i="1"/>
  <c r="Q202" i="1" s="1"/>
  <c r="M202" i="1"/>
  <c r="R202" i="1" s="1"/>
  <c r="N202" i="1"/>
  <c r="S202" i="1" s="1"/>
  <c r="B205" i="1"/>
  <c r="D204" i="1"/>
  <c r="C204" i="1"/>
  <c r="E204" i="1"/>
  <c r="F204" i="1" s="1"/>
  <c r="I204" i="1" s="1"/>
  <c r="V203" i="1"/>
  <c r="W203" i="1" s="1"/>
  <c r="J203" i="1"/>
  <c r="K203" i="1" s="1"/>
  <c r="A202" i="4"/>
  <c r="F200" i="4"/>
  <c r="C200" i="4"/>
  <c r="G200" i="4"/>
  <c r="D200" i="4"/>
  <c r="E200" i="4"/>
  <c r="B201" i="4"/>
  <c r="P203" i="1" l="1"/>
  <c r="U203" i="1" s="1"/>
  <c r="O203" i="1"/>
  <c r="T203" i="1" s="1"/>
  <c r="L203" i="1"/>
  <c r="Q203" i="1" s="1"/>
  <c r="M203" i="1"/>
  <c r="R203" i="1" s="1"/>
  <c r="N203" i="1"/>
  <c r="S203" i="1" s="1"/>
  <c r="AB203" i="1"/>
  <c r="AG203" i="1" s="1"/>
  <c r="AA203" i="1"/>
  <c r="AF203" i="1" s="1"/>
  <c r="Z203" i="1"/>
  <c r="AE203" i="1" s="1"/>
  <c r="X203" i="1"/>
  <c r="AC203" i="1" s="1"/>
  <c r="Y203" i="1"/>
  <c r="AD203" i="1" s="1"/>
  <c r="G201" i="4"/>
  <c r="V204" i="1"/>
  <c r="W204" i="1" s="1"/>
  <c r="J204" i="1"/>
  <c r="K204" i="1" s="1"/>
  <c r="C205" i="1"/>
  <c r="E205" i="1"/>
  <c r="F205" i="1" s="1"/>
  <c r="I205" i="1" s="1"/>
  <c r="D205" i="1"/>
  <c r="B206" i="1"/>
  <c r="A203" i="4"/>
  <c r="B202" i="4"/>
  <c r="AB204" i="1" l="1"/>
  <c r="AG204" i="1" s="1"/>
  <c r="AA204" i="1"/>
  <c r="AF204" i="1" s="1"/>
  <c r="X204" i="1"/>
  <c r="AC204" i="1" s="1"/>
  <c r="Y204" i="1"/>
  <c r="AD204" i="1" s="1"/>
  <c r="Z204" i="1"/>
  <c r="AE204" i="1" s="1"/>
  <c r="P204" i="1"/>
  <c r="U204" i="1" s="1"/>
  <c r="O204" i="1"/>
  <c r="T204" i="1" s="1"/>
  <c r="L204" i="1"/>
  <c r="Q204" i="1" s="1"/>
  <c r="M204" i="1"/>
  <c r="R204" i="1" s="1"/>
  <c r="N204" i="1"/>
  <c r="S204" i="1" s="1"/>
  <c r="C201" i="4"/>
  <c r="E201" i="4"/>
  <c r="F201" i="4"/>
  <c r="D201" i="4"/>
  <c r="C202" i="4"/>
  <c r="E202" i="4"/>
  <c r="J205" i="1"/>
  <c r="K205" i="1" s="1"/>
  <c r="V205" i="1"/>
  <c r="W205" i="1" s="1"/>
  <c r="E206" i="1"/>
  <c r="F206" i="1" s="1"/>
  <c r="I206" i="1" s="1"/>
  <c r="D206" i="1"/>
  <c r="C206" i="1"/>
  <c r="B207" i="1"/>
  <c r="A204" i="4"/>
  <c r="G202" i="4"/>
  <c r="D202" i="4"/>
  <c r="F202" i="4"/>
  <c r="B203" i="4"/>
  <c r="AB205" i="1" l="1"/>
  <c r="AG205" i="1" s="1"/>
  <c r="AA205" i="1"/>
  <c r="AF205" i="1" s="1"/>
  <c r="X205" i="1"/>
  <c r="AC205" i="1" s="1"/>
  <c r="Y205" i="1"/>
  <c r="AD205" i="1" s="1"/>
  <c r="Z205" i="1"/>
  <c r="AE205" i="1" s="1"/>
  <c r="P205" i="1"/>
  <c r="U205" i="1" s="1"/>
  <c r="O205" i="1"/>
  <c r="T205" i="1" s="1"/>
  <c r="L205" i="1"/>
  <c r="Q205" i="1" s="1"/>
  <c r="M205" i="1"/>
  <c r="R205" i="1" s="1"/>
  <c r="N205" i="1"/>
  <c r="S205" i="1" s="1"/>
  <c r="B208" i="1"/>
  <c r="E207" i="1"/>
  <c r="F207" i="1" s="1"/>
  <c r="I207" i="1" s="1"/>
  <c r="D207" i="1"/>
  <c r="C207" i="1"/>
  <c r="V206" i="1"/>
  <c r="W206" i="1" s="1"/>
  <c r="J206" i="1"/>
  <c r="K206" i="1" s="1"/>
  <c r="A205" i="4"/>
  <c r="F203" i="4"/>
  <c r="B204" i="4"/>
  <c r="P206" i="1" l="1"/>
  <c r="U206" i="1" s="1"/>
  <c r="O206" i="1"/>
  <c r="T206" i="1" s="1"/>
  <c r="L206" i="1"/>
  <c r="Q206" i="1" s="1"/>
  <c r="M206" i="1"/>
  <c r="R206" i="1" s="1"/>
  <c r="N206" i="1"/>
  <c r="S206" i="1" s="1"/>
  <c r="AB206" i="1"/>
  <c r="AG206" i="1" s="1"/>
  <c r="AA206" i="1"/>
  <c r="AF206" i="1" s="1"/>
  <c r="Y206" i="1"/>
  <c r="AD206" i="1" s="1"/>
  <c r="Z206" i="1"/>
  <c r="AE206" i="1" s="1"/>
  <c r="X206" i="1"/>
  <c r="AC206" i="1" s="1"/>
  <c r="C203" i="4"/>
  <c r="E203" i="4"/>
  <c r="G203" i="4"/>
  <c r="D203" i="4"/>
  <c r="J207" i="1"/>
  <c r="K207" i="1" s="1"/>
  <c r="V207" i="1"/>
  <c r="W207" i="1" s="1"/>
  <c r="B209" i="1"/>
  <c r="C208" i="1"/>
  <c r="D208" i="1"/>
  <c r="E208" i="1"/>
  <c r="F208" i="1" s="1"/>
  <c r="I208" i="1" s="1"/>
  <c r="G204" i="4"/>
  <c r="A206" i="4"/>
  <c r="B205" i="4"/>
  <c r="AB207" i="1" l="1"/>
  <c r="AG207" i="1" s="1"/>
  <c r="AA207" i="1"/>
  <c r="AF207" i="1" s="1"/>
  <c r="Z207" i="1"/>
  <c r="AE207" i="1" s="1"/>
  <c r="X207" i="1"/>
  <c r="AC207" i="1" s="1"/>
  <c r="Y207" i="1"/>
  <c r="AD207" i="1" s="1"/>
  <c r="P207" i="1"/>
  <c r="U207" i="1" s="1"/>
  <c r="O207" i="1"/>
  <c r="T207" i="1" s="1"/>
  <c r="L207" i="1"/>
  <c r="Q207" i="1" s="1"/>
  <c r="M207" i="1"/>
  <c r="R207" i="1" s="1"/>
  <c r="N207" i="1"/>
  <c r="S207" i="1" s="1"/>
  <c r="E204" i="4"/>
  <c r="D204" i="4"/>
  <c r="C204" i="4"/>
  <c r="F204" i="4"/>
  <c r="J208" i="1"/>
  <c r="K208" i="1" s="1"/>
  <c r="V208" i="1"/>
  <c r="W208" i="1" s="1"/>
  <c r="D209" i="1"/>
  <c r="E209" i="1"/>
  <c r="F209" i="1" s="1"/>
  <c r="I209" i="1" s="1"/>
  <c r="B210" i="1"/>
  <c r="C209" i="1"/>
  <c r="C205" i="4"/>
  <c r="E205" i="4"/>
  <c r="F205" i="4"/>
  <c r="D205" i="4"/>
  <c r="G205" i="4"/>
  <c r="A207" i="4"/>
  <c r="B206" i="4"/>
  <c r="P208" i="1" l="1"/>
  <c r="U208" i="1" s="1"/>
  <c r="O208" i="1"/>
  <c r="T208" i="1" s="1"/>
  <c r="L208" i="1"/>
  <c r="Q208" i="1" s="1"/>
  <c r="M208" i="1"/>
  <c r="R208" i="1" s="1"/>
  <c r="N208" i="1"/>
  <c r="S208" i="1" s="1"/>
  <c r="AB208" i="1"/>
  <c r="AG208" i="1" s="1"/>
  <c r="AA208" i="1"/>
  <c r="AF208" i="1" s="1"/>
  <c r="X208" i="1"/>
  <c r="AC208" i="1" s="1"/>
  <c r="Y208" i="1"/>
  <c r="AD208" i="1" s="1"/>
  <c r="Z208" i="1"/>
  <c r="AE208" i="1" s="1"/>
  <c r="J209" i="1"/>
  <c r="K209" i="1" s="1"/>
  <c r="V209" i="1"/>
  <c r="W209" i="1" s="1"/>
  <c r="D210" i="1"/>
  <c r="B211" i="1"/>
  <c r="C210" i="1"/>
  <c r="E210" i="1"/>
  <c r="F210" i="1" s="1"/>
  <c r="I210" i="1" s="1"/>
  <c r="A208" i="4"/>
  <c r="B207" i="4"/>
  <c r="AB209" i="1" l="1"/>
  <c r="AG209" i="1" s="1"/>
  <c r="AA209" i="1"/>
  <c r="AF209" i="1" s="1"/>
  <c r="X209" i="1"/>
  <c r="AC209" i="1" s="1"/>
  <c r="Y209" i="1"/>
  <c r="AD209" i="1" s="1"/>
  <c r="Z209" i="1"/>
  <c r="AE209" i="1" s="1"/>
  <c r="P209" i="1"/>
  <c r="U209" i="1" s="1"/>
  <c r="O209" i="1"/>
  <c r="T209" i="1" s="1"/>
  <c r="L209" i="1"/>
  <c r="Q209" i="1" s="1"/>
  <c r="M209" i="1"/>
  <c r="R209" i="1" s="1"/>
  <c r="N209" i="1"/>
  <c r="S209" i="1" s="1"/>
  <c r="G206" i="4"/>
  <c r="D206" i="4"/>
  <c r="F206" i="4"/>
  <c r="C206" i="4"/>
  <c r="E206" i="4"/>
  <c r="V210" i="1"/>
  <c r="W210" i="1" s="1"/>
  <c r="J210" i="1"/>
  <c r="K210" i="1" s="1"/>
  <c r="D211" i="1"/>
  <c r="C211" i="1"/>
  <c r="E211" i="1"/>
  <c r="F211" i="1" s="1"/>
  <c r="I211" i="1" s="1"/>
  <c r="B212" i="1"/>
  <c r="E207" i="4"/>
  <c r="G207" i="4"/>
  <c r="A209" i="4"/>
  <c r="B208" i="4"/>
  <c r="AB210" i="1" l="1"/>
  <c r="AG210" i="1" s="1"/>
  <c r="AA210" i="1"/>
  <c r="AF210" i="1" s="1"/>
  <c r="Y210" i="1"/>
  <c r="AD210" i="1" s="1"/>
  <c r="Z210" i="1"/>
  <c r="AE210" i="1" s="1"/>
  <c r="X210" i="1"/>
  <c r="AC210" i="1" s="1"/>
  <c r="P210" i="1"/>
  <c r="U210" i="1" s="1"/>
  <c r="O210" i="1"/>
  <c r="T210" i="1" s="1"/>
  <c r="L210" i="1"/>
  <c r="Q210" i="1" s="1"/>
  <c r="M210" i="1"/>
  <c r="R210" i="1" s="1"/>
  <c r="N210" i="1"/>
  <c r="S210" i="1" s="1"/>
  <c r="C207" i="4"/>
  <c r="D207" i="4"/>
  <c r="F207" i="4"/>
  <c r="J211" i="1"/>
  <c r="K211" i="1" s="1"/>
  <c r="V211" i="1"/>
  <c r="W211" i="1" s="1"/>
  <c r="D212" i="1"/>
  <c r="B213" i="1"/>
  <c r="E212" i="1"/>
  <c r="F212" i="1" s="1"/>
  <c r="I212" i="1" s="1"/>
  <c r="C212" i="1"/>
  <c r="C208" i="4"/>
  <c r="F208" i="4"/>
  <c r="B209" i="4"/>
  <c r="E208" i="4"/>
  <c r="G208" i="4"/>
  <c r="D208" i="4"/>
  <c r="A210" i="4"/>
  <c r="AB211" i="1" l="1"/>
  <c r="AG211" i="1" s="1"/>
  <c r="AA211" i="1"/>
  <c r="AF211" i="1" s="1"/>
  <c r="Z211" i="1"/>
  <c r="AE211" i="1" s="1"/>
  <c r="X211" i="1"/>
  <c r="AC211" i="1" s="1"/>
  <c r="Y211" i="1"/>
  <c r="AD211" i="1" s="1"/>
  <c r="P211" i="1"/>
  <c r="U211" i="1" s="1"/>
  <c r="O211" i="1"/>
  <c r="T211" i="1" s="1"/>
  <c r="L211" i="1"/>
  <c r="Q211" i="1" s="1"/>
  <c r="M211" i="1"/>
  <c r="R211" i="1" s="1"/>
  <c r="N211" i="1"/>
  <c r="S211" i="1" s="1"/>
  <c r="V212" i="1"/>
  <c r="W212" i="1" s="1"/>
  <c r="J212" i="1"/>
  <c r="K212" i="1" s="1"/>
  <c r="D213" i="1"/>
  <c r="B214" i="1"/>
  <c r="C213" i="1"/>
  <c r="E213" i="1"/>
  <c r="F213" i="1" s="1"/>
  <c r="I213" i="1" s="1"/>
  <c r="A211" i="4"/>
  <c r="B210" i="4"/>
  <c r="P212" i="1" l="1"/>
  <c r="U212" i="1" s="1"/>
  <c r="O212" i="1"/>
  <c r="T212" i="1" s="1"/>
  <c r="L212" i="1"/>
  <c r="Q212" i="1" s="1"/>
  <c r="M212" i="1"/>
  <c r="R212" i="1" s="1"/>
  <c r="N212" i="1"/>
  <c r="S212" i="1" s="1"/>
  <c r="AB212" i="1"/>
  <c r="AG212" i="1" s="1"/>
  <c r="AA212" i="1"/>
  <c r="AF212" i="1" s="1"/>
  <c r="X212" i="1"/>
  <c r="AC212" i="1" s="1"/>
  <c r="Y212" i="1"/>
  <c r="AD212" i="1" s="1"/>
  <c r="Z212" i="1"/>
  <c r="AE212" i="1" s="1"/>
  <c r="G209" i="4"/>
  <c r="F209" i="4"/>
  <c r="D209" i="4"/>
  <c r="E209" i="4"/>
  <c r="C209" i="4"/>
  <c r="E214" i="1"/>
  <c r="F214" i="1" s="1"/>
  <c r="I214" i="1" s="1"/>
  <c r="D214" i="1"/>
  <c r="C214" i="1"/>
  <c r="B215" i="1"/>
  <c r="J213" i="1"/>
  <c r="K213" i="1" s="1"/>
  <c r="V213" i="1"/>
  <c r="W213" i="1" s="1"/>
  <c r="G210" i="4"/>
  <c r="A212" i="4"/>
  <c r="B211" i="4"/>
  <c r="P213" i="1" l="1"/>
  <c r="U213" i="1" s="1"/>
  <c r="O213" i="1"/>
  <c r="T213" i="1" s="1"/>
  <c r="L213" i="1"/>
  <c r="Q213" i="1" s="1"/>
  <c r="M213" i="1"/>
  <c r="R213" i="1" s="1"/>
  <c r="N213" i="1"/>
  <c r="S213" i="1" s="1"/>
  <c r="AB213" i="1"/>
  <c r="AG213" i="1" s="1"/>
  <c r="AA213" i="1"/>
  <c r="AF213" i="1" s="1"/>
  <c r="X213" i="1"/>
  <c r="AC213" i="1" s="1"/>
  <c r="Y213" i="1"/>
  <c r="AD213" i="1" s="1"/>
  <c r="Z213" i="1"/>
  <c r="AE213" i="1" s="1"/>
  <c r="F210" i="4"/>
  <c r="E210" i="4"/>
  <c r="D210" i="4"/>
  <c r="C210" i="4"/>
  <c r="D215" i="1"/>
  <c r="C215" i="1"/>
  <c r="E215" i="1"/>
  <c r="F215" i="1" s="1"/>
  <c r="I215" i="1" s="1"/>
  <c r="B216" i="1"/>
  <c r="C211" i="4"/>
  <c r="F211" i="4"/>
  <c r="D211" i="4"/>
  <c r="E211" i="4"/>
  <c r="J214" i="1"/>
  <c r="K214" i="1" s="1"/>
  <c r="V214" i="1"/>
  <c r="W214" i="1" s="1"/>
  <c r="G211" i="4"/>
  <c r="B212" i="4"/>
  <c r="A213" i="4"/>
  <c r="P214" i="1" l="1"/>
  <c r="U214" i="1" s="1"/>
  <c r="O214" i="1"/>
  <c r="T214" i="1" s="1"/>
  <c r="L214" i="1"/>
  <c r="Q214" i="1" s="1"/>
  <c r="M214" i="1"/>
  <c r="R214" i="1" s="1"/>
  <c r="N214" i="1"/>
  <c r="S214" i="1" s="1"/>
  <c r="AB214" i="1"/>
  <c r="AG214" i="1" s="1"/>
  <c r="AA214" i="1"/>
  <c r="AF214" i="1" s="1"/>
  <c r="Y214" i="1"/>
  <c r="AD214" i="1" s="1"/>
  <c r="Z214" i="1"/>
  <c r="AE214" i="1" s="1"/>
  <c r="X214" i="1"/>
  <c r="AC214" i="1" s="1"/>
  <c r="J215" i="1"/>
  <c r="K215" i="1" s="1"/>
  <c r="V215" i="1"/>
  <c r="W215" i="1" s="1"/>
  <c r="C216" i="1"/>
  <c r="E216" i="1"/>
  <c r="F216" i="1" s="1"/>
  <c r="I216" i="1" s="1"/>
  <c r="D216" i="1"/>
  <c r="B217" i="1"/>
  <c r="A214" i="4"/>
  <c r="B213" i="4"/>
  <c r="AB215" i="1" l="1"/>
  <c r="AG215" i="1" s="1"/>
  <c r="AA215" i="1"/>
  <c r="AF215" i="1" s="1"/>
  <c r="Z215" i="1"/>
  <c r="AE215" i="1" s="1"/>
  <c r="X215" i="1"/>
  <c r="AC215" i="1" s="1"/>
  <c r="Y215" i="1"/>
  <c r="AD215" i="1" s="1"/>
  <c r="P215" i="1"/>
  <c r="U215" i="1" s="1"/>
  <c r="O215" i="1"/>
  <c r="T215" i="1" s="1"/>
  <c r="L215" i="1"/>
  <c r="Q215" i="1" s="1"/>
  <c r="M215" i="1"/>
  <c r="R215" i="1" s="1"/>
  <c r="N215" i="1"/>
  <c r="S215" i="1" s="1"/>
  <c r="G212" i="4"/>
  <c r="D212" i="4"/>
  <c r="E212" i="4"/>
  <c r="F212" i="4"/>
  <c r="C212" i="4"/>
  <c r="V216" i="1"/>
  <c r="W216" i="1" s="1"/>
  <c r="J216" i="1"/>
  <c r="K216" i="1" s="1"/>
  <c r="D217" i="1"/>
  <c r="E217" i="1"/>
  <c r="F217" i="1" s="1"/>
  <c r="I217" i="1" s="1"/>
  <c r="B218" i="1"/>
  <c r="C217" i="1"/>
  <c r="G213" i="4"/>
  <c r="A215" i="4"/>
  <c r="B214" i="4"/>
  <c r="AB216" i="1" l="1"/>
  <c r="AG216" i="1" s="1"/>
  <c r="AA216" i="1"/>
  <c r="AF216" i="1" s="1"/>
  <c r="X216" i="1"/>
  <c r="AC216" i="1" s="1"/>
  <c r="Y216" i="1"/>
  <c r="AD216" i="1" s="1"/>
  <c r="Z216" i="1"/>
  <c r="AE216" i="1" s="1"/>
  <c r="P216" i="1"/>
  <c r="U216" i="1" s="1"/>
  <c r="O216" i="1"/>
  <c r="T216" i="1" s="1"/>
  <c r="L216" i="1"/>
  <c r="Q216" i="1" s="1"/>
  <c r="M216" i="1"/>
  <c r="R216" i="1" s="1"/>
  <c r="N216" i="1"/>
  <c r="S216" i="1" s="1"/>
  <c r="D213" i="4"/>
  <c r="E213" i="4"/>
  <c r="C213" i="4"/>
  <c r="F213" i="4"/>
  <c r="V217" i="1"/>
  <c r="W217" i="1" s="1"/>
  <c r="J217" i="1"/>
  <c r="K217" i="1" s="1"/>
  <c r="C218" i="1"/>
  <c r="E218" i="1"/>
  <c r="F218" i="1" s="1"/>
  <c r="I218" i="1" s="1"/>
  <c r="B219" i="1"/>
  <c r="D218" i="1"/>
  <c r="C214" i="4"/>
  <c r="B215" i="4"/>
  <c r="A216" i="4"/>
  <c r="G214" i="4"/>
  <c r="D214" i="4"/>
  <c r="F214" i="4"/>
  <c r="E214" i="4"/>
  <c r="AB217" i="1" l="1"/>
  <c r="AG217" i="1" s="1"/>
  <c r="AA217" i="1"/>
  <c r="AF217" i="1" s="1"/>
  <c r="X217" i="1"/>
  <c r="AC217" i="1" s="1"/>
  <c r="Y217" i="1"/>
  <c r="AD217" i="1" s="1"/>
  <c r="Z217" i="1"/>
  <c r="AE217" i="1" s="1"/>
  <c r="P217" i="1"/>
  <c r="U217" i="1" s="1"/>
  <c r="O217" i="1"/>
  <c r="T217" i="1" s="1"/>
  <c r="L217" i="1"/>
  <c r="Q217" i="1" s="1"/>
  <c r="M217" i="1"/>
  <c r="R217" i="1" s="1"/>
  <c r="N217" i="1"/>
  <c r="S217" i="1" s="1"/>
  <c r="J218" i="1"/>
  <c r="K218" i="1" s="1"/>
  <c r="V218" i="1"/>
  <c r="W218" i="1" s="1"/>
  <c r="D219" i="1"/>
  <c r="B220" i="1"/>
  <c r="C219" i="1"/>
  <c r="E219" i="1"/>
  <c r="F219" i="1" s="1"/>
  <c r="I219" i="1" s="1"/>
  <c r="A217" i="4"/>
  <c r="B216" i="4"/>
  <c r="AB218" i="1" l="1"/>
  <c r="AG218" i="1" s="1"/>
  <c r="AA218" i="1"/>
  <c r="AF218" i="1" s="1"/>
  <c r="Y218" i="1"/>
  <c r="AD218" i="1" s="1"/>
  <c r="Z218" i="1"/>
  <c r="AE218" i="1" s="1"/>
  <c r="X218" i="1"/>
  <c r="AC218" i="1" s="1"/>
  <c r="P218" i="1"/>
  <c r="U218" i="1" s="1"/>
  <c r="O218" i="1"/>
  <c r="T218" i="1" s="1"/>
  <c r="L218" i="1"/>
  <c r="Q218" i="1" s="1"/>
  <c r="M218" i="1"/>
  <c r="R218" i="1" s="1"/>
  <c r="N218" i="1"/>
  <c r="S218" i="1" s="1"/>
  <c r="E215" i="4"/>
  <c r="F215" i="4"/>
  <c r="C215" i="4"/>
  <c r="D215" i="4"/>
  <c r="G215" i="4"/>
  <c r="C220" i="1"/>
  <c r="E220" i="1"/>
  <c r="F220" i="1" s="1"/>
  <c r="I220" i="1" s="1"/>
  <c r="B221" i="1"/>
  <c r="D220" i="1"/>
  <c r="G216" i="4"/>
  <c r="J219" i="1"/>
  <c r="K219" i="1" s="1"/>
  <c r="V219" i="1"/>
  <c r="W219" i="1" s="1"/>
  <c r="B217" i="4"/>
  <c r="A218" i="4"/>
  <c r="P219" i="1" l="1"/>
  <c r="U219" i="1" s="1"/>
  <c r="O219" i="1"/>
  <c r="T219" i="1" s="1"/>
  <c r="L219" i="1"/>
  <c r="Q219" i="1" s="1"/>
  <c r="M219" i="1"/>
  <c r="R219" i="1" s="1"/>
  <c r="N219" i="1"/>
  <c r="S219" i="1" s="1"/>
  <c r="AB219" i="1"/>
  <c r="AG219" i="1" s="1"/>
  <c r="AA219" i="1"/>
  <c r="AF219" i="1" s="1"/>
  <c r="Z219" i="1"/>
  <c r="AE219" i="1" s="1"/>
  <c r="X219" i="1"/>
  <c r="AC219" i="1" s="1"/>
  <c r="Y219" i="1"/>
  <c r="AD219" i="1" s="1"/>
  <c r="C216" i="4"/>
  <c r="F216" i="4"/>
  <c r="D216" i="4"/>
  <c r="E216" i="4"/>
  <c r="D221" i="1"/>
  <c r="C221" i="1"/>
  <c r="E221" i="1"/>
  <c r="F221" i="1" s="1"/>
  <c r="I221" i="1" s="1"/>
  <c r="B222" i="1"/>
  <c r="E217" i="4"/>
  <c r="D217" i="4"/>
  <c r="C217" i="4"/>
  <c r="F217" i="4"/>
  <c r="J220" i="1"/>
  <c r="K220" i="1" s="1"/>
  <c r="V220" i="1"/>
  <c r="W220" i="1" s="1"/>
  <c r="A219" i="4"/>
  <c r="G217" i="4"/>
  <c r="B218" i="4"/>
  <c r="AB220" i="1" l="1"/>
  <c r="AG220" i="1" s="1"/>
  <c r="AA220" i="1"/>
  <c r="AF220" i="1" s="1"/>
  <c r="X220" i="1"/>
  <c r="AC220" i="1" s="1"/>
  <c r="Y220" i="1"/>
  <c r="AD220" i="1" s="1"/>
  <c r="Z220" i="1"/>
  <c r="AE220" i="1" s="1"/>
  <c r="P220" i="1"/>
  <c r="U220" i="1" s="1"/>
  <c r="O220" i="1"/>
  <c r="T220" i="1" s="1"/>
  <c r="L220" i="1"/>
  <c r="Q220" i="1" s="1"/>
  <c r="M220" i="1"/>
  <c r="R220" i="1" s="1"/>
  <c r="N220" i="1"/>
  <c r="S220" i="1" s="1"/>
  <c r="J221" i="1"/>
  <c r="K221" i="1" s="1"/>
  <c r="V221" i="1"/>
  <c r="W221" i="1" s="1"/>
  <c r="C222" i="1"/>
  <c r="E222" i="1"/>
  <c r="F222" i="1" s="1"/>
  <c r="I222" i="1" s="1"/>
  <c r="D222" i="1"/>
  <c r="B223" i="1"/>
  <c r="A220" i="4"/>
  <c r="B219" i="4"/>
  <c r="AB221" i="1" l="1"/>
  <c r="AG221" i="1" s="1"/>
  <c r="AA221" i="1"/>
  <c r="AF221" i="1" s="1"/>
  <c r="X221" i="1"/>
  <c r="AC221" i="1" s="1"/>
  <c r="Y221" i="1"/>
  <c r="AD221" i="1" s="1"/>
  <c r="Z221" i="1"/>
  <c r="AE221" i="1" s="1"/>
  <c r="P221" i="1"/>
  <c r="U221" i="1" s="1"/>
  <c r="O221" i="1"/>
  <c r="T221" i="1" s="1"/>
  <c r="L221" i="1"/>
  <c r="Q221" i="1" s="1"/>
  <c r="M221" i="1"/>
  <c r="R221" i="1" s="1"/>
  <c r="N221" i="1"/>
  <c r="S221" i="1" s="1"/>
  <c r="G218" i="4"/>
  <c r="F218" i="4"/>
  <c r="D218" i="4"/>
  <c r="E218" i="4"/>
  <c r="C218" i="4"/>
  <c r="V222" i="1"/>
  <c r="W222" i="1" s="1"/>
  <c r="J222" i="1"/>
  <c r="K222" i="1" s="1"/>
  <c r="D223" i="1"/>
  <c r="E223" i="1"/>
  <c r="F223" i="1" s="1"/>
  <c r="I223" i="1" s="1"/>
  <c r="C223" i="1"/>
  <c r="B224" i="1"/>
  <c r="G219" i="4"/>
  <c r="A221" i="4"/>
  <c r="B220" i="4"/>
  <c r="AB222" i="1" l="1"/>
  <c r="AG222" i="1" s="1"/>
  <c r="AA222" i="1"/>
  <c r="AF222" i="1" s="1"/>
  <c r="Y222" i="1"/>
  <c r="AD222" i="1" s="1"/>
  <c r="Z222" i="1"/>
  <c r="AE222" i="1" s="1"/>
  <c r="X222" i="1"/>
  <c r="AC222" i="1" s="1"/>
  <c r="P222" i="1"/>
  <c r="U222" i="1" s="1"/>
  <c r="O222" i="1"/>
  <c r="T222" i="1" s="1"/>
  <c r="L222" i="1"/>
  <c r="Q222" i="1" s="1"/>
  <c r="M222" i="1"/>
  <c r="R222" i="1" s="1"/>
  <c r="N222" i="1"/>
  <c r="S222" i="1" s="1"/>
  <c r="D219" i="4"/>
  <c r="E219" i="4"/>
  <c r="F219" i="4"/>
  <c r="C219" i="4"/>
  <c r="V223" i="1"/>
  <c r="W223" i="1" s="1"/>
  <c r="J223" i="1"/>
  <c r="K223" i="1" s="1"/>
  <c r="C224" i="1"/>
  <c r="E224" i="1"/>
  <c r="F224" i="1" s="1"/>
  <c r="I224" i="1" s="1"/>
  <c r="B225" i="1"/>
  <c r="D224" i="1"/>
  <c r="C220" i="4"/>
  <c r="G220" i="4"/>
  <c r="E220" i="4"/>
  <c r="D220" i="4"/>
  <c r="F220" i="4"/>
  <c r="B221" i="4"/>
  <c r="A222" i="4"/>
  <c r="AB223" i="1" l="1"/>
  <c r="AG223" i="1" s="1"/>
  <c r="AA223" i="1"/>
  <c r="AF223" i="1" s="1"/>
  <c r="Z223" i="1"/>
  <c r="AE223" i="1" s="1"/>
  <c r="X223" i="1"/>
  <c r="AC223" i="1" s="1"/>
  <c r="Y223" i="1"/>
  <c r="AD223" i="1" s="1"/>
  <c r="P223" i="1"/>
  <c r="U223" i="1" s="1"/>
  <c r="O223" i="1"/>
  <c r="T223" i="1" s="1"/>
  <c r="L223" i="1"/>
  <c r="Q223" i="1" s="1"/>
  <c r="M223" i="1"/>
  <c r="R223" i="1" s="1"/>
  <c r="N223" i="1"/>
  <c r="S223" i="1" s="1"/>
  <c r="V224" i="1"/>
  <c r="W224" i="1" s="1"/>
  <c r="J224" i="1"/>
  <c r="K224" i="1" s="1"/>
  <c r="D225" i="1"/>
  <c r="B226" i="1"/>
  <c r="C225" i="1"/>
  <c r="E225" i="1"/>
  <c r="F225" i="1" s="1"/>
  <c r="I225" i="1" s="1"/>
  <c r="A223" i="4"/>
  <c r="B222" i="4"/>
  <c r="D221" i="4"/>
  <c r="F221" i="4"/>
  <c r="C221" i="4"/>
  <c r="G221" i="4"/>
  <c r="E221" i="4"/>
  <c r="P224" i="1" l="1"/>
  <c r="U224" i="1" s="1"/>
  <c r="O224" i="1"/>
  <c r="T224" i="1" s="1"/>
  <c r="L224" i="1"/>
  <c r="Q224" i="1" s="1"/>
  <c r="M224" i="1"/>
  <c r="R224" i="1" s="1"/>
  <c r="N224" i="1"/>
  <c r="S224" i="1" s="1"/>
  <c r="AB224" i="1"/>
  <c r="AG224" i="1" s="1"/>
  <c r="AA224" i="1"/>
  <c r="AF224" i="1" s="1"/>
  <c r="X224" i="1"/>
  <c r="AC224" i="1" s="1"/>
  <c r="Y224" i="1"/>
  <c r="AD224" i="1" s="1"/>
  <c r="Z224" i="1"/>
  <c r="AE224" i="1" s="1"/>
  <c r="C226" i="1"/>
  <c r="E226" i="1"/>
  <c r="F226" i="1" s="1"/>
  <c r="I226" i="1" s="1"/>
  <c r="B227" i="1"/>
  <c r="D226" i="1"/>
  <c r="V225" i="1"/>
  <c r="W225" i="1" s="1"/>
  <c r="J225" i="1"/>
  <c r="K225" i="1" s="1"/>
  <c r="G222" i="4"/>
  <c r="A224" i="4"/>
  <c r="B223" i="4"/>
  <c r="AB225" i="1" l="1"/>
  <c r="AG225" i="1" s="1"/>
  <c r="AA225" i="1"/>
  <c r="AF225" i="1" s="1"/>
  <c r="X225" i="1"/>
  <c r="AC225" i="1" s="1"/>
  <c r="Y225" i="1"/>
  <c r="AD225" i="1" s="1"/>
  <c r="Z225" i="1"/>
  <c r="AE225" i="1" s="1"/>
  <c r="P225" i="1"/>
  <c r="U225" i="1" s="1"/>
  <c r="O225" i="1"/>
  <c r="T225" i="1" s="1"/>
  <c r="L225" i="1"/>
  <c r="Q225" i="1" s="1"/>
  <c r="M225" i="1"/>
  <c r="R225" i="1" s="1"/>
  <c r="N225" i="1"/>
  <c r="S225" i="1" s="1"/>
  <c r="E222" i="4"/>
  <c r="D222" i="4"/>
  <c r="F222" i="4"/>
  <c r="C222" i="4"/>
  <c r="E223" i="4"/>
  <c r="D223" i="4"/>
  <c r="C223" i="4"/>
  <c r="F223" i="4"/>
  <c r="D227" i="1"/>
  <c r="C227" i="1"/>
  <c r="E227" i="1"/>
  <c r="F227" i="1" s="1"/>
  <c r="I227" i="1" s="1"/>
  <c r="B228" i="1"/>
  <c r="J226" i="1"/>
  <c r="K226" i="1" s="1"/>
  <c r="V226" i="1"/>
  <c r="W226" i="1" s="1"/>
  <c r="B224" i="4"/>
  <c r="A225" i="4"/>
  <c r="G223" i="4"/>
  <c r="AB226" i="1" l="1"/>
  <c r="AG226" i="1" s="1"/>
  <c r="AA226" i="1"/>
  <c r="AF226" i="1" s="1"/>
  <c r="Y226" i="1"/>
  <c r="AD226" i="1" s="1"/>
  <c r="Z226" i="1"/>
  <c r="AE226" i="1" s="1"/>
  <c r="X226" i="1"/>
  <c r="AC226" i="1" s="1"/>
  <c r="P226" i="1"/>
  <c r="U226" i="1" s="1"/>
  <c r="O226" i="1"/>
  <c r="T226" i="1" s="1"/>
  <c r="L226" i="1"/>
  <c r="Q226" i="1" s="1"/>
  <c r="M226" i="1"/>
  <c r="R226" i="1" s="1"/>
  <c r="N226" i="1"/>
  <c r="S226" i="1" s="1"/>
  <c r="G224" i="4"/>
  <c r="C228" i="1"/>
  <c r="E228" i="1"/>
  <c r="F228" i="1" s="1"/>
  <c r="I228" i="1" s="1"/>
  <c r="D228" i="1"/>
  <c r="B229" i="1"/>
  <c r="J227" i="1"/>
  <c r="K227" i="1" s="1"/>
  <c r="V227" i="1"/>
  <c r="W227" i="1" s="1"/>
  <c r="B225" i="4"/>
  <c r="A226" i="4"/>
  <c r="AB227" i="1" l="1"/>
  <c r="AG227" i="1" s="1"/>
  <c r="AA227" i="1"/>
  <c r="AF227" i="1" s="1"/>
  <c r="Z227" i="1"/>
  <c r="AE227" i="1" s="1"/>
  <c r="X227" i="1"/>
  <c r="AC227" i="1" s="1"/>
  <c r="Y227" i="1"/>
  <c r="AD227" i="1" s="1"/>
  <c r="P227" i="1"/>
  <c r="U227" i="1" s="1"/>
  <c r="O227" i="1"/>
  <c r="T227" i="1" s="1"/>
  <c r="L227" i="1"/>
  <c r="Q227" i="1" s="1"/>
  <c r="M227" i="1"/>
  <c r="R227" i="1" s="1"/>
  <c r="N227" i="1"/>
  <c r="S227" i="1" s="1"/>
  <c r="E224" i="4"/>
  <c r="D224" i="4"/>
  <c r="F224" i="4"/>
  <c r="C224" i="4"/>
  <c r="V228" i="1"/>
  <c r="W228" i="1" s="1"/>
  <c r="J228" i="1"/>
  <c r="K228" i="1" s="1"/>
  <c r="G225" i="4"/>
  <c r="D229" i="1"/>
  <c r="C229" i="1"/>
  <c r="E229" i="1"/>
  <c r="F229" i="1" s="1"/>
  <c r="I229" i="1" s="1"/>
  <c r="B230" i="1"/>
  <c r="B226" i="4"/>
  <c r="A227" i="4"/>
  <c r="P228" i="1" l="1"/>
  <c r="U228" i="1" s="1"/>
  <c r="O228" i="1"/>
  <c r="T228" i="1" s="1"/>
  <c r="L228" i="1"/>
  <c r="Q228" i="1" s="1"/>
  <c r="M228" i="1"/>
  <c r="R228" i="1" s="1"/>
  <c r="N228" i="1"/>
  <c r="S228" i="1" s="1"/>
  <c r="AB228" i="1"/>
  <c r="AG228" i="1" s="1"/>
  <c r="AA228" i="1"/>
  <c r="AF228" i="1" s="1"/>
  <c r="X228" i="1"/>
  <c r="AC228" i="1" s="1"/>
  <c r="Y228" i="1"/>
  <c r="AD228" i="1" s="1"/>
  <c r="Z228" i="1"/>
  <c r="AE228" i="1" s="1"/>
  <c r="E225" i="4"/>
  <c r="F225" i="4"/>
  <c r="C225" i="4"/>
  <c r="D225" i="4"/>
  <c r="V229" i="1"/>
  <c r="W229" i="1" s="1"/>
  <c r="J229" i="1"/>
  <c r="K229" i="1" s="1"/>
  <c r="C230" i="1"/>
  <c r="E230" i="1"/>
  <c r="F230" i="1" s="1"/>
  <c r="I230" i="1" s="1"/>
  <c r="B231" i="1"/>
  <c r="D230" i="1"/>
  <c r="C226" i="4"/>
  <c r="E226" i="4"/>
  <c r="A228" i="4"/>
  <c r="B227" i="4"/>
  <c r="F226" i="4"/>
  <c r="D226" i="4"/>
  <c r="G226" i="4"/>
  <c r="P229" i="1" l="1"/>
  <c r="U229" i="1" s="1"/>
  <c r="O229" i="1"/>
  <c r="T229" i="1" s="1"/>
  <c r="L229" i="1"/>
  <c r="Q229" i="1" s="1"/>
  <c r="M229" i="1"/>
  <c r="R229" i="1" s="1"/>
  <c r="N229" i="1"/>
  <c r="S229" i="1" s="1"/>
  <c r="AB229" i="1"/>
  <c r="AG229" i="1" s="1"/>
  <c r="AA229" i="1"/>
  <c r="AF229" i="1" s="1"/>
  <c r="X229" i="1"/>
  <c r="AC229" i="1" s="1"/>
  <c r="Y229" i="1"/>
  <c r="AD229" i="1" s="1"/>
  <c r="Z229" i="1"/>
  <c r="AE229" i="1" s="1"/>
  <c r="V230" i="1"/>
  <c r="W230" i="1" s="1"/>
  <c r="J230" i="1"/>
  <c r="K230" i="1" s="1"/>
  <c r="D231" i="1"/>
  <c r="B232" i="1"/>
  <c r="C231" i="1"/>
  <c r="E231" i="1"/>
  <c r="F231" i="1" s="1"/>
  <c r="I231" i="1" s="1"/>
  <c r="C227" i="4"/>
  <c r="F227" i="4"/>
  <c r="B228" i="4"/>
  <c r="A229" i="4"/>
  <c r="P230" i="1" l="1"/>
  <c r="U230" i="1" s="1"/>
  <c r="O230" i="1"/>
  <c r="T230" i="1" s="1"/>
  <c r="L230" i="1"/>
  <c r="Q230" i="1" s="1"/>
  <c r="M230" i="1"/>
  <c r="R230" i="1" s="1"/>
  <c r="N230" i="1"/>
  <c r="S230" i="1" s="1"/>
  <c r="AB230" i="1"/>
  <c r="AG230" i="1" s="1"/>
  <c r="AA230" i="1"/>
  <c r="AF230" i="1" s="1"/>
  <c r="Y230" i="1"/>
  <c r="AD230" i="1" s="1"/>
  <c r="Z230" i="1"/>
  <c r="AE230" i="1" s="1"/>
  <c r="X230" i="1"/>
  <c r="AC230" i="1" s="1"/>
  <c r="G227" i="4"/>
  <c r="E227" i="4"/>
  <c r="D227" i="4"/>
  <c r="V231" i="1"/>
  <c r="W231" i="1" s="1"/>
  <c r="J231" i="1"/>
  <c r="K231" i="1" s="1"/>
  <c r="C232" i="1"/>
  <c r="E232" i="1"/>
  <c r="F232" i="1" s="1"/>
  <c r="I232" i="1" s="1"/>
  <c r="D232" i="1"/>
  <c r="B233" i="1"/>
  <c r="G228" i="4"/>
  <c r="B229" i="4"/>
  <c r="A230" i="4"/>
  <c r="P231" i="1" l="1"/>
  <c r="U231" i="1" s="1"/>
  <c r="O231" i="1"/>
  <c r="T231" i="1" s="1"/>
  <c r="L231" i="1"/>
  <c r="Q231" i="1" s="1"/>
  <c r="M231" i="1"/>
  <c r="R231" i="1" s="1"/>
  <c r="N231" i="1"/>
  <c r="S231" i="1" s="1"/>
  <c r="AB231" i="1"/>
  <c r="AG231" i="1" s="1"/>
  <c r="AA231" i="1"/>
  <c r="AF231" i="1" s="1"/>
  <c r="Z231" i="1"/>
  <c r="AE231" i="1" s="1"/>
  <c r="X231" i="1"/>
  <c r="AC231" i="1" s="1"/>
  <c r="Y231" i="1"/>
  <c r="AD231" i="1" s="1"/>
  <c r="D228" i="4"/>
  <c r="E228" i="4"/>
  <c r="F228" i="4"/>
  <c r="C228" i="4"/>
  <c r="D233" i="1"/>
  <c r="C233" i="1"/>
  <c r="B234" i="1"/>
  <c r="E233" i="1"/>
  <c r="F233" i="1" s="1"/>
  <c r="I233" i="1" s="1"/>
  <c r="J232" i="1"/>
  <c r="K232" i="1" s="1"/>
  <c r="V232" i="1"/>
  <c r="W232" i="1" s="1"/>
  <c r="E229" i="4"/>
  <c r="D229" i="4"/>
  <c r="B230" i="4"/>
  <c r="C229" i="4"/>
  <c r="G229" i="4"/>
  <c r="F229" i="4"/>
  <c r="A231" i="4"/>
  <c r="AB232" i="1" l="1"/>
  <c r="AG232" i="1" s="1"/>
  <c r="AA232" i="1"/>
  <c r="AF232" i="1" s="1"/>
  <c r="X232" i="1"/>
  <c r="AC232" i="1" s="1"/>
  <c r="Y232" i="1"/>
  <c r="AD232" i="1" s="1"/>
  <c r="Z232" i="1"/>
  <c r="AE232" i="1" s="1"/>
  <c r="P232" i="1"/>
  <c r="U232" i="1" s="1"/>
  <c r="O232" i="1"/>
  <c r="T232" i="1" s="1"/>
  <c r="L232" i="1"/>
  <c r="Q232" i="1" s="1"/>
  <c r="M232" i="1"/>
  <c r="R232" i="1" s="1"/>
  <c r="N232" i="1"/>
  <c r="S232" i="1" s="1"/>
  <c r="V233" i="1"/>
  <c r="W233" i="1" s="1"/>
  <c r="J233" i="1"/>
  <c r="K233" i="1" s="1"/>
  <c r="C234" i="1"/>
  <c r="E234" i="1"/>
  <c r="F234" i="1" s="1"/>
  <c r="I234" i="1" s="1"/>
  <c r="D234" i="1"/>
  <c r="B235" i="1"/>
  <c r="B231" i="4"/>
  <c r="A232" i="4"/>
  <c r="P233" i="1" l="1"/>
  <c r="U233" i="1" s="1"/>
  <c r="O233" i="1"/>
  <c r="T233" i="1" s="1"/>
  <c r="L233" i="1"/>
  <c r="Q233" i="1" s="1"/>
  <c r="M233" i="1"/>
  <c r="R233" i="1" s="1"/>
  <c r="N233" i="1"/>
  <c r="S233" i="1" s="1"/>
  <c r="AB233" i="1"/>
  <c r="AG233" i="1" s="1"/>
  <c r="AA233" i="1"/>
  <c r="AF233" i="1" s="1"/>
  <c r="X233" i="1"/>
  <c r="AC233" i="1" s="1"/>
  <c r="Y233" i="1"/>
  <c r="AD233" i="1" s="1"/>
  <c r="Z233" i="1"/>
  <c r="AE233" i="1" s="1"/>
  <c r="C230" i="4"/>
  <c r="F230" i="4"/>
  <c r="G230" i="4"/>
  <c r="D230" i="4"/>
  <c r="E230" i="4"/>
  <c r="D235" i="1"/>
  <c r="E235" i="1"/>
  <c r="F235" i="1" s="1"/>
  <c r="I235" i="1" s="1"/>
  <c r="B236" i="1"/>
  <c r="C235" i="1"/>
  <c r="J234" i="1"/>
  <c r="K234" i="1" s="1"/>
  <c r="V234" i="1"/>
  <c r="W234" i="1" s="1"/>
  <c r="G231" i="4"/>
  <c r="B232" i="4"/>
  <c r="A233" i="4"/>
  <c r="P234" i="1" l="1"/>
  <c r="U234" i="1" s="1"/>
  <c r="O234" i="1"/>
  <c r="T234" i="1" s="1"/>
  <c r="L234" i="1"/>
  <c r="Q234" i="1" s="1"/>
  <c r="M234" i="1"/>
  <c r="R234" i="1" s="1"/>
  <c r="N234" i="1"/>
  <c r="S234" i="1" s="1"/>
  <c r="AB234" i="1"/>
  <c r="AG234" i="1" s="1"/>
  <c r="AA234" i="1"/>
  <c r="AF234" i="1" s="1"/>
  <c r="Y234" i="1"/>
  <c r="AD234" i="1" s="1"/>
  <c r="Z234" i="1"/>
  <c r="AE234" i="1" s="1"/>
  <c r="X234" i="1"/>
  <c r="AC234" i="1" s="1"/>
  <c r="F231" i="4"/>
  <c r="C231" i="4"/>
  <c r="D231" i="4"/>
  <c r="E231" i="4"/>
  <c r="E232" i="4"/>
  <c r="F232" i="4"/>
  <c r="D232" i="4"/>
  <c r="E236" i="1"/>
  <c r="F236" i="1" s="1"/>
  <c r="I236" i="1" s="1"/>
  <c r="C236" i="1"/>
  <c r="D236" i="1"/>
  <c r="B237" i="1"/>
  <c r="V235" i="1"/>
  <c r="W235" i="1" s="1"/>
  <c r="J235" i="1"/>
  <c r="K235" i="1" s="1"/>
  <c r="B233" i="4"/>
  <c r="G232" i="4"/>
  <c r="C232" i="4"/>
  <c r="A234" i="4"/>
  <c r="AB235" i="1" l="1"/>
  <c r="AG235" i="1" s="1"/>
  <c r="AA235" i="1"/>
  <c r="AF235" i="1" s="1"/>
  <c r="Z235" i="1"/>
  <c r="AE235" i="1" s="1"/>
  <c r="X235" i="1"/>
  <c r="AC235" i="1" s="1"/>
  <c r="Y235" i="1"/>
  <c r="AD235" i="1" s="1"/>
  <c r="P235" i="1"/>
  <c r="U235" i="1" s="1"/>
  <c r="O235" i="1"/>
  <c r="T235" i="1" s="1"/>
  <c r="L235" i="1"/>
  <c r="Q235" i="1" s="1"/>
  <c r="M235" i="1"/>
  <c r="R235" i="1" s="1"/>
  <c r="N235" i="1"/>
  <c r="S235" i="1" s="1"/>
  <c r="D237" i="1"/>
  <c r="B238" i="1"/>
  <c r="C237" i="1"/>
  <c r="E237" i="1"/>
  <c r="F237" i="1" s="1"/>
  <c r="I237" i="1" s="1"/>
  <c r="J236" i="1"/>
  <c r="K236" i="1" s="1"/>
  <c r="V236" i="1"/>
  <c r="W236" i="1" s="1"/>
  <c r="A235" i="4"/>
  <c r="B234" i="4"/>
  <c r="AB236" i="1" l="1"/>
  <c r="AG236" i="1" s="1"/>
  <c r="AA236" i="1"/>
  <c r="AF236" i="1" s="1"/>
  <c r="X236" i="1"/>
  <c r="AC236" i="1" s="1"/>
  <c r="Y236" i="1"/>
  <c r="AD236" i="1" s="1"/>
  <c r="Z236" i="1"/>
  <c r="AE236" i="1" s="1"/>
  <c r="P236" i="1"/>
  <c r="U236" i="1" s="1"/>
  <c r="O236" i="1"/>
  <c r="T236" i="1" s="1"/>
  <c r="L236" i="1"/>
  <c r="Q236" i="1" s="1"/>
  <c r="M236" i="1"/>
  <c r="R236" i="1" s="1"/>
  <c r="N236" i="1"/>
  <c r="S236" i="1" s="1"/>
  <c r="G233" i="4"/>
  <c r="C233" i="4"/>
  <c r="F233" i="4"/>
  <c r="D233" i="4"/>
  <c r="E233" i="4"/>
  <c r="V237" i="1"/>
  <c r="W237" i="1" s="1"/>
  <c r="J237" i="1"/>
  <c r="K237" i="1" s="1"/>
  <c r="C234" i="4"/>
  <c r="G234" i="4"/>
  <c r="E238" i="1"/>
  <c r="F238" i="1" s="1"/>
  <c r="I238" i="1" s="1"/>
  <c r="B239" i="1"/>
  <c r="D238" i="1"/>
  <c r="C238" i="1"/>
  <c r="A236" i="4"/>
  <c r="B235" i="4"/>
  <c r="AB237" i="1" l="1"/>
  <c r="AG237" i="1" s="1"/>
  <c r="AA237" i="1"/>
  <c r="AF237" i="1" s="1"/>
  <c r="X237" i="1"/>
  <c r="AC237" i="1" s="1"/>
  <c r="Y237" i="1"/>
  <c r="AD237" i="1" s="1"/>
  <c r="Z237" i="1"/>
  <c r="AE237" i="1" s="1"/>
  <c r="P237" i="1"/>
  <c r="U237" i="1" s="1"/>
  <c r="O237" i="1"/>
  <c r="T237" i="1" s="1"/>
  <c r="L237" i="1"/>
  <c r="Q237" i="1" s="1"/>
  <c r="M237" i="1"/>
  <c r="R237" i="1" s="1"/>
  <c r="N237" i="1"/>
  <c r="S237" i="1" s="1"/>
  <c r="D234" i="4"/>
  <c r="E234" i="4"/>
  <c r="F234" i="4"/>
  <c r="D239" i="1"/>
  <c r="C239" i="1"/>
  <c r="E239" i="1"/>
  <c r="F239" i="1" s="1"/>
  <c r="I239" i="1" s="1"/>
  <c r="B240" i="1"/>
  <c r="V238" i="1"/>
  <c r="W238" i="1" s="1"/>
  <c r="J238" i="1"/>
  <c r="K238" i="1" s="1"/>
  <c r="E235" i="4"/>
  <c r="D235" i="4"/>
  <c r="C235" i="4"/>
  <c r="F235" i="4"/>
  <c r="G235" i="4"/>
  <c r="B236" i="4"/>
  <c r="A237" i="4"/>
  <c r="P238" i="1" l="1"/>
  <c r="U238" i="1" s="1"/>
  <c r="O238" i="1"/>
  <c r="T238" i="1" s="1"/>
  <c r="L238" i="1"/>
  <c r="Q238" i="1" s="1"/>
  <c r="M238" i="1"/>
  <c r="R238" i="1" s="1"/>
  <c r="N238" i="1"/>
  <c r="S238" i="1" s="1"/>
  <c r="AB238" i="1"/>
  <c r="AG238" i="1" s="1"/>
  <c r="AA238" i="1"/>
  <c r="AF238" i="1" s="1"/>
  <c r="Y238" i="1"/>
  <c r="AD238" i="1" s="1"/>
  <c r="Z238" i="1"/>
  <c r="AE238" i="1" s="1"/>
  <c r="X238" i="1"/>
  <c r="AC238" i="1" s="1"/>
  <c r="E240" i="1"/>
  <c r="F240" i="1" s="1"/>
  <c r="I240" i="1" s="1"/>
  <c r="B241" i="1"/>
  <c r="C240" i="1"/>
  <c r="D240" i="1"/>
  <c r="J239" i="1"/>
  <c r="K239" i="1" s="1"/>
  <c r="V239" i="1"/>
  <c r="W239" i="1" s="1"/>
  <c r="A238" i="4"/>
  <c r="B237" i="4"/>
  <c r="P239" i="1" l="1"/>
  <c r="U239" i="1" s="1"/>
  <c r="O239" i="1"/>
  <c r="T239" i="1" s="1"/>
  <c r="L239" i="1"/>
  <c r="Q239" i="1" s="1"/>
  <c r="M239" i="1"/>
  <c r="R239" i="1" s="1"/>
  <c r="N239" i="1"/>
  <c r="S239" i="1" s="1"/>
  <c r="AB239" i="1"/>
  <c r="AG239" i="1" s="1"/>
  <c r="AA239" i="1"/>
  <c r="AF239" i="1" s="1"/>
  <c r="Z239" i="1"/>
  <c r="AE239" i="1" s="1"/>
  <c r="X239" i="1"/>
  <c r="AC239" i="1" s="1"/>
  <c r="Y239" i="1"/>
  <c r="AD239" i="1" s="1"/>
  <c r="C236" i="4"/>
  <c r="F236" i="4"/>
  <c r="D236" i="4"/>
  <c r="E236" i="4"/>
  <c r="G236" i="4"/>
  <c r="G237" i="4"/>
  <c r="D241" i="1"/>
  <c r="B242" i="1"/>
  <c r="C241" i="1"/>
  <c r="E241" i="1"/>
  <c r="F241" i="1" s="1"/>
  <c r="I241" i="1" s="1"/>
  <c r="J240" i="1"/>
  <c r="K240" i="1" s="1"/>
  <c r="V240" i="1"/>
  <c r="W240" i="1" s="1"/>
  <c r="A239" i="4"/>
  <c r="B238" i="4"/>
  <c r="AB240" i="1" l="1"/>
  <c r="AG240" i="1" s="1"/>
  <c r="AA240" i="1"/>
  <c r="AF240" i="1" s="1"/>
  <c r="X240" i="1"/>
  <c r="AC240" i="1" s="1"/>
  <c r="Y240" i="1"/>
  <c r="AD240" i="1" s="1"/>
  <c r="Z240" i="1"/>
  <c r="AE240" i="1" s="1"/>
  <c r="P240" i="1"/>
  <c r="U240" i="1" s="1"/>
  <c r="O240" i="1"/>
  <c r="T240" i="1" s="1"/>
  <c r="L240" i="1"/>
  <c r="Q240" i="1" s="1"/>
  <c r="M240" i="1"/>
  <c r="R240" i="1" s="1"/>
  <c r="N240" i="1"/>
  <c r="S240" i="1" s="1"/>
  <c r="E237" i="4"/>
  <c r="F237" i="4"/>
  <c r="D237" i="4"/>
  <c r="C237" i="4"/>
  <c r="J241" i="1"/>
  <c r="K241" i="1" s="1"/>
  <c r="V241" i="1"/>
  <c r="W241" i="1" s="1"/>
  <c r="E242" i="1"/>
  <c r="F242" i="1" s="1"/>
  <c r="I242" i="1" s="1"/>
  <c r="C242" i="1"/>
  <c r="D242" i="1"/>
  <c r="B243" i="1"/>
  <c r="C238" i="4"/>
  <c r="E238" i="4"/>
  <c r="F238" i="4"/>
  <c r="D238" i="4"/>
  <c r="G238" i="4"/>
  <c r="A240" i="4"/>
  <c r="B239" i="4"/>
  <c r="AB241" i="1" l="1"/>
  <c r="AG241" i="1" s="1"/>
  <c r="AA241" i="1"/>
  <c r="AF241" i="1" s="1"/>
  <c r="X241" i="1"/>
  <c r="AC241" i="1" s="1"/>
  <c r="Y241" i="1"/>
  <c r="AD241" i="1" s="1"/>
  <c r="Z241" i="1"/>
  <c r="AE241" i="1" s="1"/>
  <c r="P241" i="1"/>
  <c r="U241" i="1" s="1"/>
  <c r="O241" i="1"/>
  <c r="T241" i="1" s="1"/>
  <c r="L241" i="1"/>
  <c r="Q241" i="1" s="1"/>
  <c r="M241" i="1"/>
  <c r="R241" i="1" s="1"/>
  <c r="N241" i="1"/>
  <c r="S241" i="1" s="1"/>
  <c r="V242" i="1"/>
  <c r="W242" i="1" s="1"/>
  <c r="J242" i="1"/>
  <c r="K242" i="1" s="1"/>
  <c r="D243" i="1"/>
  <c r="C243" i="1"/>
  <c r="E243" i="1"/>
  <c r="F243" i="1" s="1"/>
  <c r="I243" i="1" s="1"/>
  <c r="B244" i="1"/>
  <c r="A241" i="4"/>
  <c r="B240" i="4"/>
  <c r="P242" i="1" l="1"/>
  <c r="U242" i="1" s="1"/>
  <c r="O242" i="1"/>
  <c r="T242" i="1" s="1"/>
  <c r="L242" i="1"/>
  <c r="Q242" i="1" s="1"/>
  <c r="M242" i="1"/>
  <c r="R242" i="1" s="1"/>
  <c r="N242" i="1"/>
  <c r="S242" i="1" s="1"/>
  <c r="AB242" i="1"/>
  <c r="AG242" i="1" s="1"/>
  <c r="AA242" i="1"/>
  <c r="AF242" i="1" s="1"/>
  <c r="Y242" i="1"/>
  <c r="AD242" i="1" s="1"/>
  <c r="Z242" i="1"/>
  <c r="AE242" i="1" s="1"/>
  <c r="X242" i="1"/>
  <c r="AC242" i="1" s="1"/>
  <c r="G239" i="4"/>
  <c r="F239" i="4"/>
  <c r="C239" i="4"/>
  <c r="E239" i="4"/>
  <c r="D239" i="4"/>
  <c r="E244" i="1"/>
  <c r="F244" i="1" s="1"/>
  <c r="I244" i="1" s="1"/>
  <c r="D244" i="1"/>
  <c r="B245" i="1"/>
  <c r="C244" i="1"/>
  <c r="V243" i="1"/>
  <c r="W243" i="1" s="1"/>
  <c r="J243" i="1"/>
  <c r="K243" i="1" s="1"/>
  <c r="G240" i="4"/>
  <c r="A242" i="4"/>
  <c r="B241" i="4"/>
  <c r="AB243" i="1" l="1"/>
  <c r="AG243" i="1" s="1"/>
  <c r="AA243" i="1"/>
  <c r="AF243" i="1" s="1"/>
  <c r="Z243" i="1"/>
  <c r="AE243" i="1" s="1"/>
  <c r="X243" i="1"/>
  <c r="AC243" i="1" s="1"/>
  <c r="Y243" i="1"/>
  <c r="AD243" i="1" s="1"/>
  <c r="P243" i="1"/>
  <c r="U243" i="1" s="1"/>
  <c r="O243" i="1"/>
  <c r="T243" i="1" s="1"/>
  <c r="L243" i="1"/>
  <c r="Q243" i="1" s="1"/>
  <c r="M243" i="1"/>
  <c r="R243" i="1" s="1"/>
  <c r="N243" i="1"/>
  <c r="S243" i="1" s="1"/>
  <c r="D240" i="4"/>
  <c r="E240" i="4"/>
  <c r="F240" i="4"/>
  <c r="C240" i="4"/>
  <c r="E241" i="4"/>
  <c r="D245" i="1"/>
  <c r="C245" i="1"/>
  <c r="B246" i="1"/>
  <c r="E245" i="1"/>
  <c r="F245" i="1" s="1"/>
  <c r="I245" i="1" s="1"/>
  <c r="J244" i="1"/>
  <c r="K244" i="1" s="1"/>
  <c r="V244" i="1"/>
  <c r="W244" i="1" s="1"/>
  <c r="A243" i="4"/>
  <c r="B242" i="4"/>
  <c r="C241" i="4"/>
  <c r="D241" i="4"/>
  <c r="G241" i="4"/>
  <c r="F241" i="4"/>
  <c r="AB244" i="1" l="1"/>
  <c r="AG244" i="1" s="1"/>
  <c r="AA244" i="1"/>
  <c r="AF244" i="1" s="1"/>
  <c r="X244" i="1"/>
  <c r="AC244" i="1" s="1"/>
  <c r="Y244" i="1"/>
  <c r="AD244" i="1" s="1"/>
  <c r="Z244" i="1"/>
  <c r="AE244" i="1" s="1"/>
  <c r="P244" i="1"/>
  <c r="U244" i="1" s="1"/>
  <c r="O244" i="1"/>
  <c r="T244" i="1" s="1"/>
  <c r="L244" i="1"/>
  <c r="Q244" i="1" s="1"/>
  <c r="M244" i="1"/>
  <c r="R244" i="1" s="1"/>
  <c r="N244" i="1"/>
  <c r="S244" i="1" s="1"/>
  <c r="J245" i="1"/>
  <c r="K245" i="1" s="1"/>
  <c r="V245" i="1"/>
  <c r="W245" i="1" s="1"/>
  <c r="E246" i="1"/>
  <c r="F246" i="1" s="1"/>
  <c r="I246" i="1" s="1"/>
  <c r="B247" i="1"/>
  <c r="C246" i="1"/>
  <c r="D246" i="1"/>
  <c r="F242" i="4"/>
  <c r="E242" i="4"/>
  <c r="G242" i="4"/>
  <c r="D242" i="4"/>
  <c r="C242" i="4"/>
  <c r="A244" i="4"/>
  <c r="B243" i="4"/>
  <c r="AB245" i="1" l="1"/>
  <c r="AG245" i="1" s="1"/>
  <c r="AA245" i="1"/>
  <c r="AF245" i="1" s="1"/>
  <c r="X245" i="1"/>
  <c r="AC245" i="1" s="1"/>
  <c r="Y245" i="1"/>
  <c r="AD245" i="1" s="1"/>
  <c r="Z245" i="1"/>
  <c r="AE245" i="1" s="1"/>
  <c r="P245" i="1"/>
  <c r="U245" i="1" s="1"/>
  <c r="O245" i="1"/>
  <c r="T245" i="1" s="1"/>
  <c r="L245" i="1"/>
  <c r="Q245" i="1" s="1"/>
  <c r="M245" i="1"/>
  <c r="R245" i="1" s="1"/>
  <c r="N245" i="1"/>
  <c r="S245" i="1" s="1"/>
  <c r="D247" i="1"/>
  <c r="B248" i="1"/>
  <c r="C247" i="1"/>
  <c r="E247" i="1"/>
  <c r="F247" i="1" s="1"/>
  <c r="I247" i="1" s="1"/>
  <c r="V246" i="1"/>
  <c r="W246" i="1" s="1"/>
  <c r="J246" i="1"/>
  <c r="K246" i="1" s="1"/>
  <c r="B244" i="4"/>
  <c r="A245" i="4"/>
  <c r="G243" i="4"/>
  <c r="P246" i="1" l="1"/>
  <c r="U246" i="1" s="1"/>
  <c r="O246" i="1"/>
  <c r="T246" i="1" s="1"/>
  <c r="L246" i="1"/>
  <c r="Q246" i="1" s="1"/>
  <c r="M246" i="1"/>
  <c r="R246" i="1" s="1"/>
  <c r="N246" i="1"/>
  <c r="S246" i="1" s="1"/>
  <c r="AB246" i="1"/>
  <c r="AG246" i="1" s="1"/>
  <c r="AA246" i="1"/>
  <c r="AF246" i="1" s="1"/>
  <c r="Y246" i="1"/>
  <c r="AD246" i="1" s="1"/>
  <c r="Z246" i="1"/>
  <c r="AE246" i="1" s="1"/>
  <c r="X246" i="1"/>
  <c r="AC246" i="1" s="1"/>
  <c r="C243" i="4"/>
  <c r="F243" i="4"/>
  <c r="D243" i="4"/>
  <c r="E243" i="4"/>
  <c r="E248" i="1"/>
  <c r="F248" i="1" s="1"/>
  <c r="I248" i="1" s="1"/>
  <c r="B249" i="1"/>
  <c r="C248" i="1"/>
  <c r="D248" i="1"/>
  <c r="C244" i="4"/>
  <c r="E244" i="4"/>
  <c r="F244" i="4"/>
  <c r="D244" i="4"/>
  <c r="V247" i="1"/>
  <c r="W247" i="1" s="1"/>
  <c r="J247" i="1"/>
  <c r="K247" i="1" s="1"/>
  <c r="B245" i="4"/>
  <c r="A246" i="4"/>
  <c r="G244" i="4"/>
  <c r="P247" i="1" l="1"/>
  <c r="U247" i="1" s="1"/>
  <c r="O247" i="1"/>
  <c r="T247" i="1" s="1"/>
  <c r="L247" i="1"/>
  <c r="Q247" i="1" s="1"/>
  <c r="M247" i="1"/>
  <c r="R247" i="1" s="1"/>
  <c r="N247" i="1"/>
  <c r="S247" i="1" s="1"/>
  <c r="AB247" i="1"/>
  <c r="AG247" i="1" s="1"/>
  <c r="AA247" i="1"/>
  <c r="AF247" i="1" s="1"/>
  <c r="Z247" i="1"/>
  <c r="AE247" i="1" s="1"/>
  <c r="X247" i="1"/>
  <c r="AC247" i="1" s="1"/>
  <c r="Y247" i="1"/>
  <c r="AD247" i="1" s="1"/>
  <c r="G245" i="4"/>
  <c r="D249" i="1"/>
  <c r="B250" i="1"/>
  <c r="C249" i="1"/>
  <c r="E249" i="1"/>
  <c r="F249" i="1" s="1"/>
  <c r="I249" i="1" s="1"/>
  <c r="V248" i="1"/>
  <c r="W248" i="1" s="1"/>
  <c r="J248" i="1"/>
  <c r="K248" i="1" s="1"/>
  <c r="A247" i="4"/>
  <c r="B246" i="4"/>
  <c r="D245" i="4"/>
  <c r="F245" i="4"/>
  <c r="P248" i="1" l="1"/>
  <c r="U248" i="1" s="1"/>
  <c r="O248" i="1"/>
  <c r="T248" i="1" s="1"/>
  <c r="L248" i="1"/>
  <c r="Q248" i="1" s="1"/>
  <c r="M248" i="1"/>
  <c r="R248" i="1" s="1"/>
  <c r="N248" i="1"/>
  <c r="S248" i="1" s="1"/>
  <c r="AB248" i="1"/>
  <c r="AG248" i="1" s="1"/>
  <c r="AA248" i="1"/>
  <c r="AF248" i="1" s="1"/>
  <c r="X248" i="1"/>
  <c r="AC248" i="1" s="1"/>
  <c r="Y248" i="1"/>
  <c r="AD248" i="1" s="1"/>
  <c r="Z248" i="1"/>
  <c r="AE248" i="1" s="1"/>
  <c r="E245" i="4"/>
  <c r="C245" i="4"/>
  <c r="G246" i="4"/>
  <c r="E250" i="1"/>
  <c r="F250" i="1" s="1"/>
  <c r="I250" i="1" s="1"/>
  <c r="C250" i="1"/>
  <c r="D250" i="1"/>
  <c r="B251" i="1"/>
  <c r="V249" i="1"/>
  <c r="W249" i="1" s="1"/>
  <c r="J249" i="1"/>
  <c r="K249" i="1" s="1"/>
  <c r="B247" i="4"/>
  <c r="A248" i="4"/>
  <c r="P249" i="1" l="1"/>
  <c r="U249" i="1" s="1"/>
  <c r="O249" i="1"/>
  <c r="T249" i="1" s="1"/>
  <c r="L249" i="1"/>
  <c r="Q249" i="1" s="1"/>
  <c r="M249" i="1"/>
  <c r="R249" i="1" s="1"/>
  <c r="N249" i="1"/>
  <c r="S249" i="1" s="1"/>
  <c r="AB249" i="1"/>
  <c r="AG249" i="1" s="1"/>
  <c r="AA249" i="1"/>
  <c r="AF249" i="1" s="1"/>
  <c r="X249" i="1"/>
  <c r="AC249" i="1" s="1"/>
  <c r="Y249" i="1"/>
  <c r="AD249" i="1" s="1"/>
  <c r="Z249" i="1"/>
  <c r="AE249" i="1" s="1"/>
  <c r="D246" i="4"/>
  <c r="C246" i="4"/>
  <c r="F246" i="4"/>
  <c r="E246" i="4"/>
  <c r="D251" i="1"/>
  <c r="C251" i="1"/>
  <c r="E251" i="1"/>
  <c r="F251" i="1" s="1"/>
  <c r="I251" i="1" s="1"/>
  <c r="B252" i="1"/>
  <c r="V250" i="1"/>
  <c r="W250" i="1" s="1"/>
  <c r="J250" i="1"/>
  <c r="K250" i="1" s="1"/>
  <c r="D247" i="4"/>
  <c r="C247" i="4"/>
  <c r="E247" i="4"/>
  <c r="F247" i="4"/>
  <c r="A249" i="4"/>
  <c r="B248" i="4"/>
  <c r="G247" i="4"/>
  <c r="P250" i="1" l="1"/>
  <c r="U250" i="1" s="1"/>
  <c r="O250" i="1"/>
  <c r="T250" i="1" s="1"/>
  <c r="L250" i="1"/>
  <c r="Q250" i="1" s="1"/>
  <c r="M250" i="1"/>
  <c r="R250" i="1" s="1"/>
  <c r="N250" i="1"/>
  <c r="S250" i="1" s="1"/>
  <c r="AB250" i="1"/>
  <c r="AG250" i="1" s="1"/>
  <c r="AA250" i="1"/>
  <c r="AF250" i="1" s="1"/>
  <c r="Y250" i="1"/>
  <c r="AD250" i="1" s="1"/>
  <c r="Z250" i="1"/>
  <c r="AE250" i="1" s="1"/>
  <c r="X250" i="1"/>
  <c r="AC250" i="1" s="1"/>
  <c r="E252" i="1"/>
  <c r="F252" i="1" s="1"/>
  <c r="I252" i="1" s="1"/>
  <c r="D252" i="1"/>
  <c r="B253" i="1"/>
  <c r="C252" i="1"/>
  <c r="V251" i="1"/>
  <c r="W251" i="1" s="1"/>
  <c r="J251" i="1"/>
  <c r="K251" i="1" s="1"/>
  <c r="B249" i="4"/>
  <c r="C248" i="4"/>
  <c r="F248" i="4"/>
  <c r="E248" i="4"/>
  <c r="A250" i="4"/>
  <c r="AB251" i="1" l="1"/>
  <c r="AG251" i="1" s="1"/>
  <c r="AA251" i="1"/>
  <c r="AF251" i="1" s="1"/>
  <c r="Z251" i="1"/>
  <c r="AE251" i="1" s="1"/>
  <c r="Y251" i="1"/>
  <c r="AD251" i="1" s="1"/>
  <c r="X251" i="1"/>
  <c r="AC251" i="1" s="1"/>
  <c r="P251" i="1"/>
  <c r="U251" i="1" s="1"/>
  <c r="O251" i="1"/>
  <c r="T251" i="1" s="1"/>
  <c r="L251" i="1"/>
  <c r="Q251" i="1" s="1"/>
  <c r="M251" i="1"/>
  <c r="R251" i="1" s="1"/>
  <c r="N251" i="1"/>
  <c r="S251" i="1" s="1"/>
  <c r="D248" i="4"/>
  <c r="G248" i="4"/>
  <c r="G249" i="4"/>
  <c r="D253" i="1"/>
  <c r="B254" i="1"/>
  <c r="E253" i="1"/>
  <c r="F253" i="1" s="1"/>
  <c r="I253" i="1" s="1"/>
  <c r="C253" i="1"/>
  <c r="V252" i="1"/>
  <c r="W252" i="1" s="1"/>
  <c r="J252" i="1"/>
  <c r="K252" i="1" s="1"/>
  <c r="A251" i="4"/>
  <c r="B250" i="4"/>
  <c r="P252" i="1" l="1"/>
  <c r="U252" i="1" s="1"/>
  <c r="O252" i="1"/>
  <c r="T252" i="1" s="1"/>
  <c r="L252" i="1"/>
  <c r="Q252" i="1" s="1"/>
  <c r="M252" i="1"/>
  <c r="R252" i="1" s="1"/>
  <c r="N252" i="1"/>
  <c r="S252" i="1" s="1"/>
  <c r="AB252" i="1"/>
  <c r="AG252" i="1" s="1"/>
  <c r="AA252" i="1"/>
  <c r="AF252" i="1" s="1"/>
  <c r="X252" i="1"/>
  <c r="AC252" i="1" s="1"/>
  <c r="Y252" i="1"/>
  <c r="AD252" i="1" s="1"/>
  <c r="Z252" i="1"/>
  <c r="AE252" i="1" s="1"/>
  <c r="E249" i="4"/>
  <c r="F249" i="4"/>
  <c r="D249" i="4"/>
  <c r="C249" i="4"/>
  <c r="E254" i="1"/>
  <c r="F254" i="1" s="1"/>
  <c r="I254" i="1" s="1"/>
  <c r="D254" i="1"/>
  <c r="B255" i="1"/>
  <c r="C254" i="1"/>
  <c r="C250" i="4"/>
  <c r="E250" i="4"/>
  <c r="D250" i="4"/>
  <c r="F250" i="4"/>
  <c r="J253" i="1"/>
  <c r="K253" i="1" s="1"/>
  <c r="V253" i="1"/>
  <c r="W253" i="1" s="1"/>
  <c r="G250" i="4"/>
  <c r="A252" i="4"/>
  <c r="B251" i="4"/>
  <c r="AB253" i="1" l="1"/>
  <c r="AG253" i="1" s="1"/>
  <c r="AA253" i="1"/>
  <c r="AF253" i="1" s="1"/>
  <c r="X253" i="1"/>
  <c r="AC253" i="1" s="1"/>
  <c r="Y253" i="1"/>
  <c r="AD253" i="1" s="1"/>
  <c r="Z253" i="1"/>
  <c r="AE253" i="1" s="1"/>
  <c r="P253" i="1"/>
  <c r="U253" i="1" s="1"/>
  <c r="O253" i="1"/>
  <c r="T253" i="1" s="1"/>
  <c r="L253" i="1"/>
  <c r="Q253" i="1" s="1"/>
  <c r="M253" i="1"/>
  <c r="R253" i="1" s="1"/>
  <c r="N253" i="1"/>
  <c r="S253" i="1" s="1"/>
  <c r="D255" i="1"/>
  <c r="C255" i="1"/>
  <c r="B256" i="1"/>
  <c r="E255" i="1"/>
  <c r="F255" i="1" s="1"/>
  <c r="I255" i="1" s="1"/>
  <c r="J254" i="1"/>
  <c r="K254" i="1" s="1"/>
  <c r="V254" i="1"/>
  <c r="W254" i="1" s="1"/>
  <c r="A253" i="4"/>
  <c r="B252" i="4"/>
  <c r="D251" i="4"/>
  <c r="AB254" i="1" l="1"/>
  <c r="AG254" i="1" s="1"/>
  <c r="AA254" i="1"/>
  <c r="AF254" i="1" s="1"/>
  <c r="Y254" i="1"/>
  <c r="AD254" i="1" s="1"/>
  <c r="Z254" i="1"/>
  <c r="AE254" i="1" s="1"/>
  <c r="X254" i="1"/>
  <c r="AC254" i="1" s="1"/>
  <c r="P254" i="1"/>
  <c r="U254" i="1" s="1"/>
  <c r="O254" i="1"/>
  <c r="T254" i="1" s="1"/>
  <c r="L254" i="1"/>
  <c r="Q254" i="1" s="1"/>
  <c r="M254" i="1"/>
  <c r="R254" i="1" s="1"/>
  <c r="N254" i="1"/>
  <c r="S254" i="1" s="1"/>
  <c r="E251" i="4"/>
  <c r="C251" i="4"/>
  <c r="F251" i="4"/>
  <c r="G251" i="4"/>
  <c r="E256" i="1"/>
  <c r="F256" i="1" s="1"/>
  <c r="I256" i="1" s="1"/>
  <c r="D256" i="1"/>
  <c r="C256" i="1"/>
  <c r="B257" i="1"/>
  <c r="V255" i="1"/>
  <c r="W255" i="1" s="1"/>
  <c r="J255" i="1"/>
  <c r="K255" i="1" s="1"/>
  <c r="G252" i="4"/>
  <c r="A254" i="4"/>
  <c r="B253" i="4"/>
  <c r="P255" i="1" l="1"/>
  <c r="U255" i="1" s="1"/>
  <c r="O255" i="1"/>
  <c r="T255" i="1" s="1"/>
  <c r="L255" i="1"/>
  <c r="Q255" i="1" s="1"/>
  <c r="M255" i="1"/>
  <c r="R255" i="1" s="1"/>
  <c r="N255" i="1"/>
  <c r="S255" i="1" s="1"/>
  <c r="AB255" i="1"/>
  <c r="AG255" i="1" s="1"/>
  <c r="AA255" i="1"/>
  <c r="AF255" i="1" s="1"/>
  <c r="Z255" i="1"/>
  <c r="AE255" i="1" s="1"/>
  <c r="X255" i="1"/>
  <c r="AC255" i="1" s="1"/>
  <c r="Y255" i="1"/>
  <c r="AD255" i="1" s="1"/>
  <c r="D252" i="4"/>
  <c r="F252" i="4"/>
  <c r="C252" i="4"/>
  <c r="E252" i="4"/>
  <c r="D257" i="1"/>
  <c r="C257" i="1"/>
  <c r="B258" i="1"/>
  <c r="E257" i="1"/>
  <c r="F257" i="1" s="1"/>
  <c r="I257" i="1" s="1"/>
  <c r="D253" i="4"/>
  <c r="F253" i="4"/>
  <c r="C253" i="4"/>
  <c r="V256" i="1"/>
  <c r="W256" i="1" s="1"/>
  <c r="J256" i="1"/>
  <c r="K256" i="1" s="1"/>
  <c r="B254" i="4"/>
  <c r="G253" i="4"/>
  <c r="A255" i="4"/>
  <c r="E253" i="4" l="1"/>
  <c r="AB256" i="1"/>
  <c r="AG256" i="1" s="1"/>
  <c r="AA256" i="1"/>
  <c r="AF256" i="1" s="1"/>
  <c r="X256" i="1"/>
  <c r="AC256" i="1" s="1"/>
  <c r="Y256" i="1"/>
  <c r="AD256" i="1" s="1"/>
  <c r="Z256" i="1"/>
  <c r="AE256" i="1" s="1"/>
  <c r="P256" i="1"/>
  <c r="U256" i="1" s="1"/>
  <c r="O256" i="1"/>
  <c r="T256" i="1" s="1"/>
  <c r="L256" i="1"/>
  <c r="Q256" i="1" s="1"/>
  <c r="M256" i="1"/>
  <c r="R256" i="1" s="1"/>
  <c r="N256" i="1"/>
  <c r="S256" i="1" s="1"/>
  <c r="J257" i="1"/>
  <c r="K257" i="1" s="1"/>
  <c r="V257" i="1"/>
  <c r="W257" i="1" s="1"/>
  <c r="E258" i="1"/>
  <c r="F258" i="1" s="1"/>
  <c r="I258" i="1" s="1"/>
  <c r="C258" i="1"/>
  <c r="D258" i="1"/>
  <c r="B259" i="1"/>
  <c r="A256" i="4"/>
  <c r="B255" i="4"/>
  <c r="AB257" i="1" l="1"/>
  <c r="AG257" i="1" s="1"/>
  <c r="AA257" i="1"/>
  <c r="AF257" i="1" s="1"/>
  <c r="X257" i="1"/>
  <c r="AC257" i="1" s="1"/>
  <c r="Y257" i="1"/>
  <c r="AD257" i="1" s="1"/>
  <c r="Z257" i="1"/>
  <c r="AE257" i="1" s="1"/>
  <c r="P257" i="1"/>
  <c r="U257" i="1" s="1"/>
  <c r="O257" i="1"/>
  <c r="T257" i="1" s="1"/>
  <c r="L257" i="1"/>
  <c r="Q257" i="1" s="1"/>
  <c r="M257" i="1"/>
  <c r="R257" i="1" s="1"/>
  <c r="N257" i="1"/>
  <c r="S257" i="1" s="1"/>
  <c r="F254" i="4"/>
  <c r="G254" i="4"/>
  <c r="D254" i="4"/>
  <c r="C254" i="4"/>
  <c r="E254" i="4"/>
  <c r="D259" i="1"/>
  <c r="B260" i="1"/>
  <c r="E259" i="1"/>
  <c r="F259" i="1" s="1"/>
  <c r="I259" i="1" s="1"/>
  <c r="C259" i="1"/>
  <c r="J258" i="1"/>
  <c r="K258" i="1" s="1"/>
  <c r="V258" i="1"/>
  <c r="W258" i="1" s="1"/>
  <c r="G255" i="4"/>
  <c r="B256" i="4"/>
  <c r="A257" i="4"/>
  <c r="P258" i="1" l="1"/>
  <c r="U258" i="1" s="1"/>
  <c r="O258" i="1"/>
  <c r="T258" i="1" s="1"/>
  <c r="L258" i="1"/>
  <c r="Q258" i="1" s="1"/>
  <c r="M258" i="1"/>
  <c r="R258" i="1" s="1"/>
  <c r="N258" i="1"/>
  <c r="S258" i="1" s="1"/>
  <c r="AB258" i="1"/>
  <c r="AG258" i="1" s="1"/>
  <c r="AA258" i="1"/>
  <c r="AF258" i="1" s="1"/>
  <c r="Y258" i="1"/>
  <c r="AD258" i="1" s="1"/>
  <c r="D256" i="4" s="1"/>
  <c r="Z258" i="1"/>
  <c r="AE258" i="1" s="1"/>
  <c r="X258" i="1"/>
  <c r="AC258" i="1" s="1"/>
  <c r="D255" i="4"/>
  <c r="E255" i="4"/>
  <c r="F255" i="4"/>
  <c r="C255" i="4"/>
  <c r="J259" i="1"/>
  <c r="K259" i="1" s="1"/>
  <c r="V259" i="1"/>
  <c r="W259" i="1" s="1"/>
  <c r="E260" i="1"/>
  <c r="F260" i="1" s="1"/>
  <c r="I260" i="1" s="1"/>
  <c r="B261" i="1"/>
  <c r="D260" i="1"/>
  <c r="C260" i="1"/>
  <c r="C256" i="4"/>
  <c r="B257" i="4"/>
  <c r="F256" i="4"/>
  <c r="G256" i="4"/>
  <c r="E256" i="4"/>
  <c r="A258" i="4"/>
  <c r="P259" i="1" l="1"/>
  <c r="U259" i="1" s="1"/>
  <c r="O259" i="1"/>
  <c r="T259" i="1" s="1"/>
  <c r="L259" i="1"/>
  <c r="Q259" i="1" s="1"/>
  <c r="M259" i="1"/>
  <c r="R259" i="1" s="1"/>
  <c r="N259" i="1"/>
  <c r="S259" i="1" s="1"/>
  <c r="AB259" i="1"/>
  <c r="AG259" i="1" s="1"/>
  <c r="AA259" i="1"/>
  <c r="AF259" i="1" s="1"/>
  <c r="Z259" i="1"/>
  <c r="AE259" i="1" s="1"/>
  <c r="X259" i="1"/>
  <c r="AC259" i="1" s="1"/>
  <c r="Y259" i="1"/>
  <c r="AD259" i="1" s="1"/>
  <c r="V260" i="1"/>
  <c r="W260" i="1" s="1"/>
  <c r="J260" i="1"/>
  <c r="K260" i="1" s="1"/>
  <c r="D261" i="1"/>
  <c r="C261" i="1"/>
  <c r="B262" i="1"/>
  <c r="E261" i="1"/>
  <c r="F261" i="1" s="1"/>
  <c r="I261" i="1" s="1"/>
  <c r="A259" i="4"/>
  <c r="B258" i="4"/>
  <c r="P260" i="1" l="1"/>
  <c r="U260" i="1" s="1"/>
  <c r="O260" i="1"/>
  <c r="T260" i="1" s="1"/>
  <c r="L260" i="1"/>
  <c r="Q260" i="1" s="1"/>
  <c r="M260" i="1"/>
  <c r="R260" i="1" s="1"/>
  <c r="N260" i="1"/>
  <c r="S260" i="1" s="1"/>
  <c r="AB260" i="1"/>
  <c r="AG260" i="1" s="1"/>
  <c r="AA260" i="1"/>
  <c r="AF260" i="1" s="1"/>
  <c r="X260" i="1"/>
  <c r="AC260" i="1" s="1"/>
  <c r="Y260" i="1"/>
  <c r="AD260" i="1" s="1"/>
  <c r="Z260" i="1"/>
  <c r="AE260" i="1" s="1"/>
  <c r="D257" i="4"/>
  <c r="C257" i="4"/>
  <c r="E257" i="4"/>
  <c r="F257" i="4"/>
  <c r="G257" i="4"/>
  <c r="J261" i="1"/>
  <c r="K261" i="1" s="1"/>
  <c r="V261" i="1"/>
  <c r="W261" i="1" s="1"/>
  <c r="E262" i="1"/>
  <c r="F262" i="1" s="1"/>
  <c r="I262" i="1" s="1"/>
  <c r="C262" i="1"/>
  <c r="B263" i="1"/>
  <c r="D262" i="1"/>
  <c r="G258" i="4"/>
  <c r="B259" i="4"/>
  <c r="A260" i="4"/>
  <c r="P261" i="1" l="1"/>
  <c r="U261" i="1" s="1"/>
  <c r="O261" i="1"/>
  <c r="T261" i="1" s="1"/>
  <c r="L261" i="1"/>
  <c r="Q261" i="1" s="1"/>
  <c r="M261" i="1"/>
  <c r="R261" i="1" s="1"/>
  <c r="N261" i="1"/>
  <c r="S261" i="1" s="1"/>
  <c r="AB261" i="1"/>
  <c r="AG261" i="1" s="1"/>
  <c r="AA261" i="1"/>
  <c r="AF261" i="1" s="1"/>
  <c r="X261" i="1"/>
  <c r="AC261" i="1" s="1"/>
  <c r="C259" i="4" s="1"/>
  <c r="Y261" i="1"/>
  <c r="AD261" i="1" s="1"/>
  <c r="Z261" i="1"/>
  <c r="AE261" i="1" s="1"/>
  <c r="F258" i="4"/>
  <c r="E258" i="4"/>
  <c r="D258" i="4"/>
  <c r="C258" i="4"/>
  <c r="V262" i="1"/>
  <c r="W262" i="1" s="1"/>
  <c r="J262" i="1"/>
  <c r="K262" i="1" s="1"/>
  <c r="D259" i="4"/>
  <c r="E259" i="4"/>
  <c r="F259" i="4"/>
  <c r="D263" i="1"/>
  <c r="E263" i="1"/>
  <c r="F263" i="1" s="1"/>
  <c r="I263" i="1" s="1"/>
  <c r="C263" i="1"/>
  <c r="B264" i="1"/>
  <c r="A261" i="4"/>
  <c r="G259" i="4"/>
  <c r="B260" i="4"/>
  <c r="AB262" i="1" l="1"/>
  <c r="AG262" i="1" s="1"/>
  <c r="AA262" i="1"/>
  <c r="AF262" i="1" s="1"/>
  <c r="Y262" i="1"/>
  <c r="AD262" i="1" s="1"/>
  <c r="Z262" i="1"/>
  <c r="AE262" i="1" s="1"/>
  <c r="X262" i="1"/>
  <c r="AC262" i="1" s="1"/>
  <c r="P262" i="1"/>
  <c r="U262" i="1" s="1"/>
  <c r="O262" i="1"/>
  <c r="T262" i="1" s="1"/>
  <c r="L262" i="1"/>
  <c r="Q262" i="1" s="1"/>
  <c r="M262" i="1"/>
  <c r="R262" i="1" s="1"/>
  <c r="N262" i="1"/>
  <c r="S262" i="1" s="1"/>
  <c r="E264" i="1"/>
  <c r="F264" i="1" s="1"/>
  <c r="I264" i="1" s="1"/>
  <c r="D264" i="1"/>
  <c r="B265" i="1"/>
  <c r="C264" i="1"/>
  <c r="V263" i="1"/>
  <c r="W263" i="1" s="1"/>
  <c r="J263" i="1"/>
  <c r="K263" i="1" s="1"/>
  <c r="B261" i="4"/>
  <c r="A262" i="4"/>
  <c r="P263" i="1" l="1"/>
  <c r="U263" i="1" s="1"/>
  <c r="O263" i="1"/>
  <c r="T263" i="1" s="1"/>
  <c r="L263" i="1"/>
  <c r="Q263" i="1" s="1"/>
  <c r="M263" i="1"/>
  <c r="R263" i="1" s="1"/>
  <c r="N263" i="1"/>
  <c r="S263" i="1" s="1"/>
  <c r="AB263" i="1"/>
  <c r="AG263" i="1" s="1"/>
  <c r="AA263" i="1"/>
  <c r="AF263" i="1" s="1"/>
  <c r="Z263" i="1"/>
  <c r="AE263" i="1" s="1"/>
  <c r="X263" i="1"/>
  <c r="AC263" i="1" s="1"/>
  <c r="Y263" i="1"/>
  <c r="AD263" i="1" s="1"/>
  <c r="G260" i="4"/>
  <c r="C260" i="4"/>
  <c r="E260" i="4"/>
  <c r="F260" i="4"/>
  <c r="D260" i="4"/>
  <c r="D265" i="1"/>
  <c r="E265" i="1"/>
  <c r="F265" i="1" s="1"/>
  <c r="I265" i="1" s="1"/>
  <c r="B266" i="1"/>
  <c r="C265" i="1"/>
  <c r="G261" i="4"/>
  <c r="V264" i="1"/>
  <c r="W264" i="1" s="1"/>
  <c r="J264" i="1"/>
  <c r="K264" i="1" s="1"/>
  <c r="B262" i="4"/>
  <c r="A263" i="4"/>
  <c r="P264" i="1" l="1"/>
  <c r="U264" i="1" s="1"/>
  <c r="O264" i="1"/>
  <c r="T264" i="1" s="1"/>
  <c r="L264" i="1"/>
  <c r="Q264" i="1" s="1"/>
  <c r="M264" i="1"/>
  <c r="R264" i="1" s="1"/>
  <c r="N264" i="1"/>
  <c r="S264" i="1" s="1"/>
  <c r="AB264" i="1"/>
  <c r="AG264" i="1" s="1"/>
  <c r="AA264" i="1"/>
  <c r="AF264" i="1" s="1"/>
  <c r="X264" i="1"/>
  <c r="AC264" i="1" s="1"/>
  <c r="C262" i="4" s="1"/>
  <c r="Y264" i="1"/>
  <c r="AD264" i="1" s="1"/>
  <c r="Z264" i="1"/>
  <c r="AE264" i="1" s="1"/>
  <c r="C261" i="4"/>
  <c r="F261" i="4"/>
  <c r="E261" i="4"/>
  <c r="D261" i="4"/>
  <c r="E266" i="1"/>
  <c r="F266" i="1" s="1"/>
  <c r="I266" i="1" s="1"/>
  <c r="C266" i="1"/>
  <c r="B267" i="1"/>
  <c r="D266" i="1"/>
  <c r="V265" i="1"/>
  <c r="W265" i="1" s="1"/>
  <c r="J265" i="1"/>
  <c r="K265" i="1" s="1"/>
  <c r="F262" i="4"/>
  <c r="D262" i="4"/>
  <c r="E262" i="4"/>
  <c r="G262" i="4"/>
  <c r="A264" i="4"/>
  <c r="B263" i="4"/>
  <c r="AB265" i="1" l="1"/>
  <c r="AG265" i="1" s="1"/>
  <c r="AA265" i="1"/>
  <c r="AF265" i="1" s="1"/>
  <c r="X265" i="1"/>
  <c r="AC265" i="1" s="1"/>
  <c r="Y265" i="1"/>
  <c r="AD265" i="1" s="1"/>
  <c r="Z265" i="1"/>
  <c r="AE265" i="1" s="1"/>
  <c r="P265" i="1"/>
  <c r="U265" i="1" s="1"/>
  <c r="O265" i="1"/>
  <c r="T265" i="1" s="1"/>
  <c r="L265" i="1"/>
  <c r="Q265" i="1" s="1"/>
  <c r="M265" i="1"/>
  <c r="R265" i="1" s="1"/>
  <c r="N265" i="1"/>
  <c r="S265" i="1" s="1"/>
  <c r="D267" i="1"/>
  <c r="C267" i="1"/>
  <c r="E267" i="1"/>
  <c r="F267" i="1" s="1"/>
  <c r="I267" i="1" s="1"/>
  <c r="B268" i="1"/>
  <c r="J266" i="1"/>
  <c r="K266" i="1" s="1"/>
  <c r="V266" i="1"/>
  <c r="W266" i="1" s="1"/>
  <c r="B264" i="4"/>
  <c r="F263" i="4"/>
  <c r="G263" i="4"/>
  <c r="D263" i="4"/>
  <c r="E263" i="4"/>
  <c r="C263" i="4"/>
  <c r="A265" i="4"/>
  <c r="AB266" i="1" l="1"/>
  <c r="AG266" i="1" s="1"/>
  <c r="AA266" i="1"/>
  <c r="AF266" i="1" s="1"/>
  <c r="Y266" i="1"/>
  <c r="AD266" i="1" s="1"/>
  <c r="Z266" i="1"/>
  <c r="AE266" i="1" s="1"/>
  <c r="X266" i="1"/>
  <c r="AC266" i="1" s="1"/>
  <c r="P266" i="1"/>
  <c r="U266" i="1" s="1"/>
  <c r="O266" i="1"/>
  <c r="T266" i="1" s="1"/>
  <c r="L266" i="1"/>
  <c r="Q266" i="1" s="1"/>
  <c r="M266" i="1"/>
  <c r="R266" i="1" s="1"/>
  <c r="N266" i="1"/>
  <c r="S266" i="1" s="1"/>
  <c r="V267" i="1"/>
  <c r="W267" i="1" s="1"/>
  <c r="J267" i="1"/>
  <c r="K267" i="1" s="1"/>
  <c r="G264" i="4"/>
  <c r="E268" i="1"/>
  <c r="F268" i="1" s="1"/>
  <c r="I268" i="1" s="1"/>
  <c r="D268" i="1"/>
  <c r="B269" i="1"/>
  <c r="C268" i="1"/>
  <c r="A266" i="4"/>
  <c r="B265" i="4"/>
  <c r="AB267" i="1" l="1"/>
  <c r="AG267" i="1" s="1"/>
  <c r="AA267" i="1"/>
  <c r="AF267" i="1" s="1"/>
  <c r="Z267" i="1"/>
  <c r="AE267" i="1" s="1"/>
  <c r="X267" i="1"/>
  <c r="AC267" i="1" s="1"/>
  <c r="Y267" i="1"/>
  <c r="AD267" i="1" s="1"/>
  <c r="P267" i="1"/>
  <c r="U267" i="1" s="1"/>
  <c r="O267" i="1"/>
  <c r="T267" i="1" s="1"/>
  <c r="L267" i="1"/>
  <c r="Q267" i="1" s="1"/>
  <c r="M267" i="1"/>
  <c r="R267" i="1" s="1"/>
  <c r="N267" i="1"/>
  <c r="S267" i="1" s="1"/>
  <c r="C264" i="4"/>
  <c r="D264" i="4"/>
  <c r="F264" i="4"/>
  <c r="E264" i="4"/>
  <c r="V268" i="1"/>
  <c r="W268" i="1" s="1"/>
  <c r="J268" i="1"/>
  <c r="K268" i="1" s="1"/>
  <c r="D269" i="1"/>
  <c r="E269" i="1"/>
  <c r="F269" i="1" s="1"/>
  <c r="I269" i="1" s="1"/>
  <c r="B270" i="1"/>
  <c r="C269" i="1"/>
  <c r="D265" i="4"/>
  <c r="F265" i="4"/>
  <c r="A267" i="4"/>
  <c r="G265" i="4"/>
  <c r="E265" i="4"/>
  <c r="C265" i="4"/>
  <c r="B266" i="4"/>
  <c r="P268" i="1" l="1"/>
  <c r="U268" i="1" s="1"/>
  <c r="O268" i="1"/>
  <c r="T268" i="1" s="1"/>
  <c r="L268" i="1"/>
  <c r="Q268" i="1" s="1"/>
  <c r="M268" i="1"/>
  <c r="R268" i="1" s="1"/>
  <c r="N268" i="1"/>
  <c r="S268" i="1" s="1"/>
  <c r="AB268" i="1"/>
  <c r="AG268" i="1" s="1"/>
  <c r="AA268" i="1"/>
  <c r="AF268" i="1" s="1"/>
  <c r="X268" i="1"/>
  <c r="AC268" i="1" s="1"/>
  <c r="Y268" i="1"/>
  <c r="AD268" i="1" s="1"/>
  <c r="Z268" i="1"/>
  <c r="AE268" i="1" s="1"/>
  <c r="E270" i="1"/>
  <c r="F270" i="1" s="1"/>
  <c r="I270" i="1" s="1"/>
  <c r="B271" i="1"/>
  <c r="C270" i="1"/>
  <c r="D270" i="1"/>
  <c r="V269" i="1"/>
  <c r="W269" i="1" s="1"/>
  <c r="J269" i="1"/>
  <c r="K269" i="1" s="1"/>
  <c r="A268" i="4"/>
  <c r="B267" i="4"/>
  <c r="P269" i="1" l="1"/>
  <c r="U269" i="1" s="1"/>
  <c r="O269" i="1"/>
  <c r="T269" i="1" s="1"/>
  <c r="L269" i="1"/>
  <c r="Q269" i="1" s="1"/>
  <c r="M269" i="1"/>
  <c r="R269" i="1" s="1"/>
  <c r="N269" i="1"/>
  <c r="S269" i="1" s="1"/>
  <c r="AB269" i="1"/>
  <c r="AG269" i="1" s="1"/>
  <c r="AA269" i="1"/>
  <c r="AF269" i="1" s="1"/>
  <c r="X269" i="1"/>
  <c r="AC269" i="1" s="1"/>
  <c r="Y269" i="1"/>
  <c r="AD269" i="1" s="1"/>
  <c r="Z269" i="1"/>
  <c r="AE269" i="1" s="1"/>
  <c r="G266" i="4"/>
  <c r="C266" i="4"/>
  <c r="F266" i="4"/>
  <c r="D266" i="4"/>
  <c r="E266" i="4"/>
  <c r="G267" i="4"/>
  <c r="D271" i="1"/>
  <c r="E271" i="1"/>
  <c r="F271" i="1" s="1"/>
  <c r="I271" i="1" s="1"/>
  <c r="B272" i="1"/>
  <c r="C271" i="1"/>
  <c r="J270" i="1"/>
  <c r="K270" i="1" s="1"/>
  <c r="V270" i="1"/>
  <c r="W270" i="1" s="1"/>
  <c r="A269" i="4"/>
  <c r="B268" i="4"/>
  <c r="AB270" i="1" l="1"/>
  <c r="AG270" i="1" s="1"/>
  <c r="AA270" i="1"/>
  <c r="AF270" i="1" s="1"/>
  <c r="Y270" i="1"/>
  <c r="AD270" i="1" s="1"/>
  <c r="Z270" i="1"/>
  <c r="AE270" i="1" s="1"/>
  <c r="X270" i="1"/>
  <c r="AC270" i="1" s="1"/>
  <c r="P270" i="1"/>
  <c r="U270" i="1" s="1"/>
  <c r="O270" i="1"/>
  <c r="T270" i="1" s="1"/>
  <c r="L270" i="1"/>
  <c r="Q270" i="1" s="1"/>
  <c r="M270" i="1"/>
  <c r="R270" i="1" s="1"/>
  <c r="N270" i="1"/>
  <c r="S270" i="1" s="1"/>
  <c r="D267" i="4"/>
  <c r="E267" i="4"/>
  <c r="C267" i="4"/>
  <c r="F267" i="4"/>
  <c r="J271" i="1"/>
  <c r="K271" i="1" s="1"/>
  <c r="V271" i="1"/>
  <c r="W271" i="1" s="1"/>
  <c r="D268" i="4"/>
  <c r="F268" i="4"/>
  <c r="E272" i="1"/>
  <c r="F272" i="1" s="1"/>
  <c r="I272" i="1" s="1"/>
  <c r="B273" i="1"/>
  <c r="C272" i="1"/>
  <c r="D272" i="1"/>
  <c r="A270" i="4"/>
  <c r="G268" i="4"/>
  <c r="C268" i="4"/>
  <c r="B269" i="4"/>
  <c r="E268" i="4" l="1"/>
  <c r="P271" i="1"/>
  <c r="U271" i="1" s="1"/>
  <c r="O271" i="1"/>
  <c r="T271" i="1" s="1"/>
  <c r="L271" i="1"/>
  <c r="Q271" i="1" s="1"/>
  <c r="M271" i="1"/>
  <c r="R271" i="1" s="1"/>
  <c r="N271" i="1"/>
  <c r="S271" i="1" s="1"/>
  <c r="AB271" i="1"/>
  <c r="AG271" i="1" s="1"/>
  <c r="AA271" i="1"/>
  <c r="AF271" i="1" s="1"/>
  <c r="Z271" i="1"/>
  <c r="AE271" i="1" s="1"/>
  <c r="X271" i="1"/>
  <c r="AC271" i="1" s="1"/>
  <c r="Y271" i="1"/>
  <c r="AD271" i="1" s="1"/>
  <c r="C273" i="1"/>
  <c r="E273" i="1"/>
  <c r="F273" i="1" s="1"/>
  <c r="I273" i="1" s="1"/>
  <c r="D273" i="1"/>
  <c r="B274" i="1"/>
  <c r="V272" i="1"/>
  <c r="W272" i="1" s="1"/>
  <c r="J272" i="1"/>
  <c r="K272" i="1" s="1"/>
  <c r="A271" i="4"/>
  <c r="B270" i="4"/>
  <c r="P272" i="1" l="1"/>
  <c r="U272" i="1" s="1"/>
  <c r="O272" i="1"/>
  <c r="T272" i="1" s="1"/>
  <c r="L272" i="1"/>
  <c r="Q272" i="1" s="1"/>
  <c r="M272" i="1"/>
  <c r="R272" i="1" s="1"/>
  <c r="N272" i="1"/>
  <c r="S272" i="1" s="1"/>
  <c r="AB272" i="1"/>
  <c r="AG272" i="1" s="1"/>
  <c r="AA272" i="1"/>
  <c r="AF272" i="1" s="1"/>
  <c r="X272" i="1"/>
  <c r="AC272" i="1" s="1"/>
  <c r="Z272" i="1"/>
  <c r="AE272" i="1" s="1"/>
  <c r="Y272" i="1"/>
  <c r="AD272" i="1" s="1"/>
  <c r="G269" i="4"/>
  <c r="C269" i="4"/>
  <c r="E269" i="4"/>
  <c r="F269" i="4"/>
  <c r="D269" i="4"/>
  <c r="E274" i="1"/>
  <c r="F274" i="1" s="1"/>
  <c r="I274" i="1" s="1"/>
  <c r="C274" i="1"/>
  <c r="B275" i="1"/>
  <c r="D274" i="1"/>
  <c r="G270" i="4"/>
  <c r="V273" i="1"/>
  <c r="W273" i="1" s="1"/>
  <c r="J273" i="1"/>
  <c r="K273" i="1" s="1"/>
  <c r="A272" i="4"/>
  <c r="B271" i="4"/>
  <c r="P273" i="1" l="1"/>
  <c r="U273" i="1" s="1"/>
  <c r="O273" i="1"/>
  <c r="T273" i="1" s="1"/>
  <c r="L273" i="1"/>
  <c r="Q273" i="1" s="1"/>
  <c r="M273" i="1"/>
  <c r="R273" i="1" s="1"/>
  <c r="N273" i="1"/>
  <c r="S273" i="1" s="1"/>
  <c r="AB273" i="1"/>
  <c r="AG273" i="1" s="1"/>
  <c r="AA273" i="1"/>
  <c r="AF273" i="1" s="1"/>
  <c r="X273" i="1"/>
  <c r="AC273" i="1" s="1"/>
  <c r="Y273" i="1"/>
  <c r="AD273" i="1" s="1"/>
  <c r="Z273" i="1"/>
  <c r="AE273" i="1" s="1"/>
  <c r="F270" i="4"/>
  <c r="D270" i="4"/>
  <c r="E270" i="4"/>
  <c r="C270" i="4"/>
  <c r="C275" i="1"/>
  <c r="D275" i="1"/>
  <c r="B276" i="1"/>
  <c r="E275" i="1"/>
  <c r="F275" i="1" s="1"/>
  <c r="I275" i="1" s="1"/>
  <c r="V274" i="1"/>
  <c r="W274" i="1" s="1"/>
  <c r="J274" i="1"/>
  <c r="K274" i="1" s="1"/>
  <c r="D271" i="4"/>
  <c r="B272" i="4"/>
  <c r="C271" i="4"/>
  <c r="E271" i="4"/>
  <c r="F271" i="4"/>
  <c r="G271" i="4"/>
  <c r="A273" i="4"/>
  <c r="AB274" i="1" l="1"/>
  <c r="AG274" i="1" s="1"/>
  <c r="AA274" i="1"/>
  <c r="AF274" i="1" s="1"/>
  <c r="Y274" i="1"/>
  <c r="AD274" i="1" s="1"/>
  <c r="Z274" i="1"/>
  <c r="AE274" i="1" s="1"/>
  <c r="X274" i="1"/>
  <c r="AC274" i="1" s="1"/>
  <c r="P274" i="1"/>
  <c r="U274" i="1" s="1"/>
  <c r="O274" i="1"/>
  <c r="T274" i="1" s="1"/>
  <c r="L274" i="1"/>
  <c r="Q274" i="1" s="1"/>
  <c r="M274" i="1"/>
  <c r="R274" i="1" s="1"/>
  <c r="N274" i="1"/>
  <c r="S274" i="1" s="1"/>
  <c r="V275" i="1"/>
  <c r="W275" i="1" s="1"/>
  <c r="J275" i="1"/>
  <c r="K275" i="1" s="1"/>
  <c r="E276" i="1"/>
  <c r="F276" i="1" s="1"/>
  <c r="I276" i="1" s="1"/>
  <c r="D276" i="1"/>
  <c r="C276" i="1"/>
  <c r="B277" i="1"/>
  <c r="B273" i="4"/>
  <c r="A274" i="4"/>
  <c r="P275" i="1" l="1"/>
  <c r="U275" i="1" s="1"/>
  <c r="O275" i="1"/>
  <c r="T275" i="1" s="1"/>
  <c r="L275" i="1"/>
  <c r="Q275" i="1" s="1"/>
  <c r="M275" i="1"/>
  <c r="R275" i="1" s="1"/>
  <c r="N275" i="1"/>
  <c r="S275" i="1" s="1"/>
  <c r="AB275" i="1"/>
  <c r="AG275" i="1" s="1"/>
  <c r="AA275" i="1"/>
  <c r="AF275" i="1" s="1"/>
  <c r="Z275" i="1"/>
  <c r="AE275" i="1" s="1"/>
  <c r="X275" i="1"/>
  <c r="AC275" i="1" s="1"/>
  <c r="Y275" i="1"/>
  <c r="AD275" i="1" s="1"/>
  <c r="G272" i="4"/>
  <c r="F272" i="4"/>
  <c r="E272" i="4"/>
  <c r="D272" i="4"/>
  <c r="C272" i="4"/>
  <c r="C277" i="1"/>
  <c r="D277" i="1"/>
  <c r="E277" i="1"/>
  <c r="F277" i="1" s="1"/>
  <c r="I277" i="1" s="1"/>
  <c r="B278" i="1"/>
  <c r="J276" i="1"/>
  <c r="K276" i="1" s="1"/>
  <c r="V276" i="1"/>
  <c r="W276" i="1" s="1"/>
  <c r="G273" i="4"/>
  <c r="B274" i="4"/>
  <c r="A275" i="4"/>
  <c r="P276" i="1" l="1"/>
  <c r="U276" i="1" s="1"/>
  <c r="O276" i="1"/>
  <c r="T276" i="1" s="1"/>
  <c r="L276" i="1"/>
  <c r="Q276" i="1" s="1"/>
  <c r="M276" i="1"/>
  <c r="R276" i="1" s="1"/>
  <c r="N276" i="1"/>
  <c r="S276" i="1" s="1"/>
  <c r="AB276" i="1"/>
  <c r="AG276" i="1" s="1"/>
  <c r="AA276" i="1"/>
  <c r="AF276" i="1" s="1"/>
  <c r="X276" i="1"/>
  <c r="AC276" i="1" s="1"/>
  <c r="C274" i="4" s="1"/>
  <c r="Y276" i="1"/>
  <c r="AD276" i="1" s="1"/>
  <c r="Z276" i="1"/>
  <c r="AE276" i="1" s="1"/>
  <c r="E273" i="4"/>
  <c r="D273" i="4"/>
  <c r="C273" i="4"/>
  <c r="F273" i="4"/>
  <c r="J277" i="1"/>
  <c r="K277" i="1" s="1"/>
  <c r="V277" i="1"/>
  <c r="W277" i="1" s="1"/>
  <c r="E278" i="1"/>
  <c r="F278" i="1" s="1"/>
  <c r="I278" i="1" s="1"/>
  <c r="C278" i="1"/>
  <c r="D278" i="1"/>
  <c r="B279" i="1"/>
  <c r="D274" i="4"/>
  <c r="E274" i="4"/>
  <c r="F274" i="4"/>
  <c r="G274" i="4"/>
  <c r="B275" i="4"/>
  <c r="A276" i="4"/>
  <c r="P277" i="1" l="1"/>
  <c r="U277" i="1" s="1"/>
  <c r="O277" i="1"/>
  <c r="T277" i="1" s="1"/>
  <c r="L277" i="1"/>
  <c r="Q277" i="1" s="1"/>
  <c r="M277" i="1"/>
  <c r="R277" i="1" s="1"/>
  <c r="N277" i="1"/>
  <c r="S277" i="1" s="1"/>
  <c r="AB277" i="1"/>
  <c r="AG277" i="1" s="1"/>
  <c r="AA277" i="1"/>
  <c r="AF277" i="1" s="1"/>
  <c r="X277" i="1"/>
  <c r="AC277" i="1" s="1"/>
  <c r="Y277" i="1"/>
  <c r="AD277" i="1" s="1"/>
  <c r="Z277" i="1"/>
  <c r="AE277" i="1" s="1"/>
  <c r="J278" i="1"/>
  <c r="K278" i="1" s="1"/>
  <c r="V278" i="1"/>
  <c r="W278" i="1" s="1"/>
  <c r="C279" i="1"/>
  <c r="D279" i="1"/>
  <c r="E279" i="1"/>
  <c r="F279" i="1" s="1"/>
  <c r="I279" i="1" s="1"/>
  <c r="B280" i="1"/>
  <c r="A277" i="4"/>
  <c r="B276" i="4"/>
  <c r="AB278" i="1" l="1"/>
  <c r="AG278" i="1" s="1"/>
  <c r="AA278" i="1"/>
  <c r="AF278" i="1" s="1"/>
  <c r="Y278" i="1"/>
  <c r="AD278" i="1" s="1"/>
  <c r="Z278" i="1"/>
  <c r="AE278" i="1" s="1"/>
  <c r="X278" i="1"/>
  <c r="AC278" i="1" s="1"/>
  <c r="P278" i="1"/>
  <c r="U278" i="1" s="1"/>
  <c r="O278" i="1"/>
  <c r="T278" i="1" s="1"/>
  <c r="L278" i="1"/>
  <c r="Q278" i="1" s="1"/>
  <c r="M278" i="1"/>
  <c r="R278" i="1" s="1"/>
  <c r="N278" i="1"/>
  <c r="S278" i="1" s="1"/>
  <c r="G275" i="4"/>
  <c r="E275" i="4"/>
  <c r="C275" i="4"/>
  <c r="D275" i="4"/>
  <c r="F275" i="4"/>
  <c r="J279" i="1"/>
  <c r="K279" i="1" s="1"/>
  <c r="V279" i="1"/>
  <c r="W279" i="1" s="1"/>
  <c r="D280" i="1"/>
  <c r="E280" i="1"/>
  <c r="F280" i="1" s="1"/>
  <c r="I280" i="1" s="1"/>
  <c r="B281" i="1"/>
  <c r="C280" i="1"/>
  <c r="G276" i="4"/>
  <c r="A278" i="4"/>
  <c r="B277" i="4"/>
  <c r="P279" i="1" l="1"/>
  <c r="U279" i="1" s="1"/>
  <c r="O279" i="1"/>
  <c r="T279" i="1" s="1"/>
  <c r="L279" i="1"/>
  <c r="Q279" i="1" s="1"/>
  <c r="M279" i="1"/>
  <c r="R279" i="1" s="1"/>
  <c r="N279" i="1"/>
  <c r="S279" i="1" s="1"/>
  <c r="AB279" i="1"/>
  <c r="AG279" i="1" s="1"/>
  <c r="AA279" i="1"/>
  <c r="AF279" i="1" s="1"/>
  <c r="Z279" i="1"/>
  <c r="AE279" i="1" s="1"/>
  <c r="X279" i="1"/>
  <c r="AC279" i="1" s="1"/>
  <c r="Y279" i="1"/>
  <c r="AD279" i="1" s="1"/>
  <c r="D277" i="4" s="1"/>
  <c r="C276" i="4"/>
  <c r="F276" i="4"/>
  <c r="E276" i="4"/>
  <c r="D276" i="4"/>
  <c r="V280" i="1"/>
  <c r="W280" i="1" s="1"/>
  <c r="J280" i="1"/>
  <c r="K280" i="1" s="1"/>
  <c r="F277" i="4"/>
  <c r="C277" i="4"/>
  <c r="C281" i="1"/>
  <c r="D281" i="1"/>
  <c r="E281" i="1"/>
  <c r="F281" i="1" s="1"/>
  <c r="I281" i="1" s="1"/>
  <c r="B282" i="1"/>
  <c r="A279" i="4"/>
  <c r="G277" i="4"/>
  <c r="B278" i="4"/>
  <c r="E277" i="4" l="1"/>
  <c r="AB280" i="1"/>
  <c r="AG280" i="1" s="1"/>
  <c r="AA280" i="1"/>
  <c r="AF280" i="1" s="1"/>
  <c r="X280" i="1"/>
  <c r="AC280" i="1" s="1"/>
  <c r="Y280" i="1"/>
  <c r="AD280" i="1" s="1"/>
  <c r="Z280" i="1"/>
  <c r="AE280" i="1" s="1"/>
  <c r="P280" i="1"/>
  <c r="U280" i="1" s="1"/>
  <c r="O280" i="1"/>
  <c r="T280" i="1" s="1"/>
  <c r="L280" i="1"/>
  <c r="Q280" i="1" s="1"/>
  <c r="M280" i="1"/>
  <c r="R280" i="1" s="1"/>
  <c r="N280" i="1"/>
  <c r="S280" i="1" s="1"/>
  <c r="C282" i="1"/>
  <c r="E282" i="1"/>
  <c r="F282" i="1" s="1"/>
  <c r="I282" i="1" s="1"/>
  <c r="B283" i="1"/>
  <c r="D282" i="1"/>
  <c r="J281" i="1"/>
  <c r="K281" i="1" s="1"/>
  <c r="V281" i="1"/>
  <c r="W281" i="1" s="1"/>
  <c r="G278" i="4"/>
  <c r="A280" i="4"/>
  <c r="B279" i="4"/>
  <c r="AB281" i="1" l="1"/>
  <c r="AG281" i="1" s="1"/>
  <c r="AA281" i="1"/>
  <c r="AF281" i="1" s="1"/>
  <c r="X281" i="1"/>
  <c r="AC281" i="1" s="1"/>
  <c r="Y281" i="1"/>
  <c r="AD281" i="1" s="1"/>
  <c r="Z281" i="1"/>
  <c r="AE281" i="1" s="1"/>
  <c r="P281" i="1"/>
  <c r="U281" i="1" s="1"/>
  <c r="O281" i="1"/>
  <c r="T281" i="1" s="1"/>
  <c r="L281" i="1"/>
  <c r="Q281" i="1" s="1"/>
  <c r="M281" i="1"/>
  <c r="R281" i="1" s="1"/>
  <c r="N281" i="1"/>
  <c r="S281" i="1" s="1"/>
  <c r="F278" i="4"/>
  <c r="C278" i="4"/>
  <c r="E278" i="4"/>
  <c r="D278" i="4"/>
  <c r="G279" i="4"/>
  <c r="C283" i="1"/>
  <c r="D283" i="1"/>
  <c r="E283" i="1"/>
  <c r="F283" i="1" s="1"/>
  <c r="I283" i="1" s="1"/>
  <c r="B284" i="1"/>
  <c r="V282" i="1"/>
  <c r="W282" i="1" s="1"/>
  <c r="J282" i="1"/>
  <c r="K282" i="1" s="1"/>
  <c r="F279" i="4"/>
  <c r="A281" i="4"/>
  <c r="B280" i="4"/>
  <c r="AB282" i="1" l="1"/>
  <c r="AG282" i="1" s="1"/>
  <c r="AA282" i="1"/>
  <c r="AF282" i="1" s="1"/>
  <c r="Y282" i="1"/>
  <c r="AD282" i="1" s="1"/>
  <c r="Z282" i="1"/>
  <c r="AE282" i="1" s="1"/>
  <c r="X282" i="1"/>
  <c r="AC282" i="1" s="1"/>
  <c r="P282" i="1"/>
  <c r="U282" i="1" s="1"/>
  <c r="O282" i="1"/>
  <c r="T282" i="1" s="1"/>
  <c r="L282" i="1"/>
  <c r="Q282" i="1" s="1"/>
  <c r="M282" i="1"/>
  <c r="R282" i="1" s="1"/>
  <c r="N282" i="1"/>
  <c r="S282" i="1" s="1"/>
  <c r="C279" i="4"/>
  <c r="E279" i="4"/>
  <c r="D279" i="4"/>
  <c r="C284" i="1"/>
  <c r="E284" i="1"/>
  <c r="F284" i="1" s="1"/>
  <c r="I284" i="1" s="1"/>
  <c r="D284" i="1"/>
  <c r="B285" i="1"/>
  <c r="J283" i="1"/>
  <c r="K283" i="1" s="1"/>
  <c r="V283" i="1"/>
  <c r="W283" i="1" s="1"/>
  <c r="C280" i="4"/>
  <c r="D280" i="4"/>
  <c r="F280" i="4"/>
  <c r="G280" i="4"/>
  <c r="A282" i="4"/>
  <c r="B281" i="4"/>
  <c r="E280" i="4" l="1"/>
  <c r="P283" i="1"/>
  <c r="U283" i="1" s="1"/>
  <c r="O283" i="1"/>
  <c r="T283" i="1" s="1"/>
  <c r="L283" i="1"/>
  <c r="Q283" i="1" s="1"/>
  <c r="M283" i="1"/>
  <c r="R283" i="1" s="1"/>
  <c r="N283" i="1"/>
  <c r="S283" i="1" s="1"/>
  <c r="AB283" i="1"/>
  <c r="AG283" i="1" s="1"/>
  <c r="AA283" i="1"/>
  <c r="AF283" i="1" s="1"/>
  <c r="Z283" i="1"/>
  <c r="AE283" i="1" s="1"/>
  <c r="Y283" i="1"/>
  <c r="AD283" i="1" s="1"/>
  <c r="X283" i="1"/>
  <c r="AC283" i="1" s="1"/>
  <c r="C285" i="1"/>
  <c r="D285" i="1"/>
  <c r="E285" i="1"/>
  <c r="F285" i="1" s="1"/>
  <c r="I285" i="1" s="1"/>
  <c r="B286" i="1"/>
  <c r="V284" i="1"/>
  <c r="W284" i="1" s="1"/>
  <c r="J284" i="1"/>
  <c r="K284" i="1" s="1"/>
  <c r="F281" i="4"/>
  <c r="E281" i="4"/>
  <c r="B282" i="4"/>
  <c r="A283" i="4"/>
  <c r="P284" i="1" l="1"/>
  <c r="U284" i="1" s="1"/>
  <c r="O284" i="1"/>
  <c r="T284" i="1" s="1"/>
  <c r="L284" i="1"/>
  <c r="Q284" i="1" s="1"/>
  <c r="M284" i="1"/>
  <c r="R284" i="1" s="1"/>
  <c r="N284" i="1"/>
  <c r="S284" i="1" s="1"/>
  <c r="AB284" i="1"/>
  <c r="AG284" i="1" s="1"/>
  <c r="AA284" i="1"/>
  <c r="AF284" i="1" s="1"/>
  <c r="X284" i="1"/>
  <c r="AC284" i="1" s="1"/>
  <c r="Y284" i="1"/>
  <c r="AD284" i="1" s="1"/>
  <c r="Z284" i="1"/>
  <c r="AE284" i="1" s="1"/>
  <c r="G281" i="4"/>
  <c r="C281" i="4"/>
  <c r="D281" i="4"/>
  <c r="V285" i="1"/>
  <c r="W285" i="1" s="1"/>
  <c r="J285" i="1"/>
  <c r="K285" i="1" s="1"/>
  <c r="G282" i="4"/>
  <c r="B287" i="1"/>
  <c r="C286" i="1"/>
  <c r="E286" i="1"/>
  <c r="F286" i="1" s="1"/>
  <c r="I286" i="1" s="1"/>
  <c r="D286" i="1"/>
  <c r="B283" i="4"/>
  <c r="A284" i="4"/>
  <c r="P285" i="1" l="1"/>
  <c r="U285" i="1" s="1"/>
  <c r="O285" i="1"/>
  <c r="T285" i="1" s="1"/>
  <c r="L285" i="1"/>
  <c r="Q285" i="1" s="1"/>
  <c r="M285" i="1"/>
  <c r="R285" i="1" s="1"/>
  <c r="N285" i="1"/>
  <c r="S285" i="1" s="1"/>
  <c r="AB285" i="1"/>
  <c r="AG285" i="1" s="1"/>
  <c r="AA285" i="1"/>
  <c r="AF285" i="1" s="1"/>
  <c r="F283" i="4" s="1"/>
  <c r="X285" i="1"/>
  <c r="AC285" i="1" s="1"/>
  <c r="Y285" i="1"/>
  <c r="AD285" i="1" s="1"/>
  <c r="Z285" i="1"/>
  <c r="AE285" i="1" s="1"/>
  <c r="C282" i="4"/>
  <c r="F282" i="4"/>
  <c r="E282" i="4"/>
  <c r="D282" i="4"/>
  <c r="J286" i="1"/>
  <c r="K286" i="1" s="1"/>
  <c r="V286" i="1"/>
  <c r="W286" i="1" s="1"/>
  <c r="C287" i="1"/>
  <c r="D287" i="1"/>
  <c r="B288" i="1"/>
  <c r="E287" i="1"/>
  <c r="F287" i="1" s="1"/>
  <c r="I287" i="1" s="1"/>
  <c r="A285" i="4"/>
  <c r="B284" i="4"/>
  <c r="D283" i="4"/>
  <c r="G283" i="4"/>
  <c r="E283" i="4"/>
  <c r="C283" i="4"/>
  <c r="P286" i="1" l="1"/>
  <c r="U286" i="1" s="1"/>
  <c r="O286" i="1"/>
  <c r="T286" i="1" s="1"/>
  <c r="L286" i="1"/>
  <c r="Q286" i="1" s="1"/>
  <c r="M286" i="1"/>
  <c r="R286" i="1" s="1"/>
  <c r="N286" i="1"/>
  <c r="S286" i="1" s="1"/>
  <c r="AB286" i="1"/>
  <c r="AG286" i="1" s="1"/>
  <c r="AA286" i="1"/>
  <c r="AF286" i="1" s="1"/>
  <c r="Y286" i="1"/>
  <c r="AD286" i="1" s="1"/>
  <c r="Z286" i="1"/>
  <c r="AE286" i="1" s="1"/>
  <c r="X286" i="1"/>
  <c r="AC286" i="1" s="1"/>
  <c r="J287" i="1"/>
  <c r="K287" i="1" s="1"/>
  <c r="V287" i="1"/>
  <c r="W287" i="1" s="1"/>
  <c r="B289" i="1"/>
  <c r="C288" i="1"/>
  <c r="D288" i="1"/>
  <c r="E288" i="1"/>
  <c r="F288" i="1" s="1"/>
  <c r="I288" i="1" s="1"/>
  <c r="A286" i="4"/>
  <c r="B285" i="4"/>
  <c r="E284" i="4"/>
  <c r="D284" i="4"/>
  <c r="F284" i="4"/>
  <c r="G284" i="4"/>
  <c r="C284" i="4"/>
  <c r="AB287" i="1" l="1"/>
  <c r="AG287" i="1" s="1"/>
  <c r="AA287" i="1"/>
  <c r="AF287" i="1" s="1"/>
  <c r="Z287" i="1"/>
  <c r="AE287" i="1" s="1"/>
  <c r="X287" i="1"/>
  <c r="AC287" i="1" s="1"/>
  <c r="Y287" i="1"/>
  <c r="AD287" i="1" s="1"/>
  <c r="P287" i="1"/>
  <c r="U287" i="1" s="1"/>
  <c r="G285" i="4" s="1"/>
  <c r="O287" i="1"/>
  <c r="T287" i="1" s="1"/>
  <c r="L287" i="1"/>
  <c r="Q287" i="1" s="1"/>
  <c r="M287" i="1"/>
  <c r="R287" i="1" s="1"/>
  <c r="N287" i="1"/>
  <c r="S287" i="1" s="1"/>
  <c r="V288" i="1"/>
  <c r="W288" i="1" s="1"/>
  <c r="J288" i="1"/>
  <c r="K288" i="1" s="1"/>
  <c r="C289" i="1"/>
  <c r="D289" i="1"/>
  <c r="E289" i="1"/>
  <c r="F289" i="1" s="1"/>
  <c r="I289" i="1" s="1"/>
  <c r="B290" i="1"/>
  <c r="A287" i="4"/>
  <c r="B286" i="4"/>
  <c r="P288" i="1" l="1"/>
  <c r="U288" i="1" s="1"/>
  <c r="O288" i="1"/>
  <c r="T288" i="1" s="1"/>
  <c r="L288" i="1"/>
  <c r="Q288" i="1" s="1"/>
  <c r="M288" i="1"/>
  <c r="R288" i="1" s="1"/>
  <c r="N288" i="1"/>
  <c r="S288" i="1" s="1"/>
  <c r="AB288" i="1"/>
  <c r="AG288" i="1" s="1"/>
  <c r="AA288" i="1"/>
  <c r="AF288" i="1" s="1"/>
  <c r="X288" i="1"/>
  <c r="AC288" i="1" s="1"/>
  <c r="C286" i="4" s="1"/>
  <c r="Y288" i="1"/>
  <c r="AD288" i="1" s="1"/>
  <c r="Z288" i="1"/>
  <c r="AE288" i="1" s="1"/>
  <c r="F285" i="4"/>
  <c r="E285" i="4"/>
  <c r="C285" i="4"/>
  <c r="D285" i="4"/>
  <c r="V289" i="1"/>
  <c r="W289" i="1" s="1"/>
  <c r="J289" i="1"/>
  <c r="K289" i="1" s="1"/>
  <c r="B291" i="1"/>
  <c r="C290" i="1"/>
  <c r="D290" i="1"/>
  <c r="E290" i="1"/>
  <c r="F290" i="1" s="1"/>
  <c r="I290" i="1" s="1"/>
  <c r="E286" i="4"/>
  <c r="F286" i="4"/>
  <c r="D286" i="4"/>
  <c r="G286" i="4"/>
  <c r="A288" i="4"/>
  <c r="B287" i="4"/>
  <c r="AB289" i="1" l="1"/>
  <c r="AG289" i="1" s="1"/>
  <c r="AA289" i="1"/>
  <c r="AF289" i="1" s="1"/>
  <c r="X289" i="1"/>
  <c r="AC289" i="1" s="1"/>
  <c r="Y289" i="1"/>
  <c r="AD289" i="1" s="1"/>
  <c r="Z289" i="1"/>
  <c r="AE289" i="1" s="1"/>
  <c r="P289" i="1"/>
  <c r="U289" i="1" s="1"/>
  <c r="O289" i="1"/>
  <c r="T289" i="1" s="1"/>
  <c r="L289" i="1"/>
  <c r="Q289" i="1" s="1"/>
  <c r="M289" i="1"/>
  <c r="R289" i="1" s="1"/>
  <c r="N289" i="1"/>
  <c r="S289" i="1" s="1"/>
  <c r="D291" i="1"/>
  <c r="E291" i="1"/>
  <c r="F291" i="1" s="1"/>
  <c r="I291" i="1" s="1"/>
  <c r="B292" i="1"/>
  <c r="C291" i="1"/>
  <c r="V290" i="1"/>
  <c r="W290" i="1" s="1"/>
  <c r="J290" i="1"/>
  <c r="K290" i="1" s="1"/>
  <c r="B288" i="4"/>
  <c r="A289" i="4"/>
  <c r="P290" i="1" l="1"/>
  <c r="U290" i="1" s="1"/>
  <c r="O290" i="1"/>
  <c r="T290" i="1" s="1"/>
  <c r="L290" i="1"/>
  <c r="Q290" i="1" s="1"/>
  <c r="M290" i="1"/>
  <c r="R290" i="1" s="1"/>
  <c r="N290" i="1"/>
  <c r="S290" i="1" s="1"/>
  <c r="AB290" i="1"/>
  <c r="AG290" i="1" s="1"/>
  <c r="AA290" i="1"/>
  <c r="AF290" i="1" s="1"/>
  <c r="Y290" i="1"/>
  <c r="AD290" i="1" s="1"/>
  <c r="Z290" i="1"/>
  <c r="AE290" i="1" s="1"/>
  <c r="X290" i="1"/>
  <c r="AC290" i="1" s="1"/>
  <c r="G287" i="4"/>
  <c r="C287" i="4"/>
  <c r="D287" i="4"/>
  <c r="E287" i="4"/>
  <c r="F287" i="4"/>
  <c r="G288" i="4"/>
  <c r="C292" i="1"/>
  <c r="B293" i="1"/>
  <c r="D292" i="1"/>
  <c r="E292" i="1"/>
  <c r="F292" i="1" s="1"/>
  <c r="I292" i="1" s="1"/>
  <c r="V291" i="1"/>
  <c r="W291" i="1" s="1"/>
  <c r="J291" i="1"/>
  <c r="K291" i="1" s="1"/>
  <c r="A290" i="4"/>
  <c r="B289" i="4"/>
  <c r="P291" i="1" l="1"/>
  <c r="U291" i="1" s="1"/>
  <c r="O291" i="1"/>
  <c r="T291" i="1" s="1"/>
  <c r="L291" i="1"/>
  <c r="Q291" i="1" s="1"/>
  <c r="M291" i="1"/>
  <c r="R291" i="1" s="1"/>
  <c r="N291" i="1"/>
  <c r="S291" i="1" s="1"/>
  <c r="AB291" i="1"/>
  <c r="AG291" i="1" s="1"/>
  <c r="AA291" i="1"/>
  <c r="AF291" i="1" s="1"/>
  <c r="Z291" i="1"/>
  <c r="AE291" i="1" s="1"/>
  <c r="X291" i="1"/>
  <c r="AC291" i="1" s="1"/>
  <c r="Y291" i="1"/>
  <c r="AD291" i="1" s="1"/>
  <c r="D288" i="4"/>
  <c r="C288" i="4"/>
  <c r="E288" i="4"/>
  <c r="F288" i="4"/>
  <c r="D293" i="1"/>
  <c r="C293" i="1"/>
  <c r="B294" i="1"/>
  <c r="E293" i="1"/>
  <c r="F293" i="1" s="1"/>
  <c r="I293" i="1" s="1"/>
  <c r="F289" i="4"/>
  <c r="C289" i="4"/>
  <c r="D289" i="4"/>
  <c r="V292" i="1"/>
  <c r="W292" i="1" s="1"/>
  <c r="J292" i="1"/>
  <c r="K292" i="1" s="1"/>
  <c r="G289" i="4"/>
  <c r="A291" i="4"/>
  <c r="B290" i="4"/>
  <c r="E289" i="4" l="1"/>
  <c r="P292" i="1"/>
  <c r="U292" i="1" s="1"/>
  <c r="O292" i="1"/>
  <c r="T292" i="1" s="1"/>
  <c r="L292" i="1"/>
  <c r="Q292" i="1" s="1"/>
  <c r="M292" i="1"/>
  <c r="R292" i="1" s="1"/>
  <c r="N292" i="1"/>
  <c r="S292" i="1" s="1"/>
  <c r="AB292" i="1"/>
  <c r="AG292" i="1" s="1"/>
  <c r="AA292" i="1"/>
  <c r="AF292" i="1" s="1"/>
  <c r="X292" i="1"/>
  <c r="AC292" i="1" s="1"/>
  <c r="Y292" i="1"/>
  <c r="AD292" i="1" s="1"/>
  <c r="Z292" i="1"/>
  <c r="AE292" i="1" s="1"/>
  <c r="C294" i="1"/>
  <c r="B295" i="1"/>
  <c r="D294" i="1"/>
  <c r="E294" i="1"/>
  <c r="F294" i="1" s="1"/>
  <c r="I294" i="1" s="1"/>
  <c r="V293" i="1"/>
  <c r="W293" i="1" s="1"/>
  <c r="J293" i="1"/>
  <c r="K293" i="1" s="1"/>
  <c r="B291" i="4"/>
  <c r="G290" i="4"/>
  <c r="F290" i="4"/>
  <c r="C290" i="4"/>
  <c r="D290" i="4"/>
  <c r="A292" i="4"/>
  <c r="P293" i="1" l="1"/>
  <c r="U293" i="1" s="1"/>
  <c r="O293" i="1"/>
  <c r="T293" i="1" s="1"/>
  <c r="L293" i="1"/>
  <c r="Q293" i="1" s="1"/>
  <c r="M293" i="1"/>
  <c r="R293" i="1" s="1"/>
  <c r="N293" i="1"/>
  <c r="S293" i="1" s="1"/>
  <c r="AB293" i="1"/>
  <c r="AG293" i="1" s="1"/>
  <c r="AA293" i="1"/>
  <c r="AF293" i="1" s="1"/>
  <c r="X293" i="1"/>
  <c r="AC293" i="1" s="1"/>
  <c r="Y293" i="1"/>
  <c r="AD293" i="1" s="1"/>
  <c r="Z293" i="1"/>
  <c r="AE293" i="1" s="1"/>
  <c r="E290" i="4"/>
  <c r="F291" i="4"/>
  <c r="D291" i="4"/>
  <c r="E291" i="4"/>
  <c r="V294" i="1"/>
  <c r="W294" i="1" s="1"/>
  <c r="J294" i="1"/>
  <c r="K294" i="1" s="1"/>
  <c r="D295" i="1"/>
  <c r="C295" i="1"/>
  <c r="B296" i="1"/>
  <c r="E295" i="1"/>
  <c r="F295" i="1" s="1"/>
  <c r="I295" i="1" s="1"/>
  <c r="A293" i="4"/>
  <c r="B292" i="4"/>
  <c r="G291" i="4"/>
  <c r="AB294" i="1" l="1"/>
  <c r="AG294" i="1" s="1"/>
  <c r="AA294" i="1"/>
  <c r="AF294" i="1" s="1"/>
  <c r="Y294" i="1"/>
  <c r="AD294" i="1" s="1"/>
  <c r="Z294" i="1"/>
  <c r="AE294" i="1" s="1"/>
  <c r="X294" i="1"/>
  <c r="AC294" i="1" s="1"/>
  <c r="P294" i="1"/>
  <c r="U294" i="1" s="1"/>
  <c r="O294" i="1"/>
  <c r="T294" i="1" s="1"/>
  <c r="L294" i="1"/>
  <c r="Q294" i="1" s="1"/>
  <c r="M294" i="1"/>
  <c r="R294" i="1" s="1"/>
  <c r="N294" i="1"/>
  <c r="S294" i="1" s="1"/>
  <c r="C291" i="4"/>
  <c r="V295" i="1"/>
  <c r="W295" i="1" s="1"/>
  <c r="J295" i="1"/>
  <c r="K295" i="1" s="1"/>
  <c r="C296" i="1"/>
  <c r="B297" i="1"/>
  <c r="E296" i="1"/>
  <c r="F296" i="1" s="1"/>
  <c r="I296" i="1" s="1"/>
  <c r="D296" i="1"/>
  <c r="D292" i="4"/>
  <c r="F292" i="4"/>
  <c r="E292" i="4"/>
  <c r="C292" i="4"/>
  <c r="G292" i="4"/>
  <c r="A294" i="4"/>
  <c r="B293" i="4"/>
  <c r="AB295" i="1" l="1"/>
  <c r="AG295" i="1" s="1"/>
  <c r="AA295" i="1"/>
  <c r="AF295" i="1" s="1"/>
  <c r="Z295" i="1"/>
  <c r="AE295" i="1" s="1"/>
  <c r="X295" i="1"/>
  <c r="AC295" i="1" s="1"/>
  <c r="Y295" i="1"/>
  <c r="AD295" i="1" s="1"/>
  <c r="P295" i="1"/>
  <c r="U295" i="1" s="1"/>
  <c r="O295" i="1"/>
  <c r="T295" i="1" s="1"/>
  <c r="L295" i="1"/>
  <c r="Q295" i="1" s="1"/>
  <c r="M295" i="1"/>
  <c r="R295" i="1" s="1"/>
  <c r="N295" i="1"/>
  <c r="S295" i="1" s="1"/>
  <c r="D297" i="1"/>
  <c r="E297" i="1"/>
  <c r="F297" i="1" s="1"/>
  <c r="I297" i="1" s="1"/>
  <c r="B298" i="1"/>
  <c r="C297" i="1"/>
  <c r="V296" i="1"/>
  <c r="W296" i="1" s="1"/>
  <c r="J296" i="1"/>
  <c r="K296" i="1" s="1"/>
  <c r="A295" i="4"/>
  <c r="B294" i="4"/>
  <c r="AB296" i="1" l="1"/>
  <c r="AG296" i="1" s="1"/>
  <c r="AA296" i="1"/>
  <c r="AF296" i="1" s="1"/>
  <c r="X296" i="1"/>
  <c r="AC296" i="1" s="1"/>
  <c r="Y296" i="1"/>
  <c r="AD296" i="1" s="1"/>
  <c r="Z296" i="1"/>
  <c r="AE296" i="1" s="1"/>
  <c r="P296" i="1"/>
  <c r="U296" i="1" s="1"/>
  <c r="O296" i="1"/>
  <c r="T296" i="1" s="1"/>
  <c r="L296" i="1"/>
  <c r="Q296" i="1" s="1"/>
  <c r="M296" i="1"/>
  <c r="R296" i="1" s="1"/>
  <c r="N296" i="1"/>
  <c r="S296" i="1" s="1"/>
  <c r="G293" i="4"/>
  <c r="F293" i="4"/>
  <c r="E293" i="4"/>
  <c r="C293" i="4"/>
  <c r="D293" i="4"/>
  <c r="C298" i="1"/>
  <c r="B299" i="1"/>
  <c r="E298" i="1"/>
  <c r="F298" i="1" s="1"/>
  <c r="I298" i="1" s="1"/>
  <c r="D298" i="1"/>
  <c r="J297" i="1"/>
  <c r="K297" i="1" s="1"/>
  <c r="V297" i="1"/>
  <c r="W297" i="1" s="1"/>
  <c r="G294" i="4"/>
  <c r="A296" i="4"/>
  <c r="B295" i="4"/>
  <c r="P297" i="1" l="1"/>
  <c r="U297" i="1" s="1"/>
  <c r="O297" i="1"/>
  <c r="T297" i="1" s="1"/>
  <c r="L297" i="1"/>
  <c r="Q297" i="1" s="1"/>
  <c r="M297" i="1"/>
  <c r="R297" i="1" s="1"/>
  <c r="N297" i="1"/>
  <c r="S297" i="1" s="1"/>
  <c r="AB297" i="1"/>
  <c r="AG297" i="1" s="1"/>
  <c r="AA297" i="1"/>
  <c r="AF297" i="1" s="1"/>
  <c r="X297" i="1"/>
  <c r="AC297" i="1" s="1"/>
  <c r="C295" i="4" s="1"/>
  <c r="Y297" i="1"/>
  <c r="AD297" i="1" s="1"/>
  <c r="Z297" i="1"/>
  <c r="AE297" i="1" s="1"/>
  <c r="D294" i="4"/>
  <c r="F294" i="4"/>
  <c r="E294" i="4"/>
  <c r="C294" i="4"/>
  <c r="J298" i="1"/>
  <c r="K298" i="1" s="1"/>
  <c r="V298" i="1"/>
  <c r="W298" i="1" s="1"/>
  <c r="F295" i="4"/>
  <c r="D295" i="4"/>
  <c r="E295" i="4"/>
  <c r="D299" i="1"/>
  <c r="E299" i="1"/>
  <c r="F299" i="1" s="1"/>
  <c r="I299" i="1" s="1"/>
  <c r="B300" i="1"/>
  <c r="C299" i="1"/>
  <c r="G295" i="4"/>
  <c r="A297" i="4"/>
  <c r="B296" i="4"/>
  <c r="P298" i="1" l="1"/>
  <c r="U298" i="1" s="1"/>
  <c r="O298" i="1"/>
  <c r="T298" i="1" s="1"/>
  <c r="L298" i="1"/>
  <c r="Q298" i="1" s="1"/>
  <c r="M298" i="1"/>
  <c r="R298" i="1" s="1"/>
  <c r="N298" i="1"/>
  <c r="S298" i="1" s="1"/>
  <c r="AB298" i="1"/>
  <c r="AG298" i="1" s="1"/>
  <c r="AA298" i="1"/>
  <c r="AF298" i="1" s="1"/>
  <c r="Y298" i="1"/>
  <c r="AD298" i="1" s="1"/>
  <c r="Z298" i="1"/>
  <c r="AE298" i="1" s="1"/>
  <c r="X298" i="1"/>
  <c r="AC298" i="1" s="1"/>
  <c r="V299" i="1"/>
  <c r="W299" i="1" s="1"/>
  <c r="J299" i="1"/>
  <c r="K299" i="1" s="1"/>
  <c r="D300" i="1"/>
  <c r="E300" i="1"/>
  <c r="F300" i="1" s="1"/>
  <c r="I300" i="1" s="1"/>
  <c r="C300" i="1"/>
  <c r="B301" i="1"/>
  <c r="A298" i="4"/>
  <c r="B297" i="4"/>
  <c r="P299" i="1" l="1"/>
  <c r="U299" i="1" s="1"/>
  <c r="O299" i="1"/>
  <c r="T299" i="1" s="1"/>
  <c r="L299" i="1"/>
  <c r="Q299" i="1" s="1"/>
  <c r="M299" i="1"/>
  <c r="R299" i="1" s="1"/>
  <c r="N299" i="1"/>
  <c r="S299" i="1" s="1"/>
  <c r="AB299" i="1"/>
  <c r="AG299" i="1" s="1"/>
  <c r="AA299" i="1"/>
  <c r="AF299" i="1" s="1"/>
  <c r="Z299" i="1"/>
  <c r="AE299" i="1" s="1"/>
  <c r="X299" i="1"/>
  <c r="AC299" i="1" s="1"/>
  <c r="Y299" i="1"/>
  <c r="AD299" i="1" s="1"/>
  <c r="G296" i="4"/>
  <c r="E296" i="4"/>
  <c r="C296" i="4"/>
  <c r="D296" i="4"/>
  <c r="F296" i="4"/>
  <c r="G297" i="4"/>
  <c r="D301" i="1"/>
  <c r="C301" i="1"/>
  <c r="B302" i="1"/>
  <c r="E301" i="1"/>
  <c r="F301" i="1" s="1"/>
  <c r="I301" i="1" s="1"/>
  <c r="V300" i="1"/>
  <c r="W300" i="1" s="1"/>
  <c r="J300" i="1"/>
  <c r="K300" i="1" s="1"/>
  <c r="A299" i="4"/>
  <c r="B298" i="4"/>
  <c r="P300" i="1" l="1"/>
  <c r="U300" i="1" s="1"/>
  <c r="O300" i="1"/>
  <c r="T300" i="1" s="1"/>
  <c r="L300" i="1"/>
  <c r="Q300" i="1" s="1"/>
  <c r="M300" i="1"/>
  <c r="R300" i="1" s="1"/>
  <c r="N300" i="1"/>
  <c r="S300" i="1" s="1"/>
  <c r="AB300" i="1"/>
  <c r="AG300" i="1" s="1"/>
  <c r="AA300" i="1"/>
  <c r="AF300" i="1" s="1"/>
  <c r="X300" i="1"/>
  <c r="AC300" i="1" s="1"/>
  <c r="Y300" i="1"/>
  <c r="AD300" i="1" s="1"/>
  <c r="Z300" i="1"/>
  <c r="AE300" i="1" s="1"/>
  <c r="E297" i="4"/>
  <c r="D297" i="4"/>
  <c r="C297" i="4"/>
  <c r="F297" i="4"/>
  <c r="C298" i="4"/>
  <c r="D298" i="4"/>
  <c r="E298" i="4"/>
  <c r="F298" i="4"/>
  <c r="J301" i="1"/>
  <c r="K301" i="1" s="1"/>
  <c r="V301" i="1"/>
  <c r="W301" i="1" s="1"/>
  <c r="C302" i="1"/>
  <c r="B303" i="1"/>
  <c r="E302" i="1"/>
  <c r="F302" i="1" s="1"/>
  <c r="I302" i="1" s="1"/>
  <c r="D302" i="1"/>
  <c r="G298" i="4"/>
  <c r="A300" i="4"/>
  <c r="B299" i="4"/>
  <c r="P301" i="1" l="1"/>
  <c r="U301" i="1" s="1"/>
  <c r="O301" i="1"/>
  <c r="T301" i="1" s="1"/>
  <c r="L301" i="1"/>
  <c r="Q301" i="1" s="1"/>
  <c r="M301" i="1"/>
  <c r="R301" i="1" s="1"/>
  <c r="N301" i="1"/>
  <c r="S301" i="1" s="1"/>
  <c r="AB301" i="1"/>
  <c r="AG301" i="1" s="1"/>
  <c r="AA301" i="1"/>
  <c r="AF301" i="1" s="1"/>
  <c r="X301" i="1"/>
  <c r="AC301" i="1" s="1"/>
  <c r="Y301" i="1"/>
  <c r="AD301" i="1" s="1"/>
  <c r="Z301" i="1"/>
  <c r="AE301" i="1" s="1"/>
  <c r="V302" i="1"/>
  <c r="W302" i="1" s="1"/>
  <c r="J302" i="1"/>
  <c r="K302" i="1" s="1"/>
  <c r="D303" i="1"/>
  <c r="E303" i="1"/>
  <c r="F303" i="1" s="1"/>
  <c r="I303" i="1" s="1"/>
  <c r="C303" i="1"/>
  <c r="B304" i="1"/>
  <c r="B300" i="4"/>
  <c r="A301" i="4"/>
  <c r="P302" i="1" l="1"/>
  <c r="U302" i="1" s="1"/>
  <c r="O302" i="1"/>
  <c r="T302" i="1" s="1"/>
  <c r="L302" i="1"/>
  <c r="Q302" i="1" s="1"/>
  <c r="M302" i="1"/>
  <c r="R302" i="1" s="1"/>
  <c r="N302" i="1"/>
  <c r="S302" i="1" s="1"/>
  <c r="AB302" i="1"/>
  <c r="AG302" i="1" s="1"/>
  <c r="AA302" i="1"/>
  <c r="AF302" i="1" s="1"/>
  <c r="Y302" i="1"/>
  <c r="AD302" i="1" s="1"/>
  <c r="Z302" i="1"/>
  <c r="AE302" i="1" s="1"/>
  <c r="X302" i="1"/>
  <c r="AC302" i="1" s="1"/>
  <c r="D299" i="4"/>
  <c r="C299" i="4"/>
  <c r="F299" i="4"/>
  <c r="E299" i="4"/>
  <c r="G299" i="4"/>
  <c r="G300" i="4"/>
  <c r="C304" i="1"/>
  <c r="B305" i="1"/>
  <c r="D304" i="1"/>
  <c r="E304" i="1"/>
  <c r="F304" i="1" s="1"/>
  <c r="I304" i="1" s="1"/>
  <c r="V303" i="1"/>
  <c r="W303" i="1" s="1"/>
  <c r="J303" i="1"/>
  <c r="K303" i="1" s="1"/>
  <c r="A302" i="4"/>
  <c r="B301" i="4"/>
  <c r="P303" i="1" l="1"/>
  <c r="U303" i="1" s="1"/>
  <c r="O303" i="1"/>
  <c r="T303" i="1" s="1"/>
  <c r="L303" i="1"/>
  <c r="Q303" i="1" s="1"/>
  <c r="M303" i="1"/>
  <c r="R303" i="1" s="1"/>
  <c r="N303" i="1"/>
  <c r="S303" i="1" s="1"/>
  <c r="AB303" i="1"/>
  <c r="AG303" i="1" s="1"/>
  <c r="AA303" i="1"/>
  <c r="AF303" i="1" s="1"/>
  <c r="Z303" i="1"/>
  <c r="AE303" i="1" s="1"/>
  <c r="X303" i="1"/>
  <c r="AC303" i="1" s="1"/>
  <c r="Y303" i="1"/>
  <c r="AD303" i="1" s="1"/>
  <c r="D300" i="4"/>
  <c r="C300" i="4"/>
  <c r="E300" i="4"/>
  <c r="F300" i="4"/>
  <c r="D305" i="1"/>
  <c r="C305" i="1"/>
  <c r="E305" i="1"/>
  <c r="F305" i="1" s="1"/>
  <c r="I305" i="1" s="1"/>
  <c r="B306" i="1"/>
  <c r="V304" i="1"/>
  <c r="W304" i="1" s="1"/>
  <c r="J304" i="1"/>
  <c r="K304" i="1" s="1"/>
  <c r="F301" i="4"/>
  <c r="C301" i="4"/>
  <c r="B302" i="4"/>
  <c r="G301" i="4"/>
  <c r="E301" i="4"/>
  <c r="D301" i="4"/>
  <c r="A303" i="4"/>
  <c r="P304" i="1" l="1"/>
  <c r="U304" i="1" s="1"/>
  <c r="O304" i="1"/>
  <c r="T304" i="1" s="1"/>
  <c r="L304" i="1"/>
  <c r="Q304" i="1" s="1"/>
  <c r="M304" i="1"/>
  <c r="R304" i="1" s="1"/>
  <c r="N304" i="1"/>
  <c r="S304" i="1" s="1"/>
  <c r="AB304" i="1"/>
  <c r="AG304" i="1" s="1"/>
  <c r="AA304" i="1"/>
  <c r="AF304" i="1" s="1"/>
  <c r="X304" i="1"/>
  <c r="AC304" i="1" s="1"/>
  <c r="Z304" i="1"/>
  <c r="AE304" i="1" s="1"/>
  <c r="Y304" i="1"/>
  <c r="AD304" i="1" s="1"/>
  <c r="B307" i="1"/>
  <c r="D306" i="1"/>
  <c r="C306" i="1"/>
  <c r="E306" i="1"/>
  <c r="F306" i="1" s="1"/>
  <c r="I306" i="1" s="1"/>
  <c r="V305" i="1"/>
  <c r="W305" i="1" s="1"/>
  <c r="J305" i="1"/>
  <c r="K305" i="1" s="1"/>
  <c r="B303" i="4"/>
  <c r="A304" i="4"/>
  <c r="P305" i="1" l="1"/>
  <c r="U305" i="1" s="1"/>
  <c r="O305" i="1"/>
  <c r="T305" i="1" s="1"/>
  <c r="L305" i="1"/>
  <c r="Q305" i="1" s="1"/>
  <c r="M305" i="1"/>
  <c r="R305" i="1" s="1"/>
  <c r="N305" i="1"/>
  <c r="S305" i="1" s="1"/>
  <c r="AB305" i="1"/>
  <c r="AG305" i="1" s="1"/>
  <c r="AA305" i="1"/>
  <c r="AF305" i="1" s="1"/>
  <c r="X305" i="1"/>
  <c r="AC305" i="1" s="1"/>
  <c r="Y305" i="1"/>
  <c r="AD305" i="1" s="1"/>
  <c r="Z305" i="1"/>
  <c r="AE305" i="1" s="1"/>
  <c r="G302" i="4"/>
  <c r="E302" i="4"/>
  <c r="F302" i="4"/>
  <c r="D302" i="4"/>
  <c r="C302" i="4"/>
  <c r="J306" i="1"/>
  <c r="K306" i="1" s="1"/>
  <c r="V306" i="1"/>
  <c r="W306" i="1" s="1"/>
  <c r="G303" i="4"/>
  <c r="D307" i="1"/>
  <c r="E307" i="1"/>
  <c r="F307" i="1" s="1"/>
  <c r="I307" i="1" s="1"/>
  <c r="B308" i="1"/>
  <c r="C307" i="1"/>
  <c r="A305" i="4"/>
  <c r="B304" i="4"/>
  <c r="P306" i="1" l="1"/>
  <c r="U306" i="1" s="1"/>
  <c r="O306" i="1"/>
  <c r="T306" i="1" s="1"/>
  <c r="L306" i="1"/>
  <c r="Q306" i="1" s="1"/>
  <c r="M306" i="1"/>
  <c r="R306" i="1" s="1"/>
  <c r="N306" i="1"/>
  <c r="S306" i="1" s="1"/>
  <c r="AB306" i="1"/>
  <c r="AG306" i="1" s="1"/>
  <c r="AA306" i="1"/>
  <c r="AF306" i="1" s="1"/>
  <c r="Y306" i="1"/>
  <c r="AD306" i="1" s="1"/>
  <c r="D304" i="4" s="1"/>
  <c r="Z306" i="1"/>
  <c r="AE306" i="1" s="1"/>
  <c r="X306" i="1"/>
  <c r="AC306" i="1" s="1"/>
  <c r="E303" i="4"/>
  <c r="D303" i="4"/>
  <c r="F303" i="4"/>
  <c r="C303" i="4"/>
  <c r="J307" i="1"/>
  <c r="K307" i="1" s="1"/>
  <c r="V307" i="1"/>
  <c r="W307" i="1" s="1"/>
  <c r="C304" i="4"/>
  <c r="E304" i="4"/>
  <c r="F304" i="4"/>
  <c r="D308" i="1"/>
  <c r="B309" i="1"/>
  <c r="C308" i="1"/>
  <c r="E308" i="1"/>
  <c r="F308" i="1" s="1"/>
  <c r="I308" i="1" s="1"/>
  <c r="G304" i="4"/>
  <c r="A306" i="4"/>
  <c r="B305" i="4"/>
  <c r="P307" i="1" l="1"/>
  <c r="U307" i="1" s="1"/>
  <c r="O307" i="1"/>
  <c r="T307" i="1" s="1"/>
  <c r="L307" i="1"/>
  <c r="Q307" i="1" s="1"/>
  <c r="M307" i="1"/>
  <c r="R307" i="1" s="1"/>
  <c r="N307" i="1"/>
  <c r="S307" i="1" s="1"/>
  <c r="AB307" i="1"/>
  <c r="AG307" i="1" s="1"/>
  <c r="AA307" i="1"/>
  <c r="AF307" i="1" s="1"/>
  <c r="Z307" i="1"/>
  <c r="AE307" i="1" s="1"/>
  <c r="X307" i="1"/>
  <c r="AC307" i="1" s="1"/>
  <c r="Y307" i="1"/>
  <c r="AD307" i="1" s="1"/>
  <c r="J308" i="1"/>
  <c r="K308" i="1" s="1"/>
  <c r="V308" i="1"/>
  <c r="W308" i="1" s="1"/>
  <c r="D309" i="1"/>
  <c r="E309" i="1"/>
  <c r="F309" i="1" s="1"/>
  <c r="I309" i="1" s="1"/>
  <c r="B310" i="1"/>
  <c r="C309" i="1"/>
  <c r="A307" i="4"/>
  <c r="B306" i="4"/>
  <c r="D305" i="4"/>
  <c r="G305" i="4"/>
  <c r="C305" i="4"/>
  <c r="F305" i="4"/>
  <c r="E305" i="4"/>
  <c r="AB308" i="1" l="1"/>
  <c r="AG308" i="1" s="1"/>
  <c r="AA308" i="1"/>
  <c r="AF308" i="1" s="1"/>
  <c r="X308" i="1"/>
  <c r="AC308" i="1" s="1"/>
  <c r="Y308" i="1"/>
  <c r="AD308" i="1" s="1"/>
  <c r="Z308" i="1"/>
  <c r="AE308" i="1" s="1"/>
  <c r="P308" i="1"/>
  <c r="U308" i="1" s="1"/>
  <c r="O308" i="1"/>
  <c r="T308" i="1" s="1"/>
  <c r="L308" i="1"/>
  <c r="Q308" i="1" s="1"/>
  <c r="M308" i="1"/>
  <c r="R308" i="1" s="1"/>
  <c r="N308" i="1"/>
  <c r="S308" i="1" s="1"/>
  <c r="V309" i="1"/>
  <c r="W309" i="1" s="1"/>
  <c r="J309" i="1"/>
  <c r="K309" i="1" s="1"/>
  <c r="D310" i="1"/>
  <c r="C310" i="1"/>
  <c r="B311" i="1"/>
  <c r="E310" i="1"/>
  <c r="F310" i="1" s="1"/>
  <c r="I310" i="1" s="1"/>
  <c r="G306" i="4"/>
  <c r="A308" i="4"/>
  <c r="B307" i="4"/>
  <c r="P309" i="1" l="1"/>
  <c r="U309" i="1" s="1"/>
  <c r="O309" i="1"/>
  <c r="T309" i="1" s="1"/>
  <c r="L309" i="1"/>
  <c r="Q309" i="1" s="1"/>
  <c r="M309" i="1"/>
  <c r="R309" i="1" s="1"/>
  <c r="N309" i="1"/>
  <c r="S309" i="1" s="1"/>
  <c r="AB309" i="1"/>
  <c r="AG309" i="1" s="1"/>
  <c r="AA309" i="1"/>
  <c r="AF309" i="1" s="1"/>
  <c r="X309" i="1"/>
  <c r="AC309" i="1" s="1"/>
  <c r="C307" i="4" s="1"/>
  <c r="Y309" i="1"/>
  <c r="AD309" i="1" s="1"/>
  <c r="Z309" i="1"/>
  <c r="AE309" i="1" s="1"/>
  <c r="C306" i="4"/>
  <c r="E306" i="4"/>
  <c r="F306" i="4"/>
  <c r="D306" i="4"/>
  <c r="V310" i="1"/>
  <c r="W310" i="1" s="1"/>
  <c r="J310" i="1"/>
  <c r="K310" i="1" s="1"/>
  <c r="D311" i="1"/>
  <c r="E311" i="1"/>
  <c r="F311" i="1" s="1"/>
  <c r="I311" i="1" s="1"/>
  <c r="B312" i="1"/>
  <c r="C311" i="1"/>
  <c r="F307" i="4"/>
  <c r="A309" i="4"/>
  <c r="B308" i="4"/>
  <c r="D307" i="4"/>
  <c r="E307" i="4"/>
  <c r="G307" i="4"/>
  <c r="AB310" i="1" l="1"/>
  <c r="AG310" i="1" s="1"/>
  <c r="AA310" i="1"/>
  <c r="AF310" i="1" s="1"/>
  <c r="Y310" i="1"/>
  <c r="AD310" i="1" s="1"/>
  <c r="Z310" i="1"/>
  <c r="AE310" i="1" s="1"/>
  <c r="X310" i="1"/>
  <c r="AC310" i="1" s="1"/>
  <c r="P310" i="1"/>
  <c r="U310" i="1" s="1"/>
  <c r="O310" i="1"/>
  <c r="T310" i="1" s="1"/>
  <c r="L310" i="1"/>
  <c r="Q310" i="1" s="1"/>
  <c r="M310" i="1"/>
  <c r="R310" i="1" s="1"/>
  <c r="N310" i="1"/>
  <c r="S310" i="1" s="1"/>
  <c r="V311" i="1"/>
  <c r="W311" i="1" s="1"/>
  <c r="J311" i="1"/>
  <c r="K311" i="1" s="1"/>
  <c r="D312" i="1"/>
  <c r="C312" i="1"/>
  <c r="B313" i="1"/>
  <c r="E312" i="1"/>
  <c r="F312" i="1" s="1"/>
  <c r="I312" i="1" s="1"/>
  <c r="B309" i="4"/>
  <c r="A310" i="4"/>
  <c r="P311" i="1" l="1"/>
  <c r="U311" i="1" s="1"/>
  <c r="O311" i="1"/>
  <c r="T311" i="1" s="1"/>
  <c r="L311" i="1"/>
  <c r="Q311" i="1" s="1"/>
  <c r="M311" i="1"/>
  <c r="R311" i="1" s="1"/>
  <c r="N311" i="1"/>
  <c r="S311" i="1" s="1"/>
  <c r="AB311" i="1"/>
  <c r="AG311" i="1" s="1"/>
  <c r="AA311" i="1"/>
  <c r="AF311" i="1" s="1"/>
  <c r="Z311" i="1"/>
  <c r="AE311" i="1" s="1"/>
  <c r="X311" i="1"/>
  <c r="AC311" i="1" s="1"/>
  <c r="Y311" i="1"/>
  <c r="AD311" i="1" s="1"/>
  <c r="G308" i="4"/>
  <c r="F308" i="4"/>
  <c r="E308" i="4"/>
  <c r="D308" i="4"/>
  <c r="C308" i="4"/>
  <c r="V312" i="1"/>
  <c r="W312" i="1" s="1"/>
  <c r="J312" i="1"/>
  <c r="K312" i="1" s="1"/>
  <c r="D313" i="1"/>
  <c r="E313" i="1"/>
  <c r="F313" i="1" s="1"/>
  <c r="I313" i="1" s="1"/>
  <c r="C313" i="1"/>
  <c r="B314" i="1"/>
  <c r="G309" i="4"/>
  <c r="B310" i="4"/>
  <c r="A311" i="4"/>
  <c r="AB312" i="1" l="1"/>
  <c r="AG312" i="1" s="1"/>
  <c r="AA312" i="1"/>
  <c r="AF312" i="1" s="1"/>
  <c r="X312" i="1"/>
  <c r="AC312" i="1" s="1"/>
  <c r="Y312" i="1"/>
  <c r="AD312" i="1" s="1"/>
  <c r="D310" i="4" s="1"/>
  <c r="Z312" i="1"/>
  <c r="AE312" i="1" s="1"/>
  <c r="P312" i="1"/>
  <c r="U312" i="1" s="1"/>
  <c r="O312" i="1"/>
  <c r="T312" i="1" s="1"/>
  <c r="L312" i="1"/>
  <c r="Q312" i="1" s="1"/>
  <c r="M312" i="1"/>
  <c r="R312" i="1" s="1"/>
  <c r="N312" i="1"/>
  <c r="S312" i="1" s="1"/>
  <c r="C309" i="4"/>
  <c r="D309" i="4"/>
  <c r="E309" i="4"/>
  <c r="F309" i="4"/>
  <c r="J313" i="1"/>
  <c r="K313" i="1" s="1"/>
  <c r="V313" i="1"/>
  <c r="W313" i="1" s="1"/>
  <c r="D314" i="1"/>
  <c r="E314" i="1"/>
  <c r="F314" i="1" s="1"/>
  <c r="I314" i="1" s="1"/>
  <c r="C314" i="1"/>
  <c r="B315" i="1"/>
  <c r="C310" i="4"/>
  <c r="F310" i="4"/>
  <c r="E310" i="4"/>
  <c r="G310" i="4"/>
  <c r="B311" i="4"/>
  <c r="A312" i="4"/>
  <c r="P313" i="1" l="1"/>
  <c r="U313" i="1" s="1"/>
  <c r="O313" i="1"/>
  <c r="T313" i="1" s="1"/>
  <c r="L313" i="1"/>
  <c r="Q313" i="1" s="1"/>
  <c r="M313" i="1"/>
  <c r="R313" i="1" s="1"/>
  <c r="N313" i="1"/>
  <c r="S313" i="1" s="1"/>
  <c r="AB313" i="1"/>
  <c r="AG313" i="1" s="1"/>
  <c r="AA313" i="1"/>
  <c r="AF313" i="1" s="1"/>
  <c r="X313" i="1"/>
  <c r="AC313" i="1" s="1"/>
  <c r="Y313" i="1"/>
  <c r="AD313" i="1" s="1"/>
  <c r="Z313" i="1"/>
  <c r="AE313" i="1" s="1"/>
  <c r="J314" i="1"/>
  <c r="K314" i="1" s="1"/>
  <c r="V314" i="1"/>
  <c r="W314" i="1" s="1"/>
  <c r="D315" i="1"/>
  <c r="E315" i="1"/>
  <c r="F315" i="1" s="1"/>
  <c r="I315" i="1" s="1"/>
  <c r="C315" i="1"/>
  <c r="B316" i="1"/>
  <c r="A313" i="4"/>
  <c r="B312" i="4"/>
  <c r="AB314" i="1" l="1"/>
  <c r="AG314" i="1" s="1"/>
  <c r="AA314" i="1"/>
  <c r="AF314" i="1" s="1"/>
  <c r="Y314" i="1"/>
  <c r="AD314" i="1" s="1"/>
  <c r="Z314" i="1"/>
  <c r="AE314" i="1" s="1"/>
  <c r="X314" i="1"/>
  <c r="AC314" i="1" s="1"/>
  <c r="P314" i="1"/>
  <c r="U314" i="1" s="1"/>
  <c r="O314" i="1"/>
  <c r="T314" i="1" s="1"/>
  <c r="L314" i="1"/>
  <c r="Q314" i="1" s="1"/>
  <c r="M314" i="1"/>
  <c r="R314" i="1" s="1"/>
  <c r="N314" i="1"/>
  <c r="S314" i="1" s="1"/>
  <c r="G311" i="4"/>
  <c r="D311" i="4"/>
  <c r="E311" i="4"/>
  <c r="C311" i="4"/>
  <c r="F311" i="4"/>
  <c r="J315" i="1"/>
  <c r="K315" i="1" s="1"/>
  <c r="V315" i="1"/>
  <c r="W315" i="1" s="1"/>
  <c r="D316" i="1"/>
  <c r="C316" i="1"/>
  <c r="B317" i="1"/>
  <c r="E316" i="1"/>
  <c r="F316" i="1" s="1"/>
  <c r="I316" i="1" s="1"/>
  <c r="G312" i="4"/>
  <c r="A314" i="4"/>
  <c r="B313" i="4"/>
  <c r="P315" i="1" l="1"/>
  <c r="U315" i="1" s="1"/>
  <c r="O315" i="1"/>
  <c r="T315" i="1" s="1"/>
  <c r="L315" i="1"/>
  <c r="Q315" i="1" s="1"/>
  <c r="M315" i="1"/>
  <c r="R315" i="1" s="1"/>
  <c r="N315" i="1"/>
  <c r="S315" i="1" s="1"/>
  <c r="AB315" i="1"/>
  <c r="AG315" i="1" s="1"/>
  <c r="AA315" i="1"/>
  <c r="AF315" i="1" s="1"/>
  <c r="Z315" i="1"/>
  <c r="AE315" i="1" s="1"/>
  <c r="Y315" i="1"/>
  <c r="AD315" i="1" s="1"/>
  <c r="X315" i="1"/>
  <c r="AC315" i="1" s="1"/>
  <c r="E312" i="4"/>
  <c r="C312" i="4"/>
  <c r="D312" i="4"/>
  <c r="F312" i="4"/>
  <c r="J316" i="1"/>
  <c r="K316" i="1" s="1"/>
  <c r="V316" i="1"/>
  <c r="W316" i="1" s="1"/>
  <c r="C313" i="4"/>
  <c r="D313" i="4"/>
  <c r="D317" i="1"/>
  <c r="E317" i="1"/>
  <c r="F317" i="1" s="1"/>
  <c r="I317" i="1" s="1"/>
  <c r="B318" i="1"/>
  <c r="C317" i="1"/>
  <c r="G313" i="4"/>
  <c r="F313" i="4"/>
  <c r="A315" i="4"/>
  <c r="B314" i="4"/>
  <c r="E313" i="4" l="1"/>
  <c r="P316" i="1"/>
  <c r="U316" i="1" s="1"/>
  <c r="O316" i="1"/>
  <c r="T316" i="1" s="1"/>
  <c r="L316" i="1"/>
  <c r="Q316" i="1" s="1"/>
  <c r="M316" i="1"/>
  <c r="R316" i="1" s="1"/>
  <c r="N316" i="1"/>
  <c r="S316" i="1" s="1"/>
  <c r="AB316" i="1"/>
  <c r="AG316" i="1" s="1"/>
  <c r="AA316" i="1"/>
  <c r="AF316" i="1" s="1"/>
  <c r="X316" i="1"/>
  <c r="AC316" i="1" s="1"/>
  <c r="Y316" i="1"/>
  <c r="AD316" i="1" s="1"/>
  <c r="Z316" i="1"/>
  <c r="AE316" i="1" s="1"/>
  <c r="J317" i="1"/>
  <c r="K317" i="1" s="1"/>
  <c r="V317" i="1"/>
  <c r="W317" i="1" s="1"/>
  <c r="D318" i="1"/>
  <c r="E318" i="1"/>
  <c r="F318" i="1" s="1"/>
  <c r="I318" i="1" s="1"/>
  <c r="C318" i="1"/>
  <c r="B319" i="1"/>
  <c r="A316" i="4"/>
  <c r="B315" i="4"/>
  <c r="AB317" i="1" l="1"/>
  <c r="AG317" i="1" s="1"/>
  <c r="AA317" i="1"/>
  <c r="AF317" i="1" s="1"/>
  <c r="X317" i="1"/>
  <c r="AC317" i="1" s="1"/>
  <c r="Y317" i="1"/>
  <c r="AD317" i="1" s="1"/>
  <c r="Z317" i="1"/>
  <c r="AE317" i="1" s="1"/>
  <c r="P317" i="1"/>
  <c r="U317" i="1" s="1"/>
  <c r="O317" i="1"/>
  <c r="T317" i="1" s="1"/>
  <c r="L317" i="1"/>
  <c r="Q317" i="1" s="1"/>
  <c r="M317" i="1"/>
  <c r="R317" i="1" s="1"/>
  <c r="N317" i="1"/>
  <c r="S317" i="1" s="1"/>
  <c r="G314" i="4"/>
  <c r="F314" i="4"/>
  <c r="E314" i="4"/>
  <c r="D314" i="4"/>
  <c r="C314" i="4"/>
  <c r="J318" i="1"/>
  <c r="K318" i="1" s="1"/>
  <c r="V318" i="1"/>
  <c r="W318" i="1" s="1"/>
  <c r="G315" i="4"/>
  <c r="D319" i="1"/>
  <c r="E319" i="1"/>
  <c r="F319" i="1" s="1"/>
  <c r="I319" i="1" s="1"/>
  <c r="B320" i="1"/>
  <c r="C319" i="1"/>
  <c r="A317" i="4"/>
  <c r="B316" i="4"/>
  <c r="AB318" i="1" l="1"/>
  <c r="AG318" i="1" s="1"/>
  <c r="AA318" i="1"/>
  <c r="AF318" i="1" s="1"/>
  <c r="Y318" i="1"/>
  <c r="AD318" i="1" s="1"/>
  <c r="Z318" i="1"/>
  <c r="AE318" i="1" s="1"/>
  <c r="X318" i="1"/>
  <c r="AC318" i="1" s="1"/>
  <c r="P318" i="1"/>
  <c r="U318" i="1" s="1"/>
  <c r="O318" i="1"/>
  <c r="T318" i="1" s="1"/>
  <c r="L318" i="1"/>
  <c r="Q318" i="1" s="1"/>
  <c r="M318" i="1"/>
  <c r="R318" i="1" s="1"/>
  <c r="N318" i="1"/>
  <c r="S318" i="1" s="1"/>
  <c r="F315" i="4"/>
  <c r="C315" i="4"/>
  <c r="D315" i="4"/>
  <c r="E315" i="4"/>
  <c r="C320" i="1"/>
  <c r="D320" i="1"/>
  <c r="E320" i="1"/>
  <c r="F320" i="1" s="1"/>
  <c r="I320" i="1" s="1"/>
  <c r="B321" i="1"/>
  <c r="J319" i="1"/>
  <c r="K319" i="1" s="1"/>
  <c r="V319" i="1"/>
  <c r="W319" i="1" s="1"/>
  <c r="C316" i="4"/>
  <c r="D316" i="4"/>
  <c r="E316" i="4"/>
  <c r="F316" i="4"/>
  <c r="G316" i="4"/>
  <c r="A318" i="4"/>
  <c r="B317" i="4"/>
  <c r="P319" i="1" l="1"/>
  <c r="U319" i="1" s="1"/>
  <c r="O319" i="1"/>
  <c r="T319" i="1" s="1"/>
  <c r="L319" i="1"/>
  <c r="Q319" i="1" s="1"/>
  <c r="M319" i="1"/>
  <c r="R319" i="1" s="1"/>
  <c r="N319" i="1"/>
  <c r="S319" i="1" s="1"/>
  <c r="AB319" i="1"/>
  <c r="AG319" i="1" s="1"/>
  <c r="AA319" i="1"/>
  <c r="AF319" i="1" s="1"/>
  <c r="Z319" i="1"/>
  <c r="AE319" i="1" s="1"/>
  <c r="X319" i="1"/>
  <c r="AC319" i="1" s="1"/>
  <c r="Y319" i="1"/>
  <c r="AD319" i="1" s="1"/>
  <c r="D321" i="1"/>
  <c r="E321" i="1"/>
  <c r="F321" i="1" s="1"/>
  <c r="I321" i="1" s="1"/>
  <c r="B322" i="1"/>
  <c r="C321" i="1"/>
  <c r="V320" i="1"/>
  <c r="W320" i="1" s="1"/>
  <c r="J320" i="1"/>
  <c r="K320" i="1" s="1"/>
  <c r="B318" i="4"/>
  <c r="A319" i="4"/>
  <c r="P320" i="1" l="1"/>
  <c r="U320" i="1" s="1"/>
  <c r="O320" i="1"/>
  <c r="T320" i="1" s="1"/>
  <c r="L320" i="1"/>
  <c r="Q320" i="1" s="1"/>
  <c r="M320" i="1"/>
  <c r="R320" i="1" s="1"/>
  <c r="N320" i="1"/>
  <c r="S320" i="1" s="1"/>
  <c r="AB320" i="1"/>
  <c r="AG320" i="1" s="1"/>
  <c r="AA320" i="1"/>
  <c r="AF320" i="1" s="1"/>
  <c r="X320" i="1"/>
  <c r="AC320" i="1" s="1"/>
  <c r="Y320" i="1"/>
  <c r="AD320" i="1" s="1"/>
  <c r="Z320" i="1"/>
  <c r="AE320" i="1" s="1"/>
  <c r="G317" i="4"/>
  <c r="D317" i="4"/>
  <c r="C317" i="4"/>
  <c r="E317" i="4"/>
  <c r="F317" i="4"/>
  <c r="C318" i="4"/>
  <c r="G318" i="4"/>
  <c r="C322" i="1"/>
  <c r="D322" i="1"/>
  <c r="E322" i="1"/>
  <c r="F322" i="1" s="1"/>
  <c r="I322" i="1" s="1"/>
  <c r="B323" i="1"/>
  <c r="V321" i="1"/>
  <c r="W321" i="1" s="1"/>
  <c r="J321" i="1"/>
  <c r="K321" i="1" s="1"/>
  <c r="B319" i="4"/>
  <c r="A320" i="4"/>
  <c r="P321" i="1" l="1"/>
  <c r="U321" i="1" s="1"/>
  <c r="O321" i="1"/>
  <c r="T321" i="1" s="1"/>
  <c r="L321" i="1"/>
  <c r="Q321" i="1" s="1"/>
  <c r="M321" i="1"/>
  <c r="R321" i="1" s="1"/>
  <c r="N321" i="1"/>
  <c r="S321" i="1" s="1"/>
  <c r="AB321" i="1"/>
  <c r="AG321" i="1" s="1"/>
  <c r="AA321" i="1"/>
  <c r="AF321" i="1" s="1"/>
  <c r="X321" i="1"/>
  <c r="AC321" i="1" s="1"/>
  <c r="C319" i="4" s="1"/>
  <c r="Y321" i="1"/>
  <c r="AD321" i="1" s="1"/>
  <c r="Z321" i="1"/>
  <c r="AE321" i="1" s="1"/>
  <c r="F318" i="4"/>
  <c r="D318" i="4"/>
  <c r="E318" i="4"/>
  <c r="D323" i="1"/>
  <c r="E323" i="1"/>
  <c r="F323" i="1" s="1"/>
  <c r="I323" i="1" s="1"/>
  <c r="B324" i="1"/>
  <c r="C323" i="1"/>
  <c r="V322" i="1"/>
  <c r="W322" i="1" s="1"/>
  <c r="J322" i="1"/>
  <c r="K322" i="1" s="1"/>
  <c r="F319" i="4"/>
  <c r="E319" i="4"/>
  <c r="D319" i="4"/>
  <c r="A321" i="4"/>
  <c r="G319" i="4"/>
  <c r="B320" i="4"/>
  <c r="AB322" i="1" l="1"/>
  <c r="AG322" i="1" s="1"/>
  <c r="AA322" i="1"/>
  <c r="AF322" i="1" s="1"/>
  <c r="Y322" i="1"/>
  <c r="AD322" i="1" s="1"/>
  <c r="Z322" i="1"/>
  <c r="AE322" i="1" s="1"/>
  <c r="X322" i="1"/>
  <c r="AC322" i="1" s="1"/>
  <c r="P322" i="1"/>
  <c r="U322" i="1" s="1"/>
  <c r="O322" i="1"/>
  <c r="T322" i="1" s="1"/>
  <c r="L322" i="1"/>
  <c r="Q322" i="1" s="1"/>
  <c r="M322" i="1"/>
  <c r="R322" i="1" s="1"/>
  <c r="N322" i="1"/>
  <c r="S322" i="1" s="1"/>
  <c r="D324" i="1"/>
  <c r="C324" i="1"/>
  <c r="E324" i="1"/>
  <c r="F324" i="1" s="1"/>
  <c r="I324" i="1" s="1"/>
  <c r="B325" i="1"/>
  <c r="V323" i="1"/>
  <c r="W323" i="1" s="1"/>
  <c r="J323" i="1"/>
  <c r="K323" i="1" s="1"/>
  <c r="A322" i="4"/>
  <c r="B321" i="4"/>
  <c r="P323" i="1" l="1"/>
  <c r="U323" i="1" s="1"/>
  <c r="O323" i="1"/>
  <c r="T323" i="1" s="1"/>
  <c r="L323" i="1"/>
  <c r="Q323" i="1" s="1"/>
  <c r="M323" i="1"/>
  <c r="R323" i="1" s="1"/>
  <c r="N323" i="1"/>
  <c r="S323" i="1" s="1"/>
  <c r="AB323" i="1"/>
  <c r="AG323" i="1" s="1"/>
  <c r="AA323" i="1"/>
  <c r="AF323" i="1" s="1"/>
  <c r="Z323" i="1"/>
  <c r="AE323" i="1" s="1"/>
  <c r="X323" i="1"/>
  <c r="AC323" i="1" s="1"/>
  <c r="Y323" i="1"/>
  <c r="AD323" i="1" s="1"/>
  <c r="E320" i="4"/>
  <c r="D320" i="4"/>
  <c r="C320" i="4"/>
  <c r="F320" i="4"/>
  <c r="G320" i="4"/>
  <c r="J324" i="1"/>
  <c r="K324" i="1" s="1"/>
  <c r="V324" i="1"/>
  <c r="W324" i="1" s="1"/>
  <c r="G321" i="4"/>
  <c r="D325" i="1"/>
  <c r="E325" i="1"/>
  <c r="F325" i="1" s="1"/>
  <c r="I325" i="1" s="1"/>
  <c r="C325" i="1"/>
  <c r="B326" i="1"/>
  <c r="B322" i="4"/>
  <c r="A323" i="4"/>
  <c r="P324" i="1" l="1"/>
  <c r="U324" i="1" s="1"/>
  <c r="O324" i="1"/>
  <c r="T324" i="1" s="1"/>
  <c r="L324" i="1"/>
  <c r="Q324" i="1" s="1"/>
  <c r="M324" i="1"/>
  <c r="R324" i="1" s="1"/>
  <c r="N324" i="1"/>
  <c r="S324" i="1" s="1"/>
  <c r="AB324" i="1"/>
  <c r="AG324" i="1" s="1"/>
  <c r="AA324" i="1"/>
  <c r="AF324" i="1" s="1"/>
  <c r="X324" i="1"/>
  <c r="AC324" i="1" s="1"/>
  <c r="C322" i="4" s="1"/>
  <c r="Y324" i="1"/>
  <c r="AD324" i="1" s="1"/>
  <c r="Z324" i="1"/>
  <c r="AE324" i="1" s="1"/>
  <c r="D321" i="4"/>
  <c r="E321" i="4"/>
  <c r="F321" i="4"/>
  <c r="C321" i="4"/>
  <c r="F322" i="4"/>
  <c r="C326" i="1"/>
  <c r="D326" i="1"/>
  <c r="E326" i="1"/>
  <c r="F326" i="1" s="1"/>
  <c r="I326" i="1" s="1"/>
  <c r="B327" i="1"/>
  <c r="V325" i="1"/>
  <c r="W325" i="1" s="1"/>
  <c r="J325" i="1"/>
  <c r="K325" i="1" s="1"/>
  <c r="B323" i="4"/>
  <c r="A324" i="4"/>
  <c r="G322" i="4"/>
  <c r="D322" i="4"/>
  <c r="E322" i="4" l="1"/>
  <c r="P325" i="1"/>
  <c r="U325" i="1" s="1"/>
  <c r="O325" i="1"/>
  <c r="T325" i="1" s="1"/>
  <c r="L325" i="1"/>
  <c r="Q325" i="1" s="1"/>
  <c r="M325" i="1"/>
  <c r="R325" i="1" s="1"/>
  <c r="N325" i="1"/>
  <c r="S325" i="1" s="1"/>
  <c r="AB325" i="1"/>
  <c r="AG325" i="1" s="1"/>
  <c r="AA325" i="1"/>
  <c r="AF325" i="1" s="1"/>
  <c r="X325" i="1"/>
  <c r="AC325" i="1" s="1"/>
  <c r="Y325" i="1"/>
  <c r="AD325" i="1" s="1"/>
  <c r="Z325" i="1"/>
  <c r="AE325" i="1" s="1"/>
  <c r="J326" i="1"/>
  <c r="K326" i="1" s="1"/>
  <c r="V326" i="1"/>
  <c r="W326" i="1" s="1"/>
  <c r="D327" i="1"/>
  <c r="E327" i="1"/>
  <c r="F327" i="1" s="1"/>
  <c r="I327" i="1" s="1"/>
  <c r="C327" i="1"/>
  <c r="B328" i="1"/>
  <c r="A325" i="4"/>
  <c r="B324" i="4"/>
  <c r="AB326" i="1" l="1"/>
  <c r="AG326" i="1" s="1"/>
  <c r="AA326" i="1"/>
  <c r="AF326" i="1" s="1"/>
  <c r="Y326" i="1"/>
  <c r="AD326" i="1" s="1"/>
  <c r="Z326" i="1"/>
  <c r="AE326" i="1" s="1"/>
  <c r="X326" i="1"/>
  <c r="AC326" i="1" s="1"/>
  <c r="P326" i="1"/>
  <c r="U326" i="1" s="1"/>
  <c r="O326" i="1"/>
  <c r="T326" i="1" s="1"/>
  <c r="L326" i="1"/>
  <c r="Q326" i="1" s="1"/>
  <c r="M326" i="1"/>
  <c r="R326" i="1" s="1"/>
  <c r="N326" i="1"/>
  <c r="S326" i="1" s="1"/>
  <c r="G323" i="4"/>
  <c r="C323" i="4"/>
  <c r="D323" i="4"/>
  <c r="E323" i="4"/>
  <c r="F323" i="4"/>
  <c r="V327" i="1"/>
  <c r="W327" i="1" s="1"/>
  <c r="J327" i="1"/>
  <c r="K327" i="1" s="1"/>
  <c r="G324" i="4"/>
  <c r="D328" i="1"/>
  <c r="E328" i="1"/>
  <c r="F328" i="1" s="1"/>
  <c r="I328" i="1" s="1"/>
  <c r="C328" i="1"/>
  <c r="B329" i="1"/>
  <c r="A326" i="4"/>
  <c r="B325" i="4"/>
  <c r="AB327" i="1" l="1"/>
  <c r="AG327" i="1" s="1"/>
  <c r="AA327" i="1"/>
  <c r="AF327" i="1" s="1"/>
  <c r="Z327" i="1"/>
  <c r="AE327" i="1" s="1"/>
  <c r="X327" i="1"/>
  <c r="AC327" i="1" s="1"/>
  <c r="Y327" i="1"/>
  <c r="AD327" i="1" s="1"/>
  <c r="P327" i="1"/>
  <c r="U327" i="1" s="1"/>
  <c r="O327" i="1"/>
  <c r="T327" i="1" s="1"/>
  <c r="L327" i="1"/>
  <c r="Q327" i="1" s="1"/>
  <c r="M327" i="1"/>
  <c r="R327" i="1" s="1"/>
  <c r="N327" i="1"/>
  <c r="S327" i="1" s="1"/>
  <c r="D324" i="4"/>
  <c r="E324" i="4"/>
  <c r="C324" i="4"/>
  <c r="F324" i="4"/>
  <c r="D329" i="1"/>
  <c r="E329" i="1"/>
  <c r="F329" i="1" s="1"/>
  <c r="I329" i="1" s="1"/>
  <c r="C329" i="1"/>
  <c r="B330" i="1"/>
  <c r="J328" i="1"/>
  <c r="K328" i="1" s="1"/>
  <c r="V328" i="1"/>
  <c r="W328" i="1" s="1"/>
  <c r="F325" i="4"/>
  <c r="E325" i="4"/>
  <c r="C325" i="4"/>
  <c r="G325" i="4"/>
  <c r="D325" i="4"/>
  <c r="A327" i="4"/>
  <c r="B326" i="4"/>
  <c r="P328" i="1" l="1"/>
  <c r="U328" i="1" s="1"/>
  <c r="O328" i="1"/>
  <c r="T328" i="1" s="1"/>
  <c r="L328" i="1"/>
  <c r="Q328" i="1" s="1"/>
  <c r="M328" i="1"/>
  <c r="R328" i="1" s="1"/>
  <c r="N328" i="1"/>
  <c r="S328" i="1" s="1"/>
  <c r="AB328" i="1"/>
  <c r="AG328" i="1" s="1"/>
  <c r="AA328" i="1"/>
  <c r="AF328" i="1" s="1"/>
  <c r="X328" i="1"/>
  <c r="AC328" i="1" s="1"/>
  <c r="Y328" i="1"/>
  <c r="AD328" i="1" s="1"/>
  <c r="Z328" i="1"/>
  <c r="AE328" i="1" s="1"/>
  <c r="V329" i="1"/>
  <c r="W329" i="1" s="1"/>
  <c r="J329" i="1"/>
  <c r="K329" i="1" s="1"/>
  <c r="E330" i="1"/>
  <c r="F330" i="1" s="1"/>
  <c r="I330" i="1" s="1"/>
  <c r="B331" i="1"/>
  <c r="D330" i="1"/>
  <c r="C330" i="1"/>
  <c r="A328" i="4"/>
  <c r="E326" i="4"/>
  <c r="C326" i="4"/>
  <c r="D326" i="4"/>
  <c r="G326" i="4"/>
  <c r="F326" i="4"/>
  <c r="B327" i="4"/>
  <c r="P329" i="1" l="1"/>
  <c r="U329" i="1" s="1"/>
  <c r="O329" i="1"/>
  <c r="T329" i="1" s="1"/>
  <c r="L329" i="1"/>
  <c r="Q329" i="1" s="1"/>
  <c r="M329" i="1"/>
  <c r="R329" i="1" s="1"/>
  <c r="N329" i="1"/>
  <c r="S329" i="1" s="1"/>
  <c r="AB329" i="1"/>
  <c r="AG329" i="1" s="1"/>
  <c r="AA329" i="1"/>
  <c r="AF329" i="1" s="1"/>
  <c r="X329" i="1"/>
  <c r="AC329" i="1" s="1"/>
  <c r="Y329" i="1"/>
  <c r="AD329" i="1" s="1"/>
  <c r="Z329" i="1"/>
  <c r="AE329" i="1" s="1"/>
  <c r="G327" i="4"/>
  <c r="D331" i="1"/>
  <c r="E331" i="1"/>
  <c r="F331" i="1" s="1"/>
  <c r="I331" i="1" s="1"/>
  <c r="B332" i="1"/>
  <c r="C331" i="1"/>
  <c r="J330" i="1"/>
  <c r="K330" i="1" s="1"/>
  <c r="V330" i="1"/>
  <c r="W330" i="1" s="1"/>
  <c r="A329" i="4"/>
  <c r="B328" i="4"/>
  <c r="P330" i="1" l="1"/>
  <c r="U330" i="1" s="1"/>
  <c r="O330" i="1"/>
  <c r="T330" i="1" s="1"/>
  <c r="L330" i="1"/>
  <c r="Q330" i="1" s="1"/>
  <c r="M330" i="1"/>
  <c r="R330" i="1" s="1"/>
  <c r="N330" i="1"/>
  <c r="S330" i="1" s="1"/>
  <c r="AB330" i="1"/>
  <c r="AG330" i="1" s="1"/>
  <c r="AA330" i="1"/>
  <c r="AF330" i="1" s="1"/>
  <c r="Y330" i="1"/>
  <c r="AD330" i="1" s="1"/>
  <c r="D328" i="4" s="1"/>
  <c r="Z330" i="1"/>
  <c r="AE330" i="1" s="1"/>
  <c r="X330" i="1"/>
  <c r="AC330" i="1" s="1"/>
  <c r="E327" i="4"/>
  <c r="C327" i="4"/>
  <c r="F327" i="4"/>
  <c r="D327" i="4"/>
  <c r="V331" i="1"/>
  <c r="W331" i="1" s="1"/>
  <c r="J331" i="1"/>
  <c r="K331" i="1" s="1"/>
  <c r="E328" i="4"/>
  <c r="F328" i="4"/>
  <c r="B333" i="1"/>
  <c r="E332" i="1"/>
  <c r="F332" i="1" s="1"/>
  <c r="I332" i="1" s="1"/>
  <c r="C332" i="1"/>
  <c r="D332" i="1"/>
  <c r="A330" i="4"/>
  <c r="G328" i="4"/>
  <c r="C328" i="4"/>
  <c r="B329" i="4"/>
  <c r="P331" i="1" l="1"/>
  <c r="U331" i="1" s="1"/>
  <c r="O331" i="1"/>
  <c r="T331" i="1" s="1"/>
  <c r="L331" i="1"/>
  <c r="Q331" i="1" s="1"/>
  <c r="M331" i="1"/>
  <c r="R331" i="1" s="1"/>
  <c r="N331" i="1"/>
  <c r="S331" i="1" s="1"/>
  <c r="AB331" i="1"/>
  <c r="AG331" i="1" s="1"/>
  <c r="AA331" i="1"/>
  <c r="AF331" i="1" s="1"/>
  <c r="Z331" i="1"/>
  <c r="AE331" i="1" s="1"/>
  <c r="X331" i="1"/>
  <c r="AC331" i="1" s="1"/>
  <c r="Y331" i="1"/>
  <c r="AD331" i="1" s="1"/>
  <c r="J332" i="1"/>
  <c r="K332" i="1" s="1"/>
  <c r="V332" i="1"/>
  <c r="W332" i="1" s="1"/>
  <c r="D333" i="1"/>
  <c r="E333" i="1"/>
  <c r="F333" i="1" s="1"/>
  <c r="I333" i="1" s="1"/>
  <c r="C333" i="1"/>
  <c r="B334" i="1"/>
  <c r="A331" i="4"/>
  <c r="B330" i="4"/>
  <c r="AB332" i="1" l="1"/>
  <c r="AG332" i="1" s="1"/>
  <c r="AA332" i="1"/>
  <c r="AF332" i="1" s="1"/>
  <c r="X332" i="1"/>
  <c r="AC332" i="1" s="1"/>
  <c r="Y332" i="1"/>
  <c r="AD332" i="1" s="1"/>
  <c r="Z332" i="1"/>
  <c r="AE332" i="1" s="1"/>
  <c r="P332" i="1"/>
  <c r="U332" i="1" s="1"/>
  <c r="O332" i="1"/>
  <c r="T332" i="1" s="1"/>
  <c r="L332" i="1"/>
  <c r="Q332" i="1" s="1"/>
  <c r="M332" i="1"/>
  <c r="R332" i="1" s="1"/>
  <c r="N332" i="1"/>
  <c r="S332" i="1" s="1"/>
  <c r="E329" i="4"/>
  <c r="C329" i="4"/>
  <c r="G329" i="4"/>
  <c r="D329" i="4"/>
  <c r="F329" i="4"/>
  <c r="B335" i="1"/>
  <c r="C334" i="1"/>
  <c r="D334" i="1"/>
  <c r="E334" i="1"/>
  <c r="F334" i="1" s="1"/>
  <c r="I334" i="1" s="1"/>
  <c r="V333" i="1"/>
  <c r="W333" i="1" s="1"/>
  <c r="J333" i="1"/>
  <c r="K333" i="1" s="1"/>
  <c r="G330" i="4"/>
  <c r="B331" i="4"/>
  <c r="A332" i="4"/>
  <c r="AB333" i="1" l="1"/>
  <c r="AG333" i="1" s="1"/>
  <c r="AA333" i="1"/>
  <c r="AF333" i="1" s="1"/>
  <c r="X333" i="1"/>
  <c r="AC333" i="1" s="1"/>
  <c r="C331" i="4" s="1"/>
  <c r="Y333" i="1"/>
  <c r="AD333" i="1" s="1"/>
  <c r="Z333" i="1"/>
  <c r="AE333" i="1" s="1"/>
  <c r="P333" i="1"/>
  <c r="U333" i="1" s="1"/>
  <c r="O333" i="1"/>
  <c r="T333" i="1" s="1"/>
  <c r="L333" i="1"/>
  <c r="Q333" i="1" s="1"/>
  <c r="M333" i="1"/>
  <c r="R333" i="1" s="1"/>
  <c r="N333" i="1"/>
  <c r="S333" i="1" s="1"/>
  <c r="D330" i="4"/>
  <c r="F330" i="4"/>
  <c r="C330" i="4"/>
  <c r="E330" i="4"/>
  <c r="V334" i="1"/>
  <c r="W334" i="1" s="1"/>
  <c r="J334" i="1"/>
  <c r="K334" i="1" s="1"/>
  <c r="F331" i="4"/>
  <c r="E331" i="4"/>
  <c r="D331" i="4"/>
  <c r="D335" i="1"/>
  <c r="E335" i="1"/>
  <c r="F335" i="1" s="1"/>
  <c r="I335" i="1" s="1"/>
  <c r="C335" i="1"/>
  <c r="B336" i="1"/>
  <c r="A333" i="4"/>
  <c r="G331" i="4"/>
  <c r="B332" i="4"/>
  <c r="AB334" i="1" l="1"/>
  <c r="AG334" i="1" s="1"/>
  <c r="AA334" i="1"/>
  <c r="AF334" i="1" s="1"/>
  <c r="Y334" i="1"/>
  <c r="AD334" i="1" s="1"/>
  <c r="Z334" i="1"/>
  <c r="AE334" i="1" s="1"/>
  <c r="X334" i="1"/>
  <c r="AC334" i="1" s="1"/>
  <c r="P334" i="1"/>
  <c r="U334" i="1" s="1"/>
  <c r="O334" i="1"/>
  <c r="T334" i="1" s="1"/>
  <c r="L334" i="1"/>
  <c r="Q334" i="1" s="1"/>
  <c r="M334" i="1"/>
  <c r="R334" i="1" s="1"/>
  <c r="N334" i="1"/>
  <c r="S334" i="1" s="1"/>
  <c r="B337" i="1"/>
  <c r="C336" i="1"/>
  <c r="D336" i="1"/>
  <c r="E336" i="1"/>
  <c r="F336" i="1" s="1"/>
  <c r="I336" i="1" s="1"/>
  <c r="V335" i="1"/>
  <c r="W335" i="1" s="1"/>
  <c r="J335" i="1"/>
  <c r="K335" i="1" s="1"/>
  <c r="A334" i="4"/>
  <c r="B333" i="4"/>
  <c r="P335" i="1" l="1"/>
  <c r="U335" i="1" s="1"/>
  <c r="O335" i="1"/>
  <c r="T335" i="1" s="1"/>
  <c r="L335" i="1"/>
  <c r="Q335" i="1" s="1"/>
  <c r="M335" i="1"/>
  <c r="R335" i="1" s="1"/>
  <c r="N335" i="1"/>
  <c r="S335" i="1" s="1"/>
  <c r="AB335" i="1"/>
  <c r="AG335" i="1" s="1"/>
  <c r="AA335" i="1"/>
  <c r="AF335" i="1" s="1"/>
  <c r="Z335" i="1"/>
  <c r="AE335" i="1" s="1"/>
  <c r="X335" i="1"/>
  <c r="AC335" i="1" s="1"/>
  <c r="Y335" i="1"/>
  <c r="AD335" i="1" s="1"/>
  <c r="G332" i="4"/>
  <c r="F332" i="4"/>
  <c r="E332" i="4"/>
  <c r="D332" i="4"/>
  <c r="C332" i="4"/>
  <c r="J336" i="1"/>
  <c r="K336" i="1" s="1"/>
  <c r="V336" i="1"/>
  <c r="W336" i="1" s="1"/>
  <c r="G333" i="4"/>
  <c r="D337" i="1"/>
  <c r="E337" i="1"/>
  <c r="F337" i="1" s="1"/>
  <c r="I337" i="1" s="1"/>
  <c r="B338" i="1"/>
  <c r="C337" i="1"/>
  <c r="A335" i="4"/>
  <c r="B334" i="4"/>
  <c r="P336" i="1" l="1"/>
  <c r="U336" i="1" s="1"/>
  <c r="O336" i="1"/>
  <c r="T336" i="1" s="1"/>
  <c r="L336" i="1"/>
  <c r="Q336" i="1" s="1"/>
  <c r="M336" i="1"/>
  <c r="R336" i="1" s="1"/>
  <c r="N336" i="1"/>
  <c r="S336" i="1" s="1"/>
  <c r="AB336" i="1"/>
  <c r="AG336" i="1" s="1"/>
  <c r="AA336" i="1"/>
  <c r="AF336" i="1" s="1"/>
  <c r="X336" i="1"/>
  <c r="AC336" i="1" s="1"/>
  <c r="Z336" i="1"/>
  <c r="AE336" i="1" s="1"/>
  <c r="Y336" i="1"/>
  <c r="AD336" i="1" s="1"/>
  <c r="E333" i="4"/>
  <c r="C333" i="4"/>
  <c r="F333" i="4"/>
  <c r="D333" i="4"/>
  <c r="B339" i="1"/>
  <c r="C338" i="1"/>
  <c r="D338" i="1"/>
  <c r="E338" i="1"/>
  <c r="F338" i="1" s="1"/>
  <c r="I338" i="1" s="1"/>
  <c r="C334" i="4"/>
  <c r="D334" i="4"/>
  <c r="E334" i="4"/>
  <c r="F334" i="4"/>
  <c r="V337" i="1"/>
  <c r="W337" i="1" s="1"/>
  <c r="J337" i="1"/>
  <c r="K337" i="1" s="1"/>
  <c r="A336" i="4"/>
  <c r="G334" i="4"/>
  <c r="B335" i="4"/>
  <c r="AB337" i="1" l="1"/>
  <c r="AG337" i="1" s="1"/>
  <c r="AA337" i="1"/>
  <c r="AF337" i="1" s="1"/>
  <c r="X337" i="1"/>
  <c r="AC337" i="1" s="1"/>
  <c r="Y337" i="1"/>
  <c r="AD337" i="1" s="1"/>
  <c r="Z337" i="1"/>
  <c r="AE337" i="1" s="1"/>
  <c r="P337" i="1"/>
  <c r="U337" i="1" s="1"/>
  <c r="O337" i="1"/>
  <c r="T337" i="1" s="1"/>
  <c r="L337" i="1"/>
  <c r="Q337" i="1" s="1"/>
  <c r="M337" i="1"/>
  <c r="R337" i="1" s="1"/>
  <c r="N337" i="1"/>
  <c r="S337" i="1" s="1"/>
  <c r="V338" i="1"/>
  <c r="W338" i="1" s="1"/>
  <c r="J338" i="1"/>
  <c r="K338" i="1" s="1"/>
  <c r="D339" i="1"/>
  <c r="C339" i="1"/>
  <c r="E339" i="1"/>
  <c r="F339" i="1" s="1"/>
  <c r="I339" i="1" s="1"/>
  <c r="A337" i="4"/>
  <c r="B340" i="1"/>
  <c r="B336" i="4"/>
  <c r="P338" i="1" l="1"/>
  <c r="U338" i="1" s="1"/>
  <c r="O338" i="1"/>
  <c r="T338" i="1" s="1"/>
  <c r="L338" i="1"/>
  <c r="Q338" i="1" s="1"/>
  <c r="M338" i="1"/>
  <c r="R338" i="1" s="1"/>
  <c r="N338" i="1"/>
  <c r="S338" i="1" s="1"/>
  <c r="AB338" i="1"/>
  <c r="AG338" i="1" s="1"/>
  <c r="AA338" i="1"/>
  <c r="AF338" i="1" s="1"/>
  <c r="Y338" i="1"/>
  <c r="AD338" i="1" s="1"/>
  <c r="Z338" i="1"/>
  <c r="AE338" i="1" s="1"/>
  <c r="X338" i="1"/>
  <c r="AC338" i="1" s="1"/>
  <c r="F335" i="4"/>
  <c r="G335" i="4"/>
  <c r="D335" i="4"/>
  <c r="C335" i="4"/>
  <c r="E335" i="4"/>
  <c r="V339" i="1"/>
  <c r="W339" i="1" s="1"/>
  <c r="J339" i="1"/>
  <c r="K339" i="1" s="1"/>
  <c r="G336" i="4"/>
  <c r="B337" i="4"/>
  <c r="A338" i="4"/>
  <c r="D340" i="1"/>
  <c r="B341" i="1"/>
  <c r="E340" i="1"/>
  <c r="F340" i="1" s="1"/>
  <c r="I340" i="1" s="1"/>
  <c r="C340" i="1"/>
  <c r="AB339" i="1" l="1"/>
  <c r="AG339" i="1" s="1"/>
  <c r="AA339" i="1"/>
  <c r="AF339" i="1" s="1"/>
  <c r="Z339" i="1"/>
  <c r="AE339" i="1" s="1"/>
  <c r="X339" i="1"/>
  <c r="AC339" i="1" s="1"/>
  <c r="C337" i="4" s="1"/>
  <c r="Y339" i="1"/>
  <c r="AD339" i="1" s="1"/>
  <c r="P339" i="1"/>
  <c r="U339" i="1" s="1"/>
  <c r="O339" i="1"/>
  <c r="T339" i="1" s="1"/>
  <c r="L339" i="1"/>
  <c r="Q339" i="1" s="1"/>
  <c r="M339" i="1"/>
  <c r="R339" i="1" s="1"/>
  <c r="N339" i="1"/>
  <c r="S339" i="1" s="1"/>
  <c r="F336" i="4"/>
  <c r="D336" i="4"/>
  <c r="C336" i="4"/>
  <c r="E336" i="4"/>
  <c r="F337" i="4"/>
  <c r="D337" i="4"/>
  <c r="E337" i="4"/>
  <c r="A339" i="4"/>
  <c r="E341" i="1"/>
  <c r="F341" i="1" s="1"/>
  <c r="I341" i="1" s="1"/>
  <c r="B342" i="1"/>
  <c r="D341" i="1"/>
  <c r="C341" i="1"/>
  <c r="G337" i="4"/>
  <c r="V340" i="1"/>
  <c r="W340" i="1" s="1"/>
  <c r="B338" i="4"/>
  <c r="J340" i="1"/>
  <c r="K340" i="1" s="1"/>
  <c r="P340" i="1" l="1"/>
  <c r="U340" i="1" s="1"/>
  <c r="O340" i="1"/>
  <c r="T340" i="1" s="1"/>
  <c r="L340" i="1"/>
  <c r="Q340" i="1" s="1"/>
  <c r="M340" i="1"/>
  <c r="R340" i="1" s="1"/>
  <c r="N340" i="1"/>
  <c r="S340" i="1" s="1"/>
  <c r="AB340" i="1"/>
  <c r="AG340" i="1" s="1"/>
  <c r="AA340" i="1"/>
  <c r="AF340" i="1" s="1"/>
  <c r="X340" i="1"/>
  <c r="AC340" i="1" s="1"/>
  <c r="Y340" i="1"/>
  <c r="AD340" i="1" s="1"/>
  <c r="Z340" i="1"/>
  <c r="AE340" i="1" s="1"/>
  <c r="A340" i="4"/>
  <c r="B343" i="1"/>
  <c r="E342" i="1"/>
  <c r="F342" i="1" s="1"/>
  <c r="I342" i="1" s="1"/>
  <c r="D342" i="1"/>
  <c r="C342" i="1"/>
  <c r="J341" i="1"/>
  <c r="K341" i="1" s="1"/>
  <c r="V341" i="1"/>
  <c r="W341" i="1" s="1"/>
  <c r="B339" i="4"/>
  <c r="AB341" i="1" l="1"/>
  <c r="AG341" i="1" s="1"/>
  <c r="AA341" i="1"/>
  <c r="AF341" i="1" s="1"/>
  <c r="X341" i="1"/>
  <c r="AC341" i="1" s="1"/>
  <c r="Y341" i="1"/>
  <c r="AD341" i="1" s="1"/>
  <c r="Z341" i="1"/>
  <c r="AE341" i="1" s="1"/>
  <c r="P341" i="1"/>
  <c r="U341" i="1" s="1"/>
  <c r="O341" i="1"/>
  <c r="T341" i="1" s="1"/>
  <c r="L341" i="1"/>
  <c r="Q341" i="1" s="1"/>
  <c r="M341" i="1"/>
  <c r="R341" i="1" s="1"/>
  <c r="N341" i="1"/>
  <c r="S341" i="1" s="1"/>
  <c r="G338" i="4"/>
  <c r="D338" i="4"/>
  <c r="E338" i="4"/>
  <c r="F338" i="4"/>
  <c r="C338" i="4"/>
  <c r="G339" i="4"/>
  <c r="B340" i="4"/>
  <c r="J342" i="1"/>
  <c r="K342" i="1" s="1"/>
  <c r="V342" i="1"/>
  <c r="W342" i="1" s="1"/>
  <c r="A341" i="4"/>
  <c r="B344" i="1"/>
  <c r="E343" i="1"/>
  <c r="F343" i="1" s="1"/>
  <c r="I343" i="1" s="1"/>
  <c r="C343" i="1"/>
  <c r="D343" i="1"/>
  <c r="AB342" i="1" l="1"/>
  <c r="AG342" i="1" s="1"/>
  <c r="AA342" i="1"/>
  <c r="AF342" i="1" s="1"/>
  <c r="X342" i="1"/>
  <c r="AC342" i="1" s="1"/>
  <c r="Y342" i="1"/>
  <c r="AD342" i="1" s="1"/>
  <c r="D340" i="4" s="1"/>
  <c r="Z342" i="1"/>
  <c r="AE342" i="1" s="1"/>
  <c r="P342" i="1"/>
  <c r="U342" i="1" s="1"/>
  <c r="O342" i="1"/>
  <c r="T342" i="1" s="1"/>
  <c r="L342" i="1"/>
  <c r="Q342" i="1" s="1"/>
  <c r="M342" i="1"/>
  <c r="R342" i="1" s="1"/>
  <c r="N342" i="1"/>
  <c r="S342" i="1" s="1"/>
  <c r="C339" i="4"/>
  <c r="F339" i="4"/>
  <c r="E339" i="4"/>
  <c r="D339" i="4"/>
  <c r="G340" i="4"/>
  <c r="F340" i="4"/>
  <c r="C340" i="4"/>
  <c r="A342" i="4"/>
  <c r="D344" i="1"/>
  <c r="E344" i="1"/>
  <c r="F344" i="1" s="1"/>
  <c r="I344" i="1" s="1"/>
  <c r="B345" i="1"/>
  <c r="C344" i="1"/>
  <c r="B341" i="4"/>
  <c r="J343" i="1"/>
  <c r="K343" i="1" s="1"/>
  <c r="V343" i="1"/>
  <c r="W343" i="1" s="1"/>
  <c r="E340" i="4"/>
  <c r="AB343" i="1" l="1"/>
  <c r="AG343" i="1" s="1"/>
  <c r="AA343" i="1"/>
  <c r="AF343" i="1" s="1"/>
  <c r="X343" i="1"/>
  <c r="AC343" i="1" s="1"/>
  <c r="Y343" i="1"/>
  <c r="AD343" i="1" s="1"/>
  <c r="Z343" i="1"/>
  <c r="AE343" i="1" s="1"/>
  <c r="P343" i="1"/>
  <c r="U343" i="1" s="1"/>
  <c r="O343" i="1"/>
  <c r="T343" i="1" s="1"/>
  <c r="L343" i="1"/>
  <c r="Q343" i="1" s="1"/>
  <c r="M343" i="1"/>
  <c r="R343" i="1" s="1"/>
  <c r="N343" i="1"/>
  <c r="S343" i="1" s="1"/>
  <c r="V344" i="1"/>
  <c r="W344" i="1" s="1"/>
  <c r="J344" i="1"/>
  <c r="K344" i="1" s="1"/>
  <c r="B342" i="4"/>
  <c r="A343" i="4"/>
  <c r="E345" i="1"/>
  <c r="F345" i="1" s="1"/>
  <c r="I345" i="1" s="1"/>
  <c r="D345" i="1"/>
  <c r="C345" i="1"/>
  <c r="B346" i="1"/>
  <c r="P344" i="1" l="1"/>
  <c r="U344" i="1" s="1"/>
  <c r="O344" i="1"/>
  <c r="T344" i="1" s="1"/>
  <c r="L344" i="1"/>
  <c r="Q344" i="1" s="1"/>
  <c r="M344" i="1"/>
  <c r="R344" i="1" s="1"/>
  <c r="N344" i="1"/>
  <c r="S344" i="1" s="1"/>
  <c r="AB344" i="1"/>
  <c r="AG344" i="1" s="1"/>
  <c r="AA344" i="1"/>
  <c r="AF344" i="1" s="1"/>
  <c r="X344" i="1"/>
  <c r="AC344" i="1" s="1"/>
  <c r="Y344" i="1"/>
  <c r="AD344" i="1" s="1"/>
  <c r="Z344" i="1"/>
  <c r="AE344" i="1" s="1"/>
  <c r="G341" i="4"/>
  <c r="D341" i="4"/>
  <c r="F341" i="4"/>
  <c r="E341" i="4"/>
  <c r="C341" i="4"/>
  <c r="J345" i="1"/>
  <c r="K345" i="1" s="1"/>
  <c r="V345" i="1"/>
  <c r="W345" i="1" s="1"/>
  <c r="B343" i="4"/>
  <c r="A344" i="4"/>
  <c r="D346" i="1"/>
  <c r="C346" i="1"/>
  <c r="B347" i="1"/>
  <c r="E346" i="1"/>
  <c r="F346" i="1" s="1"/>
  <c r="I346" i="1" s="1"/>
  <c r="G342" i="4"/>
  <c r="P345" i="1" l="1"/>
  <c r="U345" i="1" s="1"/>
  <c r="O345" i="1"/>
  <c r="T345" i="1" s="1"/>
  <c r="L345" i="1"/>
  <c r="Q345" i="1" s="1"/>
  <c r="M345" i="1"/>
  <c r="R345" i="1" s="1"/>
  <c r="N345" i="1"/>
  <c r="S345" i="1" s="1"/>
  <c r="AB345" i="1"/>
  <c r="AG345" i="1" s="1"/>
  <c r="AA345" i="1"/>
  <c r="AF345" i="1" s="1"/>
  <c r="X345" i="1"/>
  <c r="AC345" i="1" s="1"/>
  <c r="Z345" i="1"/>
  <c r="AE345" i="1" s="1"/>
  <c r="Y345" i="1"/>
  <c r="AD345" i="1" s="1"/>
  <c r="C342" i="4"/>
  <c r="D342" i="4"/>
  <c r="E342" i="4"/>
  <c r="F342" i="4"/>
  <c r="A345" i="4"/>
  <c r="B348" i="1"/>
  <c r="E347" i="1"/>
  <c r="F347" i="1" s="1"/>
  <c r="I347" i="1" s="1"/>
  <c r="D347" i="1"/>
  <c r="C347" i="1"/>
  <c r="D343" i="4"/>
  <c r="F343" i="4"/>
  <c r="C343" i="4"/>
  <c r="G343" i="4"/>
  <c r="E343" i="4"/>
  <c r="B344" i="4"/>
  <c r="V346" i="1"/>
  <c r="W346" i="1" s="1"/>
  <c r="J346" i="1"/>
  <c r="K346" i="1" s="1"/>
  <c r="P346" i="1" l="1"/>
  <c r="U346" i="1" s="1"/>
  <c r="O346" i="1"/>
  <c r="T346" i="1" s="1"/>
  <c r="L346" i="1"/>
  <c r="Q346" i="1" s="1"/>
  <c r="M346" i="1"/>
  <c r="R346" i="1" s="1"/>
  <c r="N346" i="1"/>
  <c r="S346" i="1" s="1"/>
  <c r="AB346" i="1"/>
  <c r="AG346" i="1" s="1"/>
  <c r="AA346" i="1"/>
  <c r="AF346" i="1" s="1"/>
  <c r="X346" i="1"/>
  <c r="AC346" i="1" s="1"/>
  <c r="Y346" i="1"/>
  <c r="AD346" i="1" s="1"/>
  <c r="Z346" i="1"/>
  <c r="AE346" i="1" s="1"/>
  <c r="J347" i="1"/>
  <c r="K347" i="1" s="1"/>
  <c r="V347" i="1"/>
  <c r="W347" i="1" s="1"/>
  <c r="B345" i="4"/>
  <c r="A346" i="4"/>
  <c r="D348" i="1"/>
  <c r="C348" i="1"/>
  <c r="E348" i="1"/>
  <c r="F348" i="1" s="1"/>
  <c r="I348" i="1" s="1"/>
  <c r="B349" i="1"/>
  <c r="AB347" i="1" l="1"/>
  <c r="AG347" i="1" s="1"/>
  <c r="AA347" i="1"/>
  <c r="AF347" i="1" s="1"/>
  <c r="X347" i="1"/>
  <c r="AC347" i="1" s="1"/>
  <c r="Y347" i="1"/>
  <c r="AD347" i="1" s="1"/>
  <c r="Z347" i="1"/>
  <c r="AE347" i="1" s="1"/>
  <c r="P347" i="1"/>
  <c r="U347" i="1" s="1"/>
  <c r="O347" i="1"/>
  <c r="T347" i="1" s="1"/>
  <c r="L347" i="1"/>
  <c r="Q347" i="1" s="1"/>
  <c r="M347" i="1"/>
  <c r="R347" i="1" s="1"/>
  <c r="N347" i="1"/>
  <c r="S347" i="1" s="1"/>
  <c r="G344" i="4"/>
  <c r="E344" i="4"/>
  <c r="F344" i="4"/>
  <c r="D344" i="4"/>
  <c r="C344" i="4"/>
  <c r="G345" i="4"/>
  <c r="A347" i="4"/>
  <c r="D349" i="1"/>
  <c r="C349" i="1"/>
  <c r="B350" i="1"/>
  <c r="E349" i="1"/>
  <c r="F349" i="1" s="1"/>
  <c r="I349" i="1" s="1"/>
  <c r="J348" i="1"/>
  <c r="K348" i="1" s="1"/>
  <c r="V348" i="1"/>
  <c r="W348" i="1" s="1"/>
  <c r="B346" i="4"/>
  <c r="P348" i="1" l="1"/>
  <c r="U348" i="1" s="1"/>
  <c r="O348" i="1"/>
  <c r="T348" i="1" s="1"/>
  <c r="L348" i="1"/>
  <c r="Q348" i="1" s="1"/>
  <c r="M348" i="1"/>
  <c r="R348" i="1" s="1"/>
  <c r="N348" i="1"/>
  <c r="S348" i="1" s="1"/>
  <c r="AB348" i="1"/>
  <c r="AG348" i="1" s="1"/>
  <c r="AA348" i="1"/>
  <c r="AF348" i="1" s="1"/>
  <c r="X348" i="1"/>
  <c r="AC348" i="1" s="1"/>
  <c r="Y348" i="1"/>
  <c r="AD348" i="1" s="1"/>
  <c r="Z348" i="1"/>
  <c r="AE348" i="1" s="1"/>
  <c r="C345" i="4"/>
  <c r="E345" i="4"/>
  <c r="F345" i="4"/>
  <c r="D345" i="4"/>
  <c r="B347" i="4"/>
  <c r="J349" i="1"/>
  <c r="K349" i="1" s="1"/>
  <c r="V349" i="1"/>
  <c r="W349" i="1" s="1"/>
  <c r="F346" i="4"/>
  <c r="D346" i="4"/>
  <c r="C346" i="4"/>
  <c r="E346" i="4"/>
  <c r="A348" i="4"/>
  <c r="D350" i="1"/>
  <c r="C350" i="1"/>
  <c r="B351" i="1"/>
  <c r="E350" i="1"/>
  <c r="F350" i="1" s="1"/>
  <c r="I350" i="1" s="1"/>
  <c r="G346" i="4"/>
  <c r="AB349" i="1" l="1"/>
  <c r="AG349" i="1" s="1"/>
  <c r="AA349" i="1"/>
  <c r="AF349" i="1" s="1"/>
  <c r="X349" i="1"/>
  <c r="AC349" i="1" s="1"/>
  <c r="Y349" i="1"/>
  <c r="AD349" i="1" s="1"/>
  <c r="Z349" i="1"/>
  <c r="AE349" i="1" s="1"/>
  <c r="P349" i="1"/>
  <c r="U349" i="1" s="1"/>
  <c r="O349" i="1"/>
  <c r="T349" i="1" s="1"/>
  <c r="L349" i="1"/>
  <c r="Q349" i="1" s="1"/>
  <c r="M349" i="1"/>
  <c r="R349" i="1" s="1"/>
  <c r="N349" i="1"/>
  <c r="S349" i="1" s="1"/>
  <c r="A349" i="4"/>
  <c r="E351" i="1"/>
  <c r="F351" i="1" s="1"/>
  <c r="I351" i="1" s="1"/>
  <c r="B352" i="1"/>
  <c r="D351" i="1"/>
  <c r="C351" i="1"/>
  <c r="J350" i="1"/>
  <c r="K350" i="1" s="1"/>
  <c r="B348" i="4"/>
  <c r="V350" i="1"/>
  <c r="W350" i="1" s="1"/>
  <c r="AB350" i="1" l="1"/>
  <c r="AG350" i="1" s="1"/>
  <c r="AA350" i="1"/>
  <c r="AF350" i="1" s="1"/>
  <c r="X350" i="1"/>
  <c r="AC350" i="1" s="1"/>
  <c r="Y350" i="1"/>
  <c r="AD350" i="1" s="1"/>
  <c r="Z350" i="1"/>
  <c r="AE350" i="1" s="1"/>
  <c r="P350" i="1"/>
  <c r="U350" i="1" s="1"/>
  <c r="O350" i="1"/>
  <c r="T350" i="1" s="1"/>
  <c r="L350" i="1"/>
  <c r="Q350" i="1" s="1"/>
  <c r="M350" i="1"/>
  <c r="R350" i="1" s="1"/>
  <c r="N350" i="1"/>
  <c r="S350" i="1" s="1"/>
  <c r="G347" i="4"/>
  <c r="E347" i="4"/>
  <c r="D347" i="4"/>
  <c r="F347" i="4"/>
  <c r="C347" i="4"/>
  <c r="G348" i="4"/>
  <c r="A350" i="4"/>
  <c r="C352" i="1"/>
  <c r="E352" i="1"/>
  <c r="F352" i="1" s="1"/>
  <c r="I352" i="1" s="1"/>
  <c r="B353" i="1"/>
  <c r="D352" i="1"/>
  <c r="J351" i="1"/>
  <c r="K351" i="1" s="1"/>
  <c r="V351" i="1"/>
  <c r="W351" i="1" s="1"/>
  <c r="B349" i="4"/>
  <c r="AB351" i="1" l="1"/>
  <c r="AG351" i="1" s="1"/>
  <c r="AA351" i="1"/>
  <c r="AF351" i="1" s="1"/>
  <c r="X351" i="1"/>
  <c r="AC351" i="1" s="1"/>
  <c r="Y351" i="1"/>
  <c r="AD351" i="1" s="1"/>
  <c r="Z351" i="1"/>
  <c r="AE351" i="1" s="1"/>
  <c r="P351" i="1"/>
  <c r="U351" i="1" s="1"/>
  <c r="O351" i="1"/>
  <c r="T351" i="1" s="1"/>
  <c r="L351" i="1"/>
  <c r="Q351" i="1" s="1"/>
  <c r="M351" i="1"/>
  <c r="R351" i="1" s="1"/>
  <c r="N351" i="1"/>
  <c r="S351" i="1" s="1"/>
  <c r="F348" i="4"/>
  <c r="C348" i="4"/>
  <c r="D348" i="4"/>
  <c r="E348" i="4"/>
  <c r="C349" i="4"/>
  <c r="D349" i="4"/>
  <c r="F349" i="4"/>
  <c r="E349" i="4"/>
  <c r="G349" i="4"/>
  <c r="B350" i="4"/>
  <c r="J352" i="1"/>
  <c r="K352" i="1" s="1"/>
  <c r="V352" i="1"/>
  <c r="W352" i="1" s="1"/>
  <c r="A351" i="4"/>
  <c r="E353" i="1"/>
  <c r="F353" i="1" s="1"/>
  <c r="I353" i="1" s="1"/>
  <c r="D353" i="1"/>
  <c r="C353" i="1"/>
  <c r="B354" i="1"/>
  <c r="AB352" i="1" l="1"/>
  <c r="AG352" i="1" s="1"/>
  <c r="AA352" i="1"/>
  <c r="AF352" i="1" s="1"/>
  <c r="X352" i="1"/>
  <c r="AC352" i="1" s="1"/>
  <c r="Y352" i="1"/>
  <c r="AD352" i="1" s="1"/>
  <c r="Z352" i="1"/>
  <c r="AE352" i="1" s="1"/>
  <c r="P352" i="1"/>
  <c r="U352" i="1" s="1"/>
  <c r="O352" i="1"/>
  <c r="T352" i="1" s="1"/>
  <c r="L352" i="1"/>
  <c r="Q352" i="1" s="1"/>
  <c r="M352" i="1"/>
  <c r="R352" i="1" s="1"/>
  <c r="N352" i="1"/>
  <c r="S352" i="1" s="1"/>
  <c r="A352" i="4"/>
  <c r="B355" i="1"/>
  <c r="E354" i="1"/>
  <c r="F354" i="1" s="1"/>
  <c r="I354" i="1" s="1"/>
  <c r="D354" i="1"/>
  <c r="C354" i="1"/>
  <c r="J353" i="1"/>
  <c r="K353" i="1" s="1"/>
  <c r="V353" i="1"/>
  <c r="W353" i="1" s="1"/>
  <c r="B351" i="4"/>
  <c r="P353" i="1" l="1"/>
  <c r="U353" i="1" s="1"/>
  <c r="O353" i="1"/>
  <c r="T353" i="1" s="1"/>
  <c r="L353" i="1"/>
  <c r="Q353" i="1" s="1"/>
  <c r="M353" i="1"/>
  <c r="R353" i="1" s="1"/>
  <c r="N353" i="1"/>
  <c r="S353" i="1" s="1"/>
  <c r="AB353" i="1"/>
  <c r="AG353" i="1" s="1"/>
  <c r="AA353" i="1"/>
  <c r="AF353" i="1" s="1"/>
  <c r="X353" i="1"/>
  <c r="AC353" i="1" s="1"/>
  <c r="Z353" i="1"/>
  <c r="AE353" i="1" s="1"/>
  <c r="Y353" i="1"/>
  <c r="AD353" i="1" s="1"/>
  <c r="E350" i="4"/>
  <c r="G350" i="4"/>
  <c r="F350" i="4"/>
  <c r="C350" i="4"/>
  <c r="D350" i="4"/>
  <c r="G351" i="4"/>
  <c r="V354" i="1"/>
  <c r="W354" i="1" s="1"/>
  <c r="J354" i="1"/>
  <c r="K354" i="1" s="1"/>
  <c r="B352" i="4"/>
  <c r="A353" i="4"/>
  <c r="D355" i="1"/>
  <c r="B356" i="1"/>
  <c r="C355" i="1"/>
  <c r="E355" i="1"/>
  <c r="F355" i="1" s="1"/>
  <c r="I355" i="1" s="1"/>
  <c r="P354" i="1" l="1"/>
  <c r="U354" i="1" s="1"/>
  <c r="O354" i="1"/>
  <c r="T354" i="1" s="1"/>
  <c r="L354" i="1"/>
  <c r="Q354" i="1" s="1"/>
  <c r="M354" i="1"/>
  <c r="R354" i="1" s="1"/>
  <c r="N354" i="1"/>
  <c r="S354" i="1" s="1"/>
  <c r="AB354" i="1"/>
  <c r="AG354" i="1" s="1"/>
  <c r="AA354" i="1"/>
  <c r="AF354" i="1" s="1"/>
  <c r="X354" i="1"/>
  <c r="AC354" i="1" s="1"/>
  <c r="Y354" i="1"/>
  <c r="AD354" i="1" s="1"/>
  <c r="Z354" i="1"/>
  <c r="AE354" i="1" s="1"/>
  <c r="C351" i="4"/>
  <c r="E351" i="4"/>
  <c r="D351" i="4"/>
  <c r="F351" i="4"/>
  <c r="G352" i="4"/>
  <c r="F352" i="4"/>
  <c r="E352" i="4"/>
  <c r="C352" i="4"/>
  <c r="D352" i="4"/>
  <c r="B353" i="4"/>
  <c r="J355" i="1"/>
  <c r="K355" i="1" s="1"/>
  <c r="V355" i="1"/>
  <c r="W355" i="1" s="1"/>
  <c r="A354" i="4"/>
  <c r="B357" i="1"/>
  <c r="D356" i="1"/>
  <c r="E356" i="1"/>
  <c r="F356" i="1" s="1"/>
  <c r="I356" i="1" s="1"/>
  <c r="C356" i="1"/>
  <c r="AB355" i="1" l="1"/>
  <c r="AG355" i="1" s="1"/>
  <c r="AA355" i="1"/>
  <c r="AF355" i="1" s="1"/>
  <c r="X355" i="1"/>
  <c r="AC355" i="1" s="1"/>
  <c r="Y355" i="1"/>
  <c r="AD355" i="1" s="1"/>
  <c r="Z355" i="1"/>
  <c r="AE355" i="1" s="1"/>
  <c r="P355" i="1"/>
  <c r="U355" i="1" s="1"/>
  <c r="O355" i="1"/>
  <c r="T355" i="1" s="1"/>
  <c r="L355" i="1"/>
  <c r="Q355" i="1" s="1"/>
  <c r="M355" i="1"/>
  <c r="R355" i="1" s="1"/>
  <c r="N355" i="1"/>
  <c r="S355" i="1" s="1"/>
  <c r="B354" i="4"/>
  <c r="J356" i="1"/>
  <c r="K356" i="1" s="1"/>
  <c r="V356" i="1"/>
  <c r="W356" i="1" s="1"/>
  <c r="A355" i="4"/>
  <c r="B358" i="1"/>
  <c r="E357" i="1"/>
  <c r="F357" i="1" s="1"/>
  <c r="I357" i="1" s="1"/>
  <c r="D357" i="1"/>
  <c r="C357" i="1"/>
  <c r="AB356" i="1" l="1"/>
  <c r="AG356" i="1" s="1"/>
  <c r="AA356" i="1"/>
  <c r="AF356" i="1" s="1"/>
  <c r="X356" i="1"/>
  <c r="AC356" i="1" s="1"/>
  <c r="Y356" i="1"/>
  <c r="AD356" i="1" s="1"/>
  <c r="Z356" i="1"/>
  <c r="AE356" i="1" s="1"/>
  <c r="P356" i="1"/>
  <c r="U356" i="1" s="1"/>
  <c r="O356" i="1"/>
  <c r="T356" i="1" s="1"/>
  <c r="L356" i="1"/>
  <c r="Q356" i="1" s="1"/>
  <c r="M356" i="1"/>
  <c r="R356" i="1" s="1"/>
  <c r="N356" i="1"/>
  <c r="S356" i="1" s="1"/>
  <c r="G353" i="4"/>
  <c r="C353" i="4"/>
  <c r="D353" i="4"/>
  <c r="F353" i="4"/>
  <c r="E353" i="4"/>
  <c r="V357" i="1"/>
  <c r="W357" i="1" s="1"/>
  <c r="B355" i="4"/>
  <c r="J357" i="1"/>
  <c r="K357" i="1" s="1"/>
  <c r="G354" i="4"/>
  <c r="A356" i="4"/>
  <c r="E358" i="1"/>
  <c r="F358" i="1" s="1"/>
  <c r="I358" i="1" s="1"/>
  <c r="C358" i="1"/>
  <c r="B359" i="1"/>
  <c r="D358" i="1"/>
  <c r="AB357" i="1" l="1"/>
  <c r="AG357" i="1" s="1"/>
  <c r="AA357" i="1"/>
  <c r="AF357" i="1" s="1"/>
  <c r="X357" i="1"/>
  <c r="AC357" i="1" s="1"/>
  <c r="Y357" i="1"/>
  <c r="AD357" i="1" s="1"/>
  <c r="Z357" i="1"/>
  <c r="AE357" i="1" s="1"/>
  <c r="P357" i="1"/>
  <c r="U357" i="1" s="1"/>
  <c r="O357" i="1"/>
  <c r="T357" i="1" s="1"/>
  <c r="L357" i="1"/>
  <c r="Q357" i="1" s="1"/>
  <c r="M357" i="1"/>
  <c r="R357" i="1" s="1"/>
  <c r="N357" i="1"/>
  <c r="S357" i="1" s="1"/>
  <c r="E354" i="4"/>
  <c r="F354" i="4"/>
  <c r="D354" i="4"/>
  <c r="C354" i="4"/>
  <c r="A357" i="4"/>
  <c r="D359" i="1"/>
  <c r="E359" i="1"/>
  <c r="F359" i="1" s="1"/>
  <c r="I359" i="1" s="1"/>
  <c r="B360" i="1"/>
  <c r="C359" i="1"/>
  <c r="B356" i="4"/>
  <c r="J358" i="1"/>
  <c r="K358" i="1" s="1"/>
  <c r="V358" i="1"/>
  <c r="W358" i="1" s="1"/>
  <c r="G355" i="4"/>
  <c r="F355" i="4"/>
  <c r="C355" i="4"/>
  <c r="D355" i="4"/>
  <c r="E355" i="4"/>
  <c r="AB358" i="1" l="1"/>
  <c r="AG358" i="1" s="1"/>
  <c r="AA358" i="1"/>
  <c r="AF358" i="1" s="1"/>
  <c r="X358" i="1"/>
  <c r="AC358" i="1" s="1"/>
  <c r="Y358" i="1"/>
  <c r="AD358" i="1" s="1"/>
  <c r="Z358" i="1"/>
  <c r="AE358" i="1" s="1"/>
  <c r="P358" i="1"/>
  <c r="U358" i="1" s="1"/>
  <c r="O358" i="1"/>
  <c r="T358" i="1" s="1"/>
  <c r="L358" i="1"/>
  <c r="Q358" i="1" s="1"/>
  <c r="M358" i="1"/>
  <c r="R358" i="1" s="1"/>
  <c r="N358" i="1"/>
  <c r="S358" i="1" s="1"/>
  <c r="A358" i="4"/>
  <c r="B361" i="1"/>
  <c r="D360" i="1"/>
  <c r="C360" i="1"/>
  <c r="E360" i="1"/>
  <c r="F360" i="1" s="1"/>
  <c r="I360" i="1" s="1"/>
  <c r="J359" i="1"/>
  <c r="K359" i="1" s="1"/>
  <c r="V359" i="1"/>
  <c r="W359" i="1" s="1"/>
  <c r="B357" i="4"/>
  <c r="AB359" i="1" l="1"/>
  <c r="AG359" i="1" s="1"/>
  <c r="AA359" i="1"/>
  <c r="AF359" i="1" s="1"/>
  <c r="X359" i="1"/>
  <c r="AC359" i="1" s="1"/>
  <c r="Y359" i="1"/>
  <c r="AD359" i="1" s="1"/>
  <c r="Z359" i="1"/>
  <c r="AE359" i="1" s="1"/>
  <c r="P359" i="1"/>
  <c r="U359" i="1" s="1"/>
  <c r="O359" i="1"/>
  <c r="T359" i="1" s="1"/>
  <c r="L359" i="1"/>
  <c r="Q359" i="1" s="1"/>
  <c r="M359" i="1"/>
  <c r="R359" i="1" s="1"/>
  <c r="N359" i="1"/>
  <c r="S359" i="1" s="1"/>
  <c r="C356" i="4"/>
  <c r="E356" i="4"/>
  <c r="G356" i="4"/>
  <c r="D356" i="4"/>
  <c r="F356" i="4"/>
  <c r="A359" i="4"/>
  <c r="C361" i="1"/>
  <c r="E361" i="1"/>
  <c r="F361" i="1" s="1"/>
  <c r="I361" i="1" s="1"/>
  <c r="D361" i="1"/>
  <c r="B362" i="1"/>
  <c r="G357" i="4"/>
  <c r="J360" i="1"/>
  <c r="K360" i="1" s="1"/>
  <c r="B358" i="4"/>
  <c r="V360" i="1"/>
  <c r="W360" i="1" s="1"/>
  <c r="AB360" i="1" l="1"/>
  <c r="AG360" i="1" s="1"/>
  <c r="AA360" i="1"/>
  <c r="AF360" i="1" s="1"/>
  <c r="X360" i="1"/>
  <c r="AC360" i="1" s="1"/>
  <c r="Y360" i="1"/>
  <c r="AD360" i="1" s="1"/>
  <c r="Z360" i="1"/>
  <c r="AE360" i="1" s="1"/>
  <c r="P360" i="1"/>
  <c r="U360" i="1" s="1"/>
  <c r="O360" i="1"/>
  <c r="T360" i="1" s="1"/>
  <c r="L360" i="1"/>
  <c r="Q360" i="1" s="1"/>
  <c r="M360" i="1"/>
  <c r="R360" i="1" s="1"/>
  <c r="N360" i="1"/>
  <c r="S360" i="1" s="1"/>
  <c r="F357" i="4"/>
  <c r="C357" i="4"/>
  <c r="E357" i="4"/>
  <c r="D357" i="4"/>
  <c r="D358" i="4"/>
  <c r="F358" i="4"/>
  <c r="E358" i="4"/>
  <c r="V361" i="1"/>
  <c r="W361" i="1" s="1"/>
  <c r="B359" i="4"/>
  <c r="J361" i="1"/>
  <c r="K361" i="1" s="1"/>
  <c r="C358" i="4"/>
  <c r="G358" i="4"/>
  <c r="A360" i="4"/>
  <c r="B363" i="1"/>
  <c r="D362" i="1"/>
  <c r="E362" i="1"/>
  <c r="F362" i="1" s="1"/>
  <c r="I362" i="1" s="1"/>
  <c r="C362" i="1"/>
  <c r="P361" i="1" l="1"/>
  <c r="U361" i="1" s="1"/>
  <c r="O361" i="1"/>
  <c r="T361" i="1" s="1"/>
  <c r="L361" i="1"/>
  <c r="Q361" i="1" s="1"/>
  <c r="M361" i="1"/>
  <c r="R361" i="1" s="1"/>
  <c r="N361" i="1"/>
  <c r="S361" i="1" s="1"/>
  <c r="AB361" i="1"/>
  <c r="AG361" i="1" s="1"/>
  <c r="AA361" i="1"/>
  <c r="AF361" i="1" s="1"/>
  <c r="X361" i="1"/>
  <c r="AC361" i="1" s="1"/>
  <c r="Z361" i="1"/>
  <c r="AE361" i="1" s="1"/>
  <c r="Y361" i="1"/>
  <c r="AD361" i="1" s="1"/>
  <c r="B360" i="4"/>
  <c r="J362" i="1"/>
  <c r="K362" i="1" s="1"/>
  <c r="V362" i="1"/>
  <c r="W362" i="1" s="1"/>
  <c r="A361" i="4"/>
  <c r="E363" i="1"/>
  <c r="F363" i="1" s="1"/>
  <c r="I363" i="1" s="1"/>
  <c r="B364" i="1"/>
  <c r="D363" i="1"/>
  <c r="C363" i="1"/>
  <c r="AB362" i="1" l="1"/>
  <c r="AG362" i="1" s="1"/>
  <c r="AA362" i="1"/>
  <c r="AF362" i="1" s="1"/>
  <c r="X362" i="1"/>
  <c r="AC362" i="1" s="1"/>
  <c r="Y362" i="1"/>
  <c r="AD362" i="1" s="1"/>
  <c r="Z362" i="1"/>
  <c r="AE362" i="1" s="1"/>
  <c r="P362" i="1"/>
  <c r="U362" i="1" s="1"/>
  <c r="O362" i="1"/>
  <c r="T362" i="1" s="1"/>
  <c r="L362" i="1"/>
  <c r="Q362" i="1" s="1"/>
  <c r="M362" i="1"/>
  <c r="R362" i="1" s="1"/>
  <c r="N362" i="1"/>
  <c r="S362" i="1" s="1"/>
  <c r="G359" i="4"/>
  <c r="D359" i="4"/>
  <c r="C359" i="4"/>
  <c r="E359" i="4"/>
  <c r="F359" i="4"/>
  <c r="A362" i="4"/>
  <c r="D364" i="1"/>
  <c r="E364" i="1"/>
  <c r="F364" i="1" s="1"/>
  <c r="I364" i="1" s="1"/>
  <c r="C364" i="1"/>
  <c r="B365" i="1"/>
  <c r="G360" i="4"/>
  <c r="V363" i="1"/>
  <c r="W363" i="1" s="1"/>
  <c r="B361" i="4"/>
  <c r="J363" i="1"/>
  <c r="K363" i="1" s="1"/>
  <c r="P363" i="1" l="1"/>
  <c r="U363" i="1" s="1"/>
  <c r="O363" i="1"/>
  <c r="T363" i="1" s="1"/>
  <c r="L363" i="1"/>
  <c r="Q363" i="1" s="1"/>
  <c r="M363" i="1"/>
  <c r="R363" i="1" s="1"/>
  <c r="N363" i="1"/>
  <c r="S363" i="1" s="1"/>
  <c r="AB363" i="1"/>
  <c r="AG363" i="1" s="1"/>
  <c r="AA363" i="1"/>
  <c r="AF363" i="1" s="1"/>
  <c r="X363" i="1"/>
  <c r="AC363" i="1" s="1"/>
  <c r="Y363" i="1"/>
  <c r="AD363" i="1" s="1"/>
  <c r="Z363" i="1"/>
  <c r="AE363" i="1" s="1"/>
  <c r="D360" i="4"/>
  <c r="C360" i="4"/>
  <c r="F360" i="4"/>
  <c r="E360" i="4"/>
  <c r="J364" i="1"/>
  <c r="K364" i="1" s="1"/>
  <c r="B362" i="4"/>
  <c r="V364" i="1"/>
  <c r="W364" i="1" s="1"/>
  <c r="F361" i="4"/>
  <c r="D361" i="4"/>
  <c r="C361" i="4"/>
  <c r="G361" i="4"/>
  <c r="A363" i="4"/>
  <c r="B366" i="1"/>
  <c r="C365" i="1"/>
  <c r="E365" i="1"/>
  <c r="F365" i="1" s="1"/>
  <c r="I365" i="1" s="1"/>
  <c r="D365" i="1"/>
  <c r="E361" i="4" l="1"/>
  <c r="P364" i="1"/>
  <c r="U364" i="1" s="1"/>
  <c r="O364" i="1"/>
  <c r="T364" i="1" s="1"/>
  <c r="L364" i="1"/>
  <c r="Q364" i="1" s="1"/>
  <c r="M364" i="1"/>
  <c r="R364" i="1" s="1"/>
  <c r="N364" i="1"/>
  <c r="S364" i="1" s="1"/>
  <c r="AB364" i="1"/>
  <c r="AG364" i="1" s="1"/>
  <c r="AA364" i="1"/>
  <c r="AF364" i="1" s="1"/>
  <c r="X364" i="1"/>
  <c r="AC364" i="1" s="1"/>
  <c r="Y364" i="1"/>
  <c r="AD364" i="1" s="1"/>
  <c r="Z364" i="1"/>
  <c r="AE364" i="1" s="1"/>
  <c r="A364" i="4"/>
  <c r="D366" i="1"/>
  <c r="C366" i="1"/>
  <c r="B367" i="1"/>
  <c r="E366" i="1"/>
  <c r="F366" i="1" s="1"/>
  <c r="I366" i="1" s="1"/>
  <c r="V365" i="1"/>
  <c r="W365" i="1" s="1"/>
  <c r="B363" i="4"/>
  <c r="J365" i="1"/>
  <c r="K365" i="1" s="1"/>
  <c r="P365" i="1" l="1"/>
  <c r="U365" i="1" s="1"/>
  <c r="O365" i="1"/>
  <c r="T365" i="1" s="1"/>
  <c r="L365" i="1"/>
  <c r="Q365" i="1" s="1"/>
  <c r="M365" i="1"/>
  <c r="R365" i="1" s="1"/>
  <c r="N365" i="1"/>
  <c r="S365" i="1" s="1"/>
  <c r="AB365" i="1"/>
  <c r="AG365" i="1" s="1"/>
  <c r="AA365" i="1"/>
  <c r="AF365" i="1" s="1"/>
  <c r="X365" i="1"/>
  <c r="AC365" i="1" s="1"/>
  <c r="Y365" i="1"/>
  <c r="AD365" i="1" s="1"/>
  <c r="Z365" i="1"/>
  <c r="AE365" i="1" s="1"/>
  <c r="G362" i="4"/>
  <c r="F362" i="4"/>
  <c r="C362" i="4"/>
  <c r="D362" i="4"/>
  <c r="E362" i="4"/>
  <c r="G363" i="4"/>
  <c r="V366" i="1"/>
  <c r="W366" i="1" s="1"/>
  <c r="B364" i="4"/>
  <c r="J366" i="1"/>
  <c r="K366" i="1" s="1"/>
  <c r="A365" i="4"/>
  <c r="B368" i="1"/>
  <c r="A1" i="22" s="1" a="1"/>
  <c r="E367" i="1"/>
  <c r="F367" i="1" s="1"/>
  <c r="I367" i="1" s="1"/>
  <c r="C367" i="1"/>
  <c r="D367" i="1"/>
  <c r="P366" i="1" l="1"/>
  <c r="U366" i="1" s="1"/>
  <c r="O366" i="1"/>
  <c r="T366" i="1" s="1"/>
  <c r="L366" i="1"/>
  <c r="Q366" i="1" s="1"/>
  <c r="M366" i="1"/>
  <c r="R366" i="1" s="1"/>
  <c r="N366" i="1"/>
  <c r="S366" i="1" s="1"/>
  <c r="AB366" i="1"/>
  <c r="AG366" i="1" s="1"/>
  <c r="AA366" i="1"/>
  <c r="AF366" i="1" s="1"/>
  <c r="X366" i="1"/>
  <c r="AC366" i="1" s="1"/>
  <c r="Y366" i="1"/>
  <c r="AD366" i="1" s="1"/>
  <c r="Z366" i="1"/>
  <c r="AE366" i="1" s="1"/>
  <c r="A1" i="22"/>
  <c r="DC1" i="22"/>
  <c r="GJ1" i="22"/>
  <c r="JQ1" i="22"/>
  <c r="MS1" i="22"/>
  <c r="DS1" i="22"/>
  <c r="GZ1" i="22"/>
  <c r="KG1" i="22"/>
  <c r="DX1" i="22"/>
  <c r="HE1" i="22"/>
  <c r="KM1" i="22"/>
  <c r="BA1" i="22"/>
  <c r="EI1" i="22"/>
  <c r="HP1" i="22"/>
  <c r="KW1" i="22"/>
  <c r="EN1" i="22"/>
  <c r="IQ1" i="22"/>
  <c r="MO1" i="22"/>
  <c r="ES1" i="22"/>
  <c r="IV1" i="22"/>
  <c r="MW1" i="22"/>
  <c r="EY1" i="22"/>
  <c r="JA1" i="22"/>
  <c r="NA1" i="22"/>
  <c r="AV1" i="22"/>
  <c r="FD1" i="22"/>
  <c r="JG1" i="22"/>
  <c r="FI1" i="22"/>
  <c r="JL1" i="22"/>
  <c r="BG1" i="22"/>
  <c r="GO1" i="22"/>
  <c r="MG1" i="22"/>
  <c r="CB1" i="22"/>
  <c r="IA1" i="22"/>
  <c r="JW1" i="22"/>
  <c r="DH1" i="22"/>
  <c r="EC1" i="22"/>
  <c r="LH1" i="22"/>
  <c r="FY1" i="22"/>
  <c r="MC1" i="22"/>
  <c r="BL1" i="22"/>
  <c r="GU1" i="22"/>
  <c r="MK1" i="22"/>
  <c r="BW1" i="22"/>
  <c r="CR1" i="22"/>
  <c r="KB1" i="22"/>
  <c r="LC1" i="22"/>
  <c r="LM1" i="22"/>
  <c r="LS1" i="22"/>
  <c r="LX1" i="22"/>
  <c r="BQ1" i="22"/>
  <c r="HK1" i="22"/>
  <c r="HU1" i="22"/>
  <c r="CG1" i="22"/>
  <c r="IF1" i="22"/>
  <c r="CM1" i="22"/>
  <c r="IK1" i="22"/>
  <c r="DM1" i="22"/>
  <c r="GE1" i="22"/>
  <c r="CW1" i="22"/>
  <c r="KR1" i="22"/>
  <c r="FO1" i="22"/>
  <c r="FT1" i="22"/>
  <c r="MV1" i="22"/>
  <c r="JU1" i="22"/>
  <c r="GN1" i="22"/>
  <c r="DG1" i="22"/>
  <c r="Y1" i="22"/>
  <c r="MI1" i="22"/>
  <c r="JD1" i="22"/>
  <c r="FW1" i="22"/>
  <c r="CO1" i="22"/>
  <c r="H1" i="22"/>
  <c r="KN1" i="22"/>
  <c r="HG1" i="22"/>
  <c r="DY1" i="22"/>
  <c r="AR1" i="22"/>
  <c r="AH1" i="22"/>
  <c r="CT1" i="22"/>
  <c r="FF1" i="22"/>
  <c r="HR1" i="22"/>
  <c r="KD1" i="22"/>
  <c r="C1" i="22"/>
  <c r="HA1" i="22"/>
  <c r="AM1" i="22"/>
  <c r="CX1" i="22"/>
  <c r="FJ1" i="22"/>
  <c r="KH1" i="22"/>
  <c r="FX1" i="22"/>
  <c r="IN1" i="22"/>
  <c r="JX1" i="22"/>
  <c r="AB1" i="22"/>
  <c r="MF1" i="22"/>
  <c r="CK1" i="22"/>
  <c r="LP1" i="22"/>
  <c r="FA1" i="22"/>
  <c r="JS1" i="22"/>
  <c r="W1" i="22"/>
  <c r="FV1" i="22"/>
  <c r="FM1" i="22"/>
  <c r="LK1" i="22"/>
  <c r="MP1" i="22"/>
  <c r="CY1" i="22"/>
  <c r="DN1" i="22"/>
  <c r="KX1" i="22"/>
  <c r="CA1" i="22"/>
  <c r="EQ1" i="22"/>
  <c r="JH1" i="22"/>
  <c r="L1" i="22"/>
  <c r="GD1" i="22"/>
  <c r="LB1" i="22"/>
  <c r="AA1" i="22"/>
  <c r="MH1" i="22"/>
  <c r="BJ1" i="22"/>
  <c r="EW1" i="22"/>
  <c r="HM1" i="22"/>
  <c r="IW1" i="22"/>
  <c r="BN1" i="22"/>
  <c r="LJ1" i="22"/>
  <c r="MR1" i="22"/>
  <c r="JP1" i="22"/>
  <c r="GI1" i="22"/>
  <c r="DA1" i="22"/>
  <c r="T1" i="22"/>
  <c r="ME1" i="22"/>
  <c r="IY1" i="22"/>
  <c r="FQ1" i="22"/>
  <c r="CJ1" i="22"/>
  <c r="KI1" i="22"/>
  <c r="DT1" i="22"/>
  <c r="AL1" i="22"/>
  <c r="HV1" i="22"/>
  <c r="MJ1" i="22"/>
  <c r="I1" i="22"/>
  <c r="FG1" i="22"/>
  <c r="MX1" i="22"/>
  <c r="DI1" i="22"/>
  <c r="DF1" i="22"/>
  <c r="ID1" i="22"/>
  <c r="IZ1" i="22"/>
  <c r="D1" i="22"/>
  <c r="BT1" i="22"/>
  <c r="GK1" i="22"/>
  <c r="AX1" i="22"/>
  <c r="IH1" i="22"/>
  <c r="IU1" i="22"/>
  <c r="AQ1" i="22"/>
  <c r="BO1" i="22"/>
  <c r="GF1" i="22"/>
  <c r="BB1" i="22"/>
  <c r="IL1" i="22"/>
  <c r="FH1" i="22"/>
  <c r="HX1" i="22"/>
  <c r="GA1" i="22"/>
  <c r="DR1" i="22"/>
  <c r="IJ1" i="22"/>
  <c r="HS1" i="22"/>
  <c r="FU1" i="22"/>
  <c r="IT1" i="22"/>
  <c r="LL1" i="22"/>
  <c r="U1" i="22"/>
  <c r="AY1" i="22"/>
  <c r="CI1" i="22"/>
  <c r="GL1" i="22"/>
  <c r="MN1" i="22"/>
  <c r="JK1" i="22"/>
  <c r="GC1" i="22"/>
  <c r="CV1" i="22"/>
  <c r="O1" i="22"/>
  <c r="MA1" i="22"/>
  <c r="IS1" i="22"/>
  <c r="FL1" i="22"/>
  <c r="CE1" i="22"/>
  <c r="NB1" i="22"/>
  <c r="KC1" i="22"/>
  <c r="GV1" i="22"/>
  <c r="DO1" i="22"/>
  <c r="AG1" i="22"/>
  <c r="AP1" i="22"/>
  <c r="DB1" i="22"/>
  <c r="FN1" i="22"/>
  <c r="HZ1" i="22"/>
  <c r="KL1" i="22"/>
  <c r="JE1" i="22"/>
  <c r="CQ1" i="22"/>
  <c r="LU1" i="22"/>
  <c r="BY1" i="22"/>
  <c r="GQ1" i="22"/>
  <c r="AT1" i="22"/>
  <c r="FR1" i="22"/>
  <c r="KP1" i="22"/>
  <c r="FS1" i="22"/>
  <c r="II1" i="22"/>
  <c r="MT1" i="22"/>
  <c r="DD1" i="22"/>
  <c r="DJ1" i="22"/>
  <c r="KT1" i="22"/>
  <c r="MB1" i="22"/>
  <c r="CF1" i="22"/>
  <c r="EV1" i="22"/>
  <c r="JM1" i="22"/>
  <c r="FZ1" i="22"/>
  <c r="LW1" i="22"/>
  <c r="AF1" i="22"/>
  <c r="BI1" i="22"/>
  <c r="BF1" i="22"/>
  <c r="FC1" i="22"/>
  <c r="EK1" i="22"/>
  <c r="CN1" i="22"/>
  <c r="GH1" i="22"/>
  <c r="IE1" i="22"/>
  <c r="KU1" i="22"/>
  <c r="MD1" i="22"/>
  <c r="B1" i="22"/>
  <c r="IX1" i="22"/>
  <c r="IC1" i="22"/>
  <c r="Q1" i="22"/>
  <c r="IO1" i="22"/>
  <c r="LE1" i="22"/>
  <c r="ML1" i="22"/>
  <c r="CS1" i="22"/>
  <c r="IP1" i="22"/>
  <c r="LQ1" i="22"/>
  <c r="BU1" i="22"/>
  <c r="KZ1" i="22"/>
  <c r="BD1" i="22"/>
  <c r="JC1" i="22"/>
  <c r="G1" i="22"/>
  <c r="DV1" i="22"/>
  <c r="LF1" i="22"/>
  <c r="BP1" i="22"/>
  <c r="EF1" i="22"/>
  <c r="FP1" i="22"/>
  <c r="DZ1" i="22"/>
  <c r="HO1" i="22"/>
  <c r="AO1" i="22"/>
  <c r="JI1" i="22"/>
  <c r="AN1" i="22"/>
  <c r="IB1" i="22"/>
  <c r="BC1" i="22"/>
  <c r="ED1" i="22"/>
  <c r="JJ1" i="22"/>
  <c r="JN1" i="22"/>
  <c r="F1" i="22"/>
  <c r="JR1" i="22"/>
  <c r="GY1" i="22"/>
  <c r="X1" i="22"/>
  <c r="EP1" i="22"/>
  <c r="GB1" i="22"/>
  <c r="GP1" i="22"/>
  <c r="MQ1" i="22"/>
  <c r="AD1" i="22"/>
  <c r="KV1" i="22"/>
  <c r="BR1" i="22"/>
  <c r="KQ1" i="22"/>
  <c r="BV1" i="22"/>
  <c r="KK1" i="22"/>
  <c r="KY1" i="22"/>
  <c r="HF1" i="22"/>
  <c r="BK1" i="22"/>
  <c r="KS1" i="22"/>
  <c r="HJ1" i="22"/>
  <c r="HY1" i="22"/>
  <c r="IM1" i="22"/>
  <c r="JB1" i="22"/>
  <c r="JO1" i="22"/>
  <c r="IG1" i="22"/>
  <c r="JF1" i="22"/>
  <c r="HI1" i="22"/>
  <c r="AJ1" i="22"/>
  <c r="HH1" i="22"/>
  <c r="AI1" i="22"/>
  <c r="HW1" i="22"/>
  <c r="AW1" i="22"/>
  <c r="EH1" i="22"/>
  <c r="EL1" i="22"/>
  <c r="GW1" i="22"/>
  <c r="J1" i="22"/>
  <c r="AK1" i="22"/>
  <c r="K1" i="22"/>
  <c r="S1" i="22"/>
  <c r="N1" i="22"/>
  <c r="JZ1" i="22"/>
  <c r="NC1" i="22"/>
  <c r="M1" i="22"/>
  <c r="R1" i="22"/>
  <c r="LN1" i="22"/>
  <c r="MY1" i="22"/>
  <c r="LY1" i="22"/>
  <c r="FB1" i="22"/>
  <c r="LG1" i="22"/>
  <c r="EU1" i="22"/>
  <c r="EB1" i="22"/>
  <c r="GT1" i="22"/>
  <c r="MM1" i="22"/>
  <c r="DP1" i="22"/>
  <c r="HD1" i="22"/>
  <c r="AE1" i="22"/>
  <c r="HC1" i="22"/>
  <c r="AC1" i="22"/>
  <c r="HQ1" i="22"/>
  <c r="P1" i="22"/>
  <c r="HL1" i="22"/>
  <c r="JV1" i="22"/>
  <c r="GS1" i="22"/>
  <c r="GR1" i="22"/>
  <c r="FK1" i="22"/>
  <c r="ET1" i="22"/>
  <c r="ER1" i="22"/>
  <c r="GM1" i="22"/>
  <c r="FE1" i="22"/>
  <c r="EX1" i="22"/>
  <c r="MZ1" i="22"/>
  <c r="EM1" i="22"/>
  <c r="GG1" i="22"/>
  <c r="V1" i="22"/>
  <c r="LR1" i="22"/>
  <c r="MU1" i="22"/>
  <c r="LT1" i="22"/>
  <c r="LV1" i="22"/>
  <c r="LA1" i="22"/>
  <c r="EO1" i="22"/>
  <c r="LZ1" i="22"/>
  <c r="DU1" i="22"/>
  <c r="GX1" i="22"/>
  <c r="LD1" i="22"/>
  <c r="DK1" i="22"/>
  <c r="BZ1" i="22"/>
  <c r="KF1" i="22"/>
  <c r="DE1" i="22"/>
  <c r="CD1" i="22"/>
  <c r="CU1" i="22"/>
  <c r="CL1" i="22"/>
  <c r="AU1" i="22"/>
  <c r="BH1" i="22"/>
  <c r="KO1" i="22"/>
  <c r="KJ1" i="22"/>
  <c r="CC1" i="22"/>
  <c r="KE1" i="22"/>
  <c r="BX1" i="22"/>
  <c r="JT1" i="22"/>
  <c r="BM1" i="22"/>
  <c r="HT1" i="22"/>
  <c r="AS1" i="22"/>
  <c r="CP1" i="22"/>
  <c r="E1" i="22"/>
  <c r="EZ1" i="22"/>
  <c r="EG1" i="22"/>
  <c r="Z1" i="22"/>
  <c r="LO1" i="22"/>
  <c r="LI1" i="22"/>
  <c r="EA1" i="22"/>
  <c r="DW1" i="22"/>
  <c r="EJ1" i="22"/>
  <c r="DQ1" i="22"/>
  <c r="EE1" i="22"/>
  <c r="HB1" i="22"/>
  <c r="DL1" i="22"/>
  <c r="KA1" i="22"/>
  <c r="BE1" i="22"/>
  <c r="JY1" i="22"/>
  <c r="CZ1" i="22"/>
  <c r="IR1" i="22"/>
  <c r="BS1" i="22"/>
  <c r="CH1" i="22"/>
  <c r="HN1" i="22"/>
  <c r="AZ1" i="22"/>
  <c r="F363" i="4"/>
  <c r="D363" i="4"/>
  <c r="C363" i="4"/>
  <c r="E363" i="4"/>
  <c r="G364" i="4"/>
  <c r="D364" i="4"/>
  <c r="E364" i="4"/>
  <c r="F364" i="4"/>
  <c r="C364" i="4"/>
  <c r="V367" i="1"/>
  <c r="W367" i="1" s="1"/>
  <c r="J367" i="1"/>
  <c r="K367" i="1" s="1"/>
  <c r="B365" i="4"/>
  <c r="A366" i="4"/>
  <c r="E368" i="1"/>
  <c r="D368" i="1"/>
  <c r="C368" i="1"/>
  <c r="AB367" i="1" l="1"/>
  <c r="AG367" i="1" s="1"/>
  <c r="AA367" i="1"/>
  <c r="AF367" i="1" s="1"/>
  <c r="X367" i="1"/>
  <c r="AC367" i="1" s="1"/>
  <c r="Y367" i="1"/>
  <c r="AD367" i="1" s="1"/>
  <c r="Z367" i="1"/>
  <c r="AE367" i="1" s="1"/>
  <c r="P367" i="1"/>
  <c r="U367" i="1" s="1"/>
  <c r="O367" i="1"/>
  <c r="T367" i="1" s="1"/>
  <c r="L367" i="1"/>
  <c r="Q367" i="1" s="1"/>
  <c r="M367" i="1"/>
  <c r="R367" i="1" s="1"/>
  <c r="N367" i="1"/>
  <c r="S367" i="1" s="1"/>
  <c r="F368" i="1"/>
  <c r="I368" i="1" s="1"/>
  <c r="A4" i="22" s="1" a="1"/>
  <c r="A2" i="22" a="1"/>
  <c r="A367" i="4"/>
  <c r="J368" i="1"/>
  <c r="K368" i="1" s="1"/>
  <c r="V368" i="1"/>
  <c r="W368" i="1" s="1"/>
  <c r="P368" i="1" l="1"/>
  <c r="U368" i="1" s="1"/>
  <c r="O368" i="1"/>
  <c r="T368" i="1" s="1"/>
  <c r="L368" i="1"/>
  <c r="Q368" i="1" s="1"/>
  <c r="M368" i="1"/>
  <c r="R368" i="1" s="1"/>
  <c r="N368" i="1"/>
  <c r="S368" i="1" s="1"/>
  <c r="AB368" i="1"/>
  <c r="AG368" i="1" s="1"/>
  <c r="AA368" i="1"/>
  <c r="AF368" i="1" s="1"/>
  <c r="X368" i="1"/>
  <c r="AC368" i="1" s="1"/>
  <c r="Y368" i="1"/>
  <c r="AD368" i="1" s="1"/>
  <c r="Z368" i="1"/>
  <c r="AE368" i="1" s="1"/>
  <c r="G365" i="4"/>
  <c r="B366" i="4"/>
  <c r="A2" i="22"/>
  <c r="P2" i="22"/>
  <c r="CW2" i="22"/>
  <c r="GD2" i="22"/>
  <c r="JL2" i="22"/>
  <c r="MO2" i="22"/>
  <c r="AF2" i="22"/>
  <c r="DM2" i="22"/>
  <c r="GT2" i="22"/>
  <c r="KB2" i="22"/>
  <c r="NA2" i="22"/>
  <c r="AK2" i="22"/>
  <c r="DR2" i="22"/>
  <c r="GZ2" i="22"/>
  <c r="KG2" i="22"/>
  <c r="AV2" i="22"/>
  <c r="EC2" i="22"/>
  <c r="HJ2" i="22"/>
  <c r="KR2" i="22"/>
  <c r="J2" i="22"/>
  <c r="EH2" i="22"/>
  <c r="IK2" i="22"/>
  <c r="MK2" i="22"/>
  <c r="U2" i="22"/>
  <c r="EN2" i="22"/>
  <c r="IP2" i="22"/>
  <c r="MS2" i="22"/>
  <c r="Z2" i="22"/>
  <c r="ES2" i="22"/>
  <c r="IV2" i="22"/>
  <c r="MW2" i="22"/>
  <c r="AP2" i="22"/>
  <c r="EX2" i="22"/>
  <c r="JA2" i="22"/>
  <c r="BA2" i="22"/>
  <c r="FD2" i="22"/>
  <c r="JF2" i="22"/>
  <c r="BL2" i="22"/>
  <c r="HE2" i="22"/>
  <c r="CB2" i="22"/>
  <c r="CG2" i="22"/>
  <c r="IF2" i="22"/>
  <c r="DB2" i="22"/>
  <c r="DX2" i="22"/>
  <c r="FN2" i="22"/>
  <c r="LM2" i="22"/>
  <c r="LX2" i="22"/>
  <c r="E2" i="22"/>
  <c r="GO2" i="22"/>
  <c r="BQ2" i="22"/>
  <c r="HP2" i="22"/>
  <c r="JV2" i="22"/>
  <c r="FI2" i="22"/>
  <c r="FT2" i="22"/>
  <c r="MG2" i="22"/>
  <c r="BV2" i="22"/>
  <c r="HU2" i="22"/>
  <c r="HZ2" i="22"/>
  <c r="CL2" i="22"/>
  <c r="JQ2" i="22"/>
  <c r="CR2" i="22"/>
  <c r="KL2" i="22"/>
  <c r="KW2" i="22"/>
  <c r="LB2" i="22"/>
  <c r="LR2" i="22"/>
  <c r="FY2" i="22"/>
  <c r="GJ2" i="22"/>
  <c r="DH2" i="22"/>
  <c r="LH2" i="22"/>
  <c r="MC2" i="22"/>
  <c r="BF2" i="22"/>
  <c r="LA2" i="22"/>
  <c r="HT2" i="22"/>
  <c r="EL2" i="22"/>
  <c r="BE2" i="22"/>
  <c r="MI2" i="22"/>
  <c r="JD2" i="22"/>
  <c r="FV2" i="22"/>
  <c r="CO2" i="22"/>
  <c r="H2" i="22"/>
  <c r="KN2" i="22"/>
  <c r="HF2" i="22"/>
  <c r="DY2" i="22"/>
  <c r="AR2" i="22"/>
  <c r="AI2" i="22"/>
  <c r="CU2" i="22"/>
  <c r="FG2" i="22"/>
  <c r="HS2" i="22"/>
  <c r="KE2" i="22"/>
  <c r="KK2" i="22"/>
  <c r="FF2" i="22"/>
  <c r="DI2" i="22"/>
  <c r="IE2" i="22"/>
  <c r="GX2" i="22"/>
  <c r="AJ2" i="22"/>
  <c r="IH2" i="22"/>
  <c r="BT2" i="22"/>
  <c r="JR2" i="22"/>
  <c r="DD2" i="22"/>
  <c r="DK2" i="22"/>
  <c r="II2" i="22"/>
  <c r="JZ2" i="22"/>
  <c r="DL2" i="22"/>
  <c r="AD2" i="22"/>
  <c r="EV2" i="22"/>
  <c r="JM2" i="22"/>
  <c r="Q2" i="22"/>
  <c r="GA2" i="22"/>
  <c r="KY2" i="22"/>
  <c r="MV2" i="22"/>
  <c r="HX2" i="22"/>
  <c r="CS2" i="22"/>
  <c r="LC2" i="22"/>
  <c r="DA2" i="22"/>
  <c r="BD2" i="22"/>
  <c r="DW2" i="22"/>
  <c r="JJ2" i="22"/>
  <c r="N2" i="22"/>
  <c r="EF2" i="22"/>
  <c r="IW2" i="22"/>
  <c r="BO2" i="22"/>
  <c r="IY2" i="22"/>
  <c r="MJ2" i="22"/>
  <c r="I2" i="22"/>
  <c r="AS2" i="22"/>
  <c r="CC2" i="22"/>
  <c r="KV2" i="22"/>
  <c r="HN2" i="22"/>
  <c r="EG2" i="22"/>
  <c r="AZ2" i="22"/>
  <c r="ME2" i="22"/>
  <c r="IX2" i="22"/>
  <c r="FQ2" i="22"/>
  <c r="CJ2" i="22"/>
  <c r="B2" i="22"/>
  <c r="KH2" i="22"/>
  <c r="HA2" i="22"/>
  <c r="DT2" i="22"/>
  <c r="AL2" i="22"/>
  <c r="AM2" i="22"/>
  <c r="CY2" i="22"/>
  <c r="FK2" i="22"/>
  <c r="HW2" i="22"/>
  <c r="KI2" i="22"/>
  <c r="DV2" i="22"/>
  <c r="AO2" i="22"/>
  <c r="IN2" i="22"/>
  <c r="MX2" i="22"/>
  <c r="GP2" i="22"/>
  <c r="AU2" i="22"/>
  <c r="FS2" i="22"/>
  <c r="KF2" i="22"/>
  <c r="LP2" i="22"/>
  <c r="MT2" i="22"/>
  <c r="V2" i="22"/>
  <c r="FW2" i="22"/>
  <c r="GS2" i="22"/>
  <c r="LJ2" i="22"/>
  <c r="MP2" i="22"/>
  <c r="CX2" i="22"/>
  <c r="BC2" i="22"/>
  <c r="IM2" i="22"/>
  <c r="JU2" i="22"/>
  <c r="Y2" i="22"/>
  <c r="BI2" i="22"/>
  <c r="FZ2" i="22"/>
  <c r="BG2" i="22"/>
  <c r="IQ2" i="22"/>
  <c r="HR2" i="22"/>
  <c r="FU2" i="22"/>
  <c r="GI2" i="22"/>
  <c r="MN2" i="22"/>
  <c r="GC2" i="22"/>
  <c r="HM2" i="22"/>
  <c r="MD2" i="22"/>
  <c r="CH2" i="22"/>
  <c r="EA2" i="22"/>
  <c r="JE2" i="22"/>
  <c r="CP2" i="22"/>
  <c r="HH2" i="22"/>
  <c r="IR2" i="22"/>
  <c r="G2" i="22"/>
  <c r="KP2" i="22"/>
  <c r="HI2" i="22"/>
  <c r="EB2" i="22"/>
  <c r="AT2" i="22"/>
  <c r="LZ2" i="22"/>
  <c r="IS2" i="22"/>
  <c r="FL2" i="22"/>
  <c r="CD2" i="22"/>
  <c r="NB2" i="22"/>
  <c r="KC2" i="22"/>
  <c r="GV2" i="22"/>
  <c r="DN2" i="22"/>
  <c r="AG2" i="22"/>
  <c r="AQ2" i="22"/>
  <c r="DC2" i="22"/>
  <c r="FO2" i="22"/>
  <c r="IA2" i="22"/>
  <c r="KM2" i="22"/>
  <c r="HD2" i="22"/>
  <c r="LU2" i="22"/>
  <c r="BY2" i="22"/>
  <c r="JX2" i="22"/>
  <c r="AB2" i="22"/>
  <c r="DG2" i="22"/>
  <c r="KQ2" i="22"/>
  <c r="DQ2" i="22"/>
  <c r="FA2" i="22"/>
  <c r="GK2" i="22"/>
  <c r="AY2" i="22"/>
  <c r="KU2" i="22"/>
  <c r="MZ2" i="22"/>
  <c r="IC2" i="22"/>
  <c r="GF2" i="22"/>
  <c r="DO2" i="22"/>
  <c r="DF2" i="22"/>
  <c r="EP2" i="22"/>
  <c r="JH2" i="22"/>
  <c r="L2" i="22"/>
  <c r="GE2" i="22"/>
  <c r="JP2" i="22"/>
  <c r="KZ2" i="22"/>
  <c r="MH2" i="22"/>
  <c r="F2" i="22"/>
  <c r="LG2" i="22"/>
  <c r="KT2" i="22"/>
  <c r="FP2" i="22"/>
  <c r="GM2" i="22"/>
  <c r="FX2" i="22"/>
  <c r="KO2" i="22"/>
  <c r="LY2" i="22"/>
  <c r="FJ2" i="22"/>
  <c r="BN2" i="22"/>
  <c r="GN2" i="22"/>
  <c r="LE2" i="22"/>
  <c r="ML2" i="22"/>
  <c r="DS2" i="22"/>
  <c r="MR2" i="22"/>
  <c r="GH2" i="22"/>
  <c r="T2" i="22"/>
  <c r="EK2" i="22"/>
  <c r="JB2" i="22"/>
  <c r="CN2" i="22"/>
  <c r="BK2" i="22"/>
  <c r="IU2" i="22"/>
  <c r="CV2" i="22"/>
  <c r="AX2" i="22"/>
  <c r="C2" i="22"/>
  <c r="LK2" i="22"/>
  <c r="DZ2" i="22"/>
  <c r="MF2" i="22"/>
  <c r="EW2" i="22"/>
  <c r="JY2" i="22"/>
  <c r="AN2" i="22"/>
  <c r="HQ2" i="22"/>
  <c r="S2" i="22"/>
  <c r="EY2" i="22"/>
  <c r="LO2" i="22"/>
  <c r="JI2" i="22"/>
  <c r="AE2" i="22"/>
  <c r="IT2" i="22"/>
  <c r="CE2" i="22"/>
  <c r="LI2" i="22"/>
  <c r="HO2" i="22"/>
  <c r="IJ2" i="22"/>
  <c r="DU2" i="22"/>
  <c r="HY2" i="22"/>
  <c r="BH2" i="22"/>
  <c r="DJ2" i="22"/>
  <c r="EI2" i="22"/>
  <c r="IB2" i="22"/>
  <c r="FB2" i="22"/>
  <c r="HV2" i="22"/>
  <c r="EU2" i="22"/>
  <c r="MB2" i="22"/>
  <c r="ER2" i="22"/>
  <c r="JT2" i="22"/>
  <c r="AH2" i="22"/>
  <c r="HL2" i="22"/>
  <c r="W2" i="22"/>
  <c r="FC2" i="22"/>
  <c r="LS2" i="22"/>
  <c r="CF2" i="22"/>
  <c r="EZ2" i="22"/>
  <c r="MA2" i="22"/>
  <c r="BZ2" i="22"/>
  <c r="R2" i="22"/>
  <c r="BS2" i="22"/>
  <c r="M2" i="22"/>
  <c r="BW2" i="22"/>
  <c r="HC2" i="22"/>
  <c r="GR2" i="22"/>
  <c r="HG2" i="22"/>
  <c r="GL2" i="22"/>
  <c r="D2" i="22"/>
  <c r="CI2" i="22"/>
  <c r="NC2" i="22"/>
  <c r="MY2" i="22"/>
  <c r="KX2" i="22"/>
  <c r="JG2" i="22"/>
  <c r="LV2" i="22"/>
  <c r="CK2" i="22"/>
  <c r="JN2" i="22"/>
  <c r="AC2" i="22"/>
  <c r="FE2" i="22"/>
  <c r="AA2" i="22"/>
  <c r="GQ2" i="22"/>
  <c r="LW2" i="22"/>
  <c r="LQ2" i="22"/>
  <c r="X2" i="22"/>
  <c r="GU2" i="22"/>
  <c r="LL2" i="22"/>
  <c r="HB2" i="22"/>
  <c r="ET2" i="22"/>
  <c r="GY2" i="22"/>
  <c r="BU2" i="22"/>
  <c r="EO2" i="22"/>
  <c r="BP2" i="22"/>
  <c r="LT2" i="22"/>
  <c r="EJ2" i="22"/>
  <c r="CA2" i="22"/>
  <c r="LN2" i="22"/>
  <c r="ED2" i="22"/>
  <c r="HK2" i="22"/>
  <c r="IO2" i="22"/>
  <c r="GB2" i="22"/>
  <c r="BR2" i="22"/>
  <c r="JC2" i="22"/>
  <c r="ID2" i="22"/>
  <c r="CQ2" i="22"/>
  <c r="MU2" i="22"/>
  <c r="JK2" i="22"/>
  <c r="MQ2" i="22"/>
  <c r="BB2" i="22"/>
  <c r="KJ2" i="22"/>
  <c r="K2" i="22"/>
  <c r="JW2" i="22"/>
  <c r="CT2" i="22"/>
  <c r="DP2" i="22"/>
  <c r="EE2" i="22"/>
  <c r="FR2" i="22"/>
  <c r="IL2" i="22"/>
  <c r="JO2" i="22"/>
  <c r="CZ2" i="22"/>
  <c r="EQ2" i="22"/>
  <c r="KD2" i="22"/>
  <c r="O2" i="22"/>
  <c r="LF2" i="22"/>
  <c r="GW2" i="22"/>
  <c r="BJ2" i="22"/>
  <c r="BX2" i="22"/>
  <c r="CM2" i="22"/>
  <c r="IZ2" i="22"/>
  <c r="GG2" i="22"/>
  <c r="LD2" i="22"/>
  <c r="BM2" i="22"/>
  <c r="KS2" i="22"/>
  <c r="FM2" i="22"/>
  <c r="MM2" i="22"/>
  <c r="DE2" i="22"/>
  <c r="IG2" i="22"/>
  <c r="AW2" i="22"/>
  <c r="EM2" i="22"/>
  <c r="JS2" i="22"/>
  <c r="FH2" i="22"/>
  <c r="KA2" i="22"/>
  <c r="A4" i="22"/>
  <c r="IP4" i="22"/>
  <c r="MK4" i="22"/>
  <c r="IV4" i="22"/>
  <c r="JQ4" i="22"/>
  <c r="JV4" i="22"/>
  <c r="MW4" i="22"/>
  <c r="KB4" i="22"/>
  <c r="KG4" i="22"/>
  <c r="KL4" i="22"/>
  <c r="KR4" i="22"/>
  <c r="KW4" i="22"/>
  <c r="LB4" i="22"/>
  <c r="LH4" i="22"/>
  <c r="LM4" i="22"/>
  <c r="LX4" i="22"/>
  <c r="MO4" i="22"/>
  <c r="NA4" i="22"/>
  <c r="LR4" i="22"/>
  <c r="MC4" i="22"/>
  <c r="MG4" i="22"/>
  <c r="MS4" i="22"/>
  <c r="ES4" i="22"/>
  <c r="MN4" i="22"/>
  <c r="JJ4" i="22"/>
  <c r="GC4" i="22"/>
  <c r="CV4" i="22"/>
  <c r="N4" i="22"/>
  <c r="J4" i="22"/>
  <c r="KJ4" i="22"/>
  <c r="HB4" i="22"/>
  <c r="DU4" i="22"/>
  <c r="AN4" i="22"/>
  <c r="DH4" i="22"/>
  <c r="LI4" i="22"/>
  <c r="IB4" i="22"/>
  <c r="ET4" i="22"/>
  <c r="BM4" i="22"/>
  <c r="S4" i="22"/>
  <c r="CE4" i="22"/>
  <c r="EQ4" i="22"/>
  <c r="HC4" i="22"/>
  <c r="JO4" i="22"/>
  <c r="MA4" i="22"/>
  <c r="AE4" i="22"/>
  <c r="CG4" i="22"/>
  <c r="IO4" i="22"/>
  <c r="BZ4" i="22"/>
  <c r="HU4" i="22"/>
  <c r="JN4" i="22"/>
  <c r="GG4" i="22"/>
  <c r="AV4" i="22"/>
  <c r="HF4" i="22"/>
  <c r="AI4" i="22"/>
  <c r="HS4" i="22"/>
  <c r="BV4" i="22"/>
  <c r="JI4" i="22"/>
  <c r="KH4" i="22"/>
  <c r="AL4" i="22"/>
  <c r="FK4" i="22"/>
  <c r="BF4" i="22"/>
  <c r="EW4" i="22"/>
  <c r="MI4" i="22"/>
  <c r="FV4" i="22"/>
  <c r="KC4" i="22"/>
  <c r="AQ4" i="22"/>
  <c r="KM4" i="22"/>
  <c r="HY4" i="22"/>
  <c r="CJ4" i="22"/>
  <c r="AB4" i="22"/>
  <c r="KQ4" i="22"/>
  <c r="JL4" i="22"/>
  <c r="HT4" i="22"/>
  <c r="FN4" i="22"/>
  <c r="FL4" i="22"/>
  <c r="CD4" i="22"/>
  <c r="JR4" i="22"/>
  <c r="V4" i="22"/>
  <c r="DK4" i="22"/>
  <c r="KU4" i="22"/>
  <c r="HN4" i="22"/>
  <c r="IN4" i="22"/>
  <c r="HP4" i="22"/>
  <c r="CX4" i="22"/>
  <c r="GA4" i="22"/>
  <c r="EC4" i="22"/>
  <c r="MJ4" i="22"/>
  <c r="JE4" i="22"/>
  <c r="FX4" i="22"/>
  <c r="CP4" i="22"/>
  <c r="I4" i="22"/>
  <c r="NC4" i="22"/>
  <c r="KD4" i="22"/>
  <c r="GW4" i="22"/>
  <c r="DP4" i="22"/>
  <c r="AH4" i="22"/>
  <c r="CR4" i="22"/>
  <c r="LD4" i="22"/>
  <c r="HV4" i="22"/>
  <c r="EO4" i="22"/>
  <c r="BH4" i="22"/>
  <c r="W4" i="22"/>
  <c r="CI4" i="22"/>
  <c r="EU4" i="22"/>
  <c r="HG4" i="22"/>
  <c r="JS4" i="22"/>
  <c r="JT4" i="22"/>
  <c r="ED4" i="22"/>
  <c r="FC4" i="22"/>
  <c r="KA4" i="22"/>
  <c r="LV4" i="22"/>
  <c r="MQ4" i="22"/>
  <c r="CZ4" i="22"/>
  <c r="KN4" i="22"/>
  <c r="AR4" i="22"/>
  <c r="FG4" i="22"/>
  <c r="LQ4" i="22"/>
  <c r="FB4" i="22"/>
  <c r="BU4" i="22"/>
  <c r="MM4" i="22"/>
  <c r="CT4" i="22"/>
  <c r="P4" i="22"/>
  <c r="HA4" i="22"/>
  <c r="AM4" i="22"/>
  <c r="HW4" i="22"/>
  <c r="BP4" i="22"/>
  <c r="CO4" i="22"/>
  <c r="GV4" i="22"/>
  <c r="DC4" i="22"/>
  <c r="BJ4" i="22"/>
  <c r="FQ4" i="22"/>
  <c r="MX4" i="22"/>
  <c r="DI4" i="22"/>
  <c r="DG4" i="22"/>
  <c r="AK4" i="22"/>
  <c r="LA4" i="22"/>
  <c r="EL4" i="22"/>
  <c r="IS4" i="22"/>
  <c r="IF4" i="22"/>
  <c r="DD4" i="22"/>
  <c r="II4" i="22"/>
  <c r="AF4" i="22"/>
  <c r="LU4" i="22"/>
  <c r="MP4" i="22"/>
  <c r="Q4" i="22"/>
  <c r="IM4" i="22"/>
  <c r="DM4" i="22"/>
  <c r="MF4" i="22"/>
  <c r="IZ4" i="22"/>
  <c r="FR4" i="22"/>
  <c r="CK4" i="22"/>
  <c r="D4" i="22"/>
  <c r="MY4" i="22"/>
  <c r="JY4" i="22"/>
  <c r="GR4" i="22"/>
  <c r="DJ4" i="22"/>
  <c r="AC4" i="22"/>
  <c r="CB4" i="22"/>
  <c r="KX4" i="22"/>
  <c r="HQ4" i="22"/>
  <c r="EJ4" i="22"/>
  <c r="BB4" i="22"/>
  <c r="AA4" i="22"/>
  <c r="CM4" i="22"/>
  <c r="EY4" i="22"/>
  <c r="HK4" i="22"/>
  <c r="JW4" i="22"/>
  <c r="CW4" i="22"/>
  <c r="MB4" i="22"/>
  <c r="IT4" i="22"/>
  <c r="FM4" i="22"/>
  <c r="CF4" i="22"/>
  <c r="IK4" i="22"/>
  <c r="MU4" i="22"/>
  <c r="GL4" i="22"/>
  <c r="DE4" i="22"/>
  <c r="X4" i="22"/>
  <c r="BL4" i="22"/>
  <c r="KS4" i="22"/>
  <c r="HL4" i="22"/>
  <c r="AW4" i="22"/>
  <c r="CQ4" i="22"/>
  <c r="HO4" i="22"/>
  <c r="FH4" i="22"/>
  <c r="R4" i="22"/>
  <c r="DY4" i="22"/>
  <c r="CU4" i="22"/>
  <c r="KE4" i="22"/>
  <c r="IJ4" i="22"/>
  <c r="HE4" i="22"/>
  <c r="GB4" i="22"/>
  <c r="M4" i="22"/>
  <c r="DT4" i="22"/>
  <c r="CY4" i="22"/>
  <c r="KI4" i="22"/>
  <c r="LL4" i="22"/>
  <c r="GO4" i="22"/>
  <c r="H4" i="22"/>
  <c r="DN4" i="22"/>
  <c r="FO4" i="22"/>
  <c r="LF4" i="22"/>
  <c r="IX4" i="22"/>
  <c r="JX4" i="22"/>
  <c r="FS4" i="22"/>
  <c r="BE4" i="22"/>
  <c r="MT4" i="22"/>
  <c r="AY4" i="22"/>
  <c r="KV4" i="22"/>
  <c r="EG4" i="22"/>
  <c r="EX4" i="22"/>
  <c r="FF4" i="22"/>
  <c r="JM4" i="22"/>
  <c r="BC4" i="22"/>
  <c r="KY4" i="22"/>
  <c r="ID4" i="22"/>
  <c r="JD4" i="22"/>
  <c r="NB4" i="22"/>
  <c r="AG4" i="22"/>
  <c r="IA4" i="22"/>
  <c r="AP4" i="22"/>
  <c r="ER4" i="22"/>
  <c r="FY4" i="22"/>
  <c r="ME4" i="22"/>
  <c r="B4" i="22"/>
  <c r="GP4" i="22"/>
  <c r="AU4" i="22"/>
  <c r="IE4" i="22"/>
  <c r="LZ4" i="22"/>
  <c r="GK4" i="22"/>
  <c r="FW4" i="22"/>
  <c r="JF4" i="22"/>
  <c r="AZ4" i="22"/>
  <c r="BY4" i="22"/>
  <c r="GF4" i="22"/>
  <c r="DO4" i="22"/>
  <c r="E4" i="22"/>
  <c r="EB4" i="22"/>
  <c r="BQ4" i="22"/>
  <c r="EP4" i="22"/>
  <c r="ML4" i="22"/>
  <c r="FE4" i="22"/>
  <c r="BO4" i="22"/>
  <c r="IQ4" i="22"/>
  <c r="MR4" i="22"/>
  <c r="DZ4" i="22"/>
  <c r="CN4" i="22"/>
  <c r="CA4" i="22"/>
  <c r="KP4" i="22"/>
  <c r="LG4" i="22"/>
  <c r="AJ4" i="22"/>
  <c r="LK4" i="22"/>
  <c r="F4" i="22"/>
  <c r="GZ4" i="22"/>
  <c r="T4" i="22"/>
  <c r="GI4" i="22"/>
  <c r="EH4" i="22"/>
  <c r="FZ4" i="22"/>
  <c r="GM4" i="22"/>
  <c r="Z4" i="22"/>
  <c r="EN4" i="22"/>
  <c r="GU4" i="22"/>
  <c r="U4" i="22"/>
  <c r="EV4" i="22"/>
  <c r="DX4" i="22"/>
  <c r="GY4" i="22"/>
  <c r="MZ4" i="22"/>
  <c r="DV4" i="22"/>
  <c r="BA4" i="22"/>
  <c r="EK4" i="22"/>
  <c r="MH4" i="22"/>
  <c r="EZ4" i="22"/>
  <c r="BS4" i="22"/>
  <c r="IU4" i="22"/>
  <c r="LJ4" i="22"/>
  <c r="JC4" i="22"/>
  <c r="LE4" i="22"/>
  <c r="DS4" i="22"/>
  <c r="AT4" i="22"/>
  <c r="BI4" i="22"/>
  <c r="JH4" i="22"/>
  <c r="BX4" i="22"/>
  <c r="LC4" i="22"/>
  <c r="JZ4" i="22"/>
  <c r="KO4" i="22"/>
  <c r="BD4" i="22"/>
  <c r="JB4" i="22"/>
  <c r="BR4" i="22"/>
  <c r="JU4" i="22"/>
  <c r="IW4" i="22"/>
  <c r="IC4" i="22"/>
  <c r="HJ4" i="22"/>
  <c r="HX4" i="22"/>
  <c r="GE4" i="22"/>
  <c r="MV4" i="22"/>
  <c r="DQ4" i="22"/>
  <c r="LP4" i="22"/>
  <c r="EF4" i="22"/>
  <c r="MD4" i="22"/>
  <c r="CS4" i="22"/>
  <c r="BW4" i="22"/>
  <c r="IY4" i="22"/>
  <c r="DL4" i="22"/>
  <c r="LY4" i="22"/>
  <c r="DF4" i="22"/>
  <c r="BT4" i="22"/>
  <c r="LT4" i="22"/>
  <c r="CH4" i="22"/>
  <c r="JG4" i="22"/>
  <c r="KT4" i="22"/>
  <c r="EA4" i="22"/>
  <c r="AO4" i="22"/>
  <c r="EE4" i="22"/>
  <c r="JA4" i="22"/>
  <c r="IH4" i="22"/>
  <c r="L4" i="22"/>
  <c r="JP4" i="22"/>
  <c r="EM4" i="22"/>
  <c r="Y4" i="22"/>
  <c r="LS4" i="22"/>
  <c r="GT4" i="22"/>
  <c r="GJ4" i="22"/>
  <c r="GD4" i="22"/>
  <c r="GX4" i="22"/>
  <c r="FT4" i="22"/>
  <c r="K4" i="22"/>
  <c r="DB4" i="22"/>
  <c r="FP4" i="22"/>
  <c r="CL4" i="22"/>
  <c r="FJ4" i="22"/>
  <c r="IL4" i="22"/>
  <c r="HR4" i="22"/>
  <c r="G4" i="22"/>
  <c r="HM4" i="22"/>
  <c r="GN4" i="22"/>
  <c r="BG4" i="22"/>
  <c r="GH4" i="22"/>
  <c r="BK4" i="22"/>
  <c r="KK4" i="22"/>
  <c r="DA4" i="22"/>
  <c r="KZ4" i="22"/>
  <c r="BN4" i="22"/>
  <c r="LN4" i="22"/>
  <c r="CC4" i="22"/>
  <c r="DW4" i="22"/>
  <c r="JK4" i="22"/>
  <c r="AX4" i="22"/>
  <c r="AS4" i="22"/>
  <c r="KF4" i="22"/>
  <c r="EI4" i="22"/>
  <c r="HZ4" i="22"/>
  <c r="AD4" i="22"/>
  <c r="IR4" i="22"/>
  <c r="LO4" i="22"/>
  <c r="HI4" i="22"/>
  <c r="C4" i="22"/>
  <c r="HD4" i="22"/>
  <c r="IG4" i="22"/>
  <c r="LW4" i="22"/>
  <c r="FI4" i="22"/>
  <c r="GS4" i="22"/>
  <c r="DR4" i="22"/>
  <c r="HH4" i="22"/>
  <c r="FD4" i="22"/>
  <c r="FU4" i="22"/>
  <c r="O4" i="22"/>
  <c r="GQ4" i="22"/>
  <c r="FA4" i="22"/>
  <c r="C365" i="4"/>
  <c r="F365" i="4"/>
  <c r="D365" i="4"/>
  <c r="E365" i="4"/>
  <c r="G366" i="4"/>
  <c r="B367" i="4"/>
  <c r="E366" i="4" l="1"/>
  <c r="F366" i="4"/>
  <c r="D366" i="4"/>
  <c r="C366" i="4"/>
  <c r="F367" i="4"/>
  <c r="G367" i="4"/>
  <c r="D367" i="4"/>
  <c r="E367" i="4"/>
  <c r="C367" i="4"/>
  <c r="A1" i="3" l="1" a="1"/>
  <c r="AZ1" i="3" l="1"/>
  <c r="DL1" i="3"/>
  <c r="FX1" i="3"/>
  <c r="IJ1" i="3"/>
  <c r="KV1" i="3"/>
  <c r="MZ1" i="3"/>
  <c r="AR2" i="3"/>
  <c r="BA1" i="3"/>
  <c r="EH1" i="3"/>
  <c r="AP1" i="3"/>
  <c r="DX1" i="3"/>
  <c r="HE1" i="3"/>
  <c r="KL1" i="3"/>
  <c r="E2" i="3"/>
  <c r="BQ2" i="3"/>
  <c r="DM2" i="3"/>
  <c r="BB1" i="3"/>
  <c r="HH1" i="3"/>
  <c r="LR1" i="3"/>
  <c r="AX2" i="3"/>
  <c r="DO2" i="3"/>
  <c r="FT2" i="3"/>
  <c r="HP2" i="3"/>
  <c r="JL2" i="3"/>
  <c r="LH2" i="3"/>
  <c r="ND2" i="3"/>
  <c r="AV3" i="3"/>
  <c r="CR3" i="3"/>
  <c r="EN3" i="3"/>
  <c r="GJ3" i="3"/>
  <c r="F1" i="3"/>
  <c r="HV1" i="3"/>
  <c r="C2" i="3"/>
  <c r="DB2" i="3"/>
  <c r="FZ2" i="3"/>
  <c r="IL2" i="3"/>
  <c r="CH1" i="3"/>
  <c r="JN1" i="3"/>
  <c r="AL2" i="3"/>
  <c r="EA2" i="3"/>
  <c r="GS2" i="3"/>
  <c r="JE2" i="3"/>
  <c r="LQ2" i="3"/>
  <c r="Y3" i="3"/>
  <c r="CK3" i="3"/>
  <c r="EW3" i="3"/>
  <c r="HI3" i="3"/>
  <c r="JJ3" i="3"/>
  <c r="LF3" i="3"/>
  <c r="NB3" i="3"/>
  <c r="AT4" i="3"/>
  <c r="CP4" i="3"/>
  <c r="EL4" i="3"/>
  <c r="GH4" i="3"/>
  <c r="ID4" i="3"/>
  <c r="JZ4" i="3"/>
  <c r="LV4" i="3"/>
  <c r="N5" i="3"/>
  <c r="BJ5" i="3"/>
  <c r="DF5" i="3"/>
  <c r="FB5" i="3"/>
  <c r="GX5" i="3"/>
  <c r="IT5" i="3"/>
  <c r="KP5" i="3"/>
  <c r="ML5" i="3"/>
  <c r="LX1" i="3"/>
  <c r="FF2" i="3"/>
  <c r="KD2" i="3"/>
  <c r="G3" i="3"/>
  <c r="CO3" i="3"/>
  <c r="FV3" i="3"/>
  <c r="IW3" i="3"/>
  <c r="LJ1" i="3"/>
  <c r="FA2" i="3"/>
  <c r="JY2" i="3"/>
  <c r="E3" i="3"/>
  <c r="CL3" i="3"/>
  <c r="FS3" i="3"/>
  <c r="IU3" i="3"/>
  <c r="EI2" i="3"/>
  <c r="MY2" i="3"/>
  <c r="FJ3" i="3"/>
  <c r="KC3" i="3"/>
  <c r="MO3" i="3"/>
  <c r="AW4" i="3"/>
  <c r="DI4" i="3"/>
  <c r="FU4" i="3"/>
  <c r="IG4" i="3"/>
  <c r="KS4" i="3"/>
  <c r="A5" i="3"/>
  <c r="BM5" i="3"/>
  <c r="DY5" i="3"/>
  <c r="GK5" i="3"/>
  <c r="CL2" i="3"/>
  <c r="AD2" i="3"/>
  <c r="LB2" i="3"/>
  <c r="DM3" i="3"/>
  <c r="JK3" i="3"/>
  <c r="LW3" i="3"/>
  <c r="AE4" i="3"/>
  <c r="CQ4" i="3"/>
  <c r="FC4" i="3"/>
  <c r="HO4" i="3"/>
  <c r="KA4" i="3"/>
  <c r="MM4" i="3"/>
  <c r="AU5" i="3"/>
  <c r="DG5" i="3"/>
  <c r="FS5" i="3"/>
  <c r="IE5" i="3"/>
  <c r="KQ5" i="3"/>
  <c r="MZ5" i="3"/>
  <c r="AR6" i="3"/>
  <c r="CN6" i="3"/>
  <c r="EJ6" i="3"/>
  <c r="GF6" i="3"/>
  <c r="IB6" i="3"/>
  <c r="JX6" i="3"/>
  <c r="LT6" i="3"/>
  <c r="L7" i="3"/>
  <c r="BH7" i="3"/>
  <c r="DD7" i="3"/>
  <c r="EZ7" i="3"/>
  <c r="GV7" i="3"/>
  <c r="IR7" i="3"/>
  <c r="KN7" i="3"/>
  <c r="MJ7" i="3"/>
  <c r="AB8" i="3"/>
  <c r="BX8" i="3"/>
  <c r="DT8" i="3"/>
  <c r="CT3" i="3"/>
  <c r="LP3" i="3"/>
  <c r="CJ4" i="3"/>
  <c r="HH4" i="3"/>
  <c r="MF4" i="3"/>
  <c r="CZ5" i="3"/>
  <c r="HQ5" i="3"/>
  <c r="KY5" i="3"/>
  <c r="R6" i="3"/>
  <c r="CD6" i="3"/>
  <c r="EP6" i="3"/>
  <c r="HB6" i="3"/>
  <c r="JN6" i="3"/>
  <c r="LZ6" i="3"/>
  <c r="AH7" i="3"/>
  <c r="CT7" i="3"/>
  <c r="FF7" i="3"/>
  <c r="AW3" i="3"/>
  <c r="KW3" i="3"/>
  <c r="BQ4" i="3"/>
  <c r="GO4" i="3"/>
  <c r="LM4" i="3"/>
  <c r="CG5" i="3"/>
  <c r="HE5" i="3"/>
  <c r="AA3" i="3"/>
  <c r="KO3" i="3"/>
  <c r="BI4" i="3"/>
  <c r="GG4" i="3"/>
  <c r="LE4" i="3"/>
  <c r="BY5" i="3"/>
  <c r="GW5" i="3"/>
  <c r="KG5" i="3"/>
  <c r="E6" i="3"/>
  <c r="BQ6" i="3"/>
  <c r="EC6" i="3"/>
  <c r="GO6" i="3"/>
  <c r="JA6" i="3"/>
  <c r="LM6" i="3"/>
  <c r="U7" i="3"/>
  <c r="CG7" i="3"/>
  <c r="ES7" i="3"/>
  <c r="HE7" i="3"/>
  <c r="BE1" i="3"/>
  <c r="DQ1" i="3"/>
  <c r="GC1" i="3"/>
  <c r="IO1" i="3"/>
  <c r="LA1" i="3"/>
  <c r="ND1" i="3"/>
  <c r="AV2" i="3"/>
  <c r="BH1" i="3"/>
  <c r="EO1" i="3"/>
  <c r="AW1" i="3"/>
  <c r="ED1" i="3"/>
  <c r="HL1" i="3"/>
  <c r="KS1" i="3"/>
  <c r="J2" i="3"/>
  <c r="BU2" i="3"/>
  <c r="DQ2" i="3"/>
  <c r="BQ1" i="3"/>
  <c r="HQ1" i="3"/>
  <c r="LZ1" i="3"/>
  <c r="BE2" i="3"/>
  <c r="DT2" i="3"/>
  <c r="FX2" i="3"/>
  <c r="HT2" i="3"/>
  <c r="JP2" i="3"/>
  <c r="LL2" i="3"/>
  <c r="D3" i="3"/>
  <c r="AZ3" i="3"/>
  <c r="CV3" i="3"/>
  <c r="ER3" i="3"/>
  <c r="GN3" i="3"/>
  <c r="AH1" i="3"/>
  <c r="IH1" i="3"/>
  <c r="M2" i="3"/>
  <c r="DH2" i="3"/>
  <c r="GE2" i="3"/>
  <c r="IQ2" i="3"/>
  <c r="CZ1" i="3"/>
  <c r="KB1" i="3"/>
  <c r="AT2" i="3"/>
  <c r="EH2" i="3"/>
  <c r="GX2" i="3"/>
  <c r="JJ2" i="3"/>
  <c r="LV2" i="3"/>
  <c r="AD3" i="3"/>
  <c r="CP3" i="3"/>
  <c r="FB3" i="3"/>
  <c r="HN3" i="3"/>
  <c r="JN3" i="3"/>
  <c r="LJ3" i="3"/>
  <c r="B4" i="3"/>
  <c r="AX4" i="3"/>
  <c r="CT4" i="3"/>
  <c r="EP4" i="3"/>
  <c r="GL4" i="3"/>
  <c r="IH4" i="3"/>
  <c r="KD4" i="3"/>
  <c r="LZ4" i="3"/>
  <c r="R5" i="3"/>
  <c r="BN5" i="3"/>
  <c r="DJ5" i="3"/>
  <c r="FF5" i="3"/>
  <c r="HB5" i="3"/>
  <c r="IX5" i="3"/>
  <c r="KT5" i="3"/>
  <c r="MP5" i="3"/>
  <c r="MQ1" i="3"/>
  <c r="FQ2" i="3"/>
  <c r="KL2" i="3"/>
  <c r="O3" i="3"/>
  <c r="CW3" i="3"/>
  <c r="GD3" i="3"/>
  <c r="JC3" i="3"/>
  <c r="MG1" i="3"/>
  <c r="FK2" i="3"/>
  <c r="KH2" i="3"/>
  <c r="K3" i="3"/>
  <c r="CS3" i="3"/>
  <c r="FZ3" i="3"/>
  <c r="IZ3" i="3"/>
  <c r="FI2" i="3"/>
  <c r="J3" i="3"/>
  <c r="FY3" i="3"/>
  <c r="KI3" i="3"/>
  <c r="MU3" i="3"/>
  <c r="BC4" i="3"/>
  <c r="DO4" i="3"/>
  <c r="GA4" i="3"/>
  <c r="IM4" i="3"/>
  <c r="KY4" i="3"/>
  <c r="G5" i="3"/>
  <c r="BS5" i="3"/>
  <c r="EE5" i="3"/>
  <c r="GQ5" i="3"/>
  <c r="DN2" i="3"/>
  <c r="BO2" i="3"/>
  <c r="LO2" i="3"/>
  <c r="DZ3" i="3"/>
  <c r="JP3" i="3"/>
  <c r="MB3" i="3"/>
  <c r="AJ4" i="3"/>
  <c r="CV4" i="3"/>
  <c r="FH4" i="3"/>
  <c r="HT4" i="3"/>
  <c r="KF4" i="3"/>
  <c r="MR4" i="3"/>
  <c r="AZ5" i="3"/>
  <c r="DL5" i="3"/>
  <c r="FX5" i="3"/>
  <c r="IJ5" i="3"/>
  <c r="KV5" i="3"/>
  <c r="ND5" i="3"/>
  <c r="AV6" i="3"/>
  <c r="CR6" i="3"/>
  <c r="EN6" i="3"/>
  <c r="GJ6" i="3"/>
  <c r="IF6" i="3"/>
  <c r="KB6" i="3"/>
  <c r="LX6" i="3"/>
  <c r="P7" i="3"/>
  <c r="BL7" i="3"/>
  <c r="DH7" i="3"/>
  <c r="FD7" i="3"/>
  <c r="GZ7" i="3"/>
  <c r="IV7" i="3"/>
  <c r="KR7" i="3"/>
  <c r="MN7" i="3"/>
  <c r="AF8" i="3"/>
  <c r="CB8" i="3"/>
  <c r="CL1" i="3"/>
  <c r="DW3" i="3"/>
  <c r="MA3" i="3"/>
  <c r="CU4" i="3"/>
  <c r="HS4" i="3"/>
  <c r="MQ4" i="3"/>
  <c r="DK5" i="3"/>
  <c r="HX5" i="3"/>
  <c r="LE5" i="3"/>
  <c r="W6" i="3"/>
  <c r="CI6" i="3"/>
  <c r="EU6" i="3"/>
  <c r="HG6" i="3"/>
  <c r="JS6" i="3"/>
  <c r="ME6" i="3"/>
  <c r="AM7" i="3"/>
  <c r="CY7" i="3"/>
  <c r="FK7" i="3"/>
  <c r="BY3" i="3"/>
  <c r="LH3" i="3"/>
  <c r="CB4" i="3"/>
  <c r="GZ4" i="3"/>
  <c r="LX4" i="3"/>
  <c r="CR5" i="3"/>
  <c r="HL5" i="3"/>
  <c r="BC3" i="3"/>
  <c r="KZ3" i="3"/>
  <c r="BT4" i="3"/>
  <c r="GR4" i="3"/>
  <c r="LP4" i="3"/>
  <c r="CJ5" i="3"/>
  <c r="HG5" i="3"/>
  <c r="KN5" i="3"/>
  <c r="J6" i="3"/>
  <c r="BV6" i="3"/>
  <c r="EH6" i="3"/>
  <c r="GT6" i="3"/>
  <c r="JF6" i="3"/>
  <c r="LR6" i="3"/>
  <c r="Z7" i="3"/>
  <c r="CL7" i="3"/>
  <c r="EX7" i="3"/>
  <c r="BJ1" i="3"/>
  <c r="DV1" i="3"/>
  <c r="GH1" i="3"/>
  <c r="IT1" i="3"/>
  <c r="LF1" i="3"/>
  <c r="D2" i="3"/>
  <c r="AZ2" i="3"/>
  <c r="BN1" i="3"/>
  <c r="EV1" i="3"/>
  <c r="BD1" i="3"/>
  <c r="EK1" i="3"/>
  <c r="HR1" i="3"/>
  <c r="KZ1" i="3"/>
  <c r="O2" i="3"/>
  <c r="BY2" i="3"/>
  <c r="DU2" i="3"/>
  <c r="CD1" i="3"/>
  <c r="IB1" i="3"/>
  <c r="MI1" i="3"/>
  <c r="BM2" i="3"/>
  <c r="DZ2" i="3"/>
  <c r="GB2" i="3"/>
  <c r="HX2" i="3"/>
  <c r="JT2" i="3"/>
  <c r="LP2" i="3"/>
  <c r="H3" i="3"/>
  <c r="BD3" i="3"/>
  <c r="CZ3" i="3"/>
  <c r="EV3" i="3"/>
  <c r="GR3" i="3"/>
  <c r="BF1" i="3"/>
  <c r="IW1" i="3"/>
  <c r="W2" i="3"/>
  <c r="DP2" i="3"/>
  <c r="GK2" i="3"/>
  <c r="IW2" i="3"/>
  <c r="DR1" i="3"/>
  <c r="KN1" i="3"/>
  <c r="BC2" i="3"/>
  <c r="EN2" i="3"/>
  <c r="HC2" i="3"/>
  <c r="JO2" i="3"/>
  <c r="MA2" i="3"/>
  <c r="AI3" i="3"/>
  <c r="CU3" i="3"/>
  <c r="FG3" i="3"/>
  <c r="HS3" i="3"/>
  <c r="JR3" i="3"/>
  <c r="LN3" i="3"/>
  <c r="F4" i="3"/>
  <c r="BB4" i="3"/>
  <c r="CX4" i="3"/>
  <c r="ET4" i="3"/>
  <c r="GP4" i="3"/>
  <c r="IL4" i="3"/>
  <c r="KH4" i="3"/>
  <c r="MD4" i="3"/>
  <c r="V5" i="3"/>
  <c r="BR5" i="3"/>
  <c r="DN5" i="3"/>
  <c r="FJ5" i="3"/>
  <c r="HF5" i="3"/>
  <c r="JB5" i="3"/>
  <c r="KX5" i="3"/>
  <c r="L1" i="3"/>
  <c r="F2" i="3"/>
  <c r="GA2" i="3"/>
  <c r="KS2" i="3"/>
  <c r="V3" i="3"/>
  <c r="DC3" i="3"/>
  <c r="GK3" i="3"/>
  <c r="JH3" i="3"/>
  <c r="NA1" i="3"/>
  <c r="FV2" i="3"/>
  <c r="KO2" i="3"/>
  <c r="R3" i="3"/>
  <c r="CY3" i="3"/>
  <c r="GG3" i="3"/>
  <c r="AB1" i="3"/>
  <c r="GD2" i="3"/>
  <c r="W3" i="3"/>
  <c r="GL3" i="3"/>
  <c r="KN3" i="3"/>
  <c r="MZ3" i="3"/>
  <c r="BH4" i="3"/>
  <c r="DT4" i="3"/>
  <c r="GF4" i="3"/>
  <c r="IR4" i="3"/>
  <c r="LD4" i="3"/>
  <c r="L5" i="3"/>
  <c r="BX5" i="3"/>
  <c r="EJ5" i="3"/>
  <c r="GV5" i="3"/>
  <c r="EQ2" i="3"/>
  <c r="CR2" i="3"/>
  <c r="MD2" i="3"/>
  <c r="EO3" i="3"/>
  <c r="JU3" i="3"/>
  <c r="MG3" i="3"/>
  <c r="AO4" i="3"/>
  <c r="DA4" i="3"/>
  <c r="FM4" i="3"/>
  <c r="HY4" i="3"/>
  <c r="KK4" i="3"/>
  <c r="MW4" i="3"/>
  <c r="BE5" i="3"/>
  <c r="DQ5" i="3"/>
  <c r="GC5" i="3"/>
  <c r="IO5" i="3"/>
  <c r="LA5" i="3"/>
  <c r="D6" i="3"/>
  <c r="AZ6" i="3"/>
  <c r="CV6" i="3"/>
  <c r="ER6" i="3"/>
  <c r="GN6" i="3"/>
  <c r="IJ6" i="3"/>
  <c r="KF6" i="3"/>
  <c r="MB6" i="3"/>
  <c r="T7" i="3"/>
  <c r="BP7" i="3"/>
  <c r="DL7" i="3"/>
  <c r="FH7" i="3"/>
  <c r="HD7" i="3"/>
  <c r="IZ7" i="3"/>
  <c r="KV7" i="3"/>
  <c r="MR7" i="3"/>
  <c r="AJ8" i="3"/>
  <c r="CF8" i="3"/>
  <c r="LP1" i="3"/>
  <c r="EY3" i="3"/>
  <c r="MK3" i="3"/>
  <c r="DE4" i="3"/>
  <c r="IC4" i="3"/>
  <c r="NA4" i="3"/>
  <c r="DU5" i="3"/>
  <c r="IF5" i="3"/>
  <c r="LM5" i="3"/>
  <c r="AC6" i="3"/>
  <c r="CO6" i="3"/>
  <c r="FA6" i="3"/>
  <c r="HM6" i="3"/>
  <c r="JY6" i="3"/>
  <c r="MK6" i="3"/>
  <c r="AS7" i="3"/>
  <c r="DE7" i="3"/>
  <c r="FQ7" i="3"/>
  <c r="DB3" i="3"/>
  <c r="LS3" i="3"/>
  <c r="CM4" i="3"/>
  <c r="HK4" i="3"/>
  <c r="MI4" i="3"/>
  <c r="DC5" i="3"/>
  <c r="HS5" i="3"/>
  <c r="CG3" i="3"/>
  <c r="LK3" i="3"/>
  <c r="CE4" i="3"/>
  <c r="HC4" i="3"/>
  <c r="MA4" i="3"/>
  <c r="CU5" i="3"/>
  <c r="HM5" i="3"/>
  <c r="KU5" i="3"/>
  <c r="O6" i="3"/>
  <c r="CA6" i="3"/>
  <c r="EM6" i="3"/>
  <c r="GY6" i="3"/>
  <c r="JK6" i="3"/>
  <c r="LW6" i="3"/>
  <c r="AE7" i="3"/>
  <c r="CQ7" i="3"/>
  <c r="FC7" i="3"/>
  <c r="HO7" i="3"/>
  <c r="BP1" i="3"/>
  <c r="EB1" i="3"/>
  <c r="GN1" i="3"/>
  <c r="IZ1" i="3"/>
  <c r="LL1" i="3"/>
  <c r="H2" i="3"/>
  <c r="BD2" i="3"/>
  <c r="BV1" i="3"/>
  <c r="FD1" i="3"/>
  <c r="BL1" i="3"/>
  <c r="ES1" i="3"/>
  <c r="HZ1" i="3"/>
  <c r="LH1" i="3"/>
  <c r="U2" i="3"/>
  <c r="CC2" i="3"/>
  <c r="DY2" i="3"/>
  <c r="CS1" i="3"/>
  <c r="IK1" i="3"/>
  <c r="MP1" i="3"/>
  <c r="BS2" i="3"/>
  <c r="EE2" i="3"/>
  <c r="GF2" i="3"/>
  <c r="IB2" i="3"/>
  <c r="JX2" i="3"/>
  <c r="LT2" i="3"/>
  <c r="L3" i="3"/>
  <c r="BH3" i="3"/>
  <c r="DD3" i="3"/>
  <c r="EZ3" i="3"/>
  <c r="GV3" i="3"/>
  <c r="BX1" i="3"/>
  <c r="JH1" i="3"/>
  <c r="AG2" i="3"/>
  <c r="DW2" i="3"/>
  <c r="GP2" i="3"/>
  <c r="JB2" i="3"/>
  <c r="EN1" i="3"/>
  <c r="LB1" i="3"/>
  <c r="BN2" i="3"/>
  <c r="EV2" i="3"/>
  <c r="HI2" i="3"/>
  <c r="JU2" i="3"/>
  <c r="MG2" i="3"/>
  <c r="AO3" i="3"/>
  <c r="DA3" i="3"/>
  <c r="FM3" i="3"/>
  <c r="HY3" i="3"/>
  <c r="JV3" i="3"/>
  <c r="LR3" i="3"/>
  <c r="J4" i="3"/>
  <c r="BF4" i="3"/>
  <c r="DB4" i="3"/>
  <c r="EX4" i="3"/>
  <c r="GT4" i="3"/>
  <c r="IP4" i="3"/>
  <c r="KL4" i="3"/>
  <c r="MH4" i="3"/>
  <c r="Z5" i="3"/>
  <c r="BV5" i="3"/>
  <c r="DR5" i="3"/>
  <c r="FN5" i="3"/>
  <c r="HJ5" i="3"/>
  <c r="JF5" i="3"/>
  <c r="LB5" i="3"/>
  <c r="BI1" i="3"/>
  <c r="Y2" i="3"/>
  <c r="GL2" i="3"/>
  <c r="KY2" i="3"/>
  <c r="AC3" i="3"/>
  <c r="DJ3" i="3"/>
  <c r="GQ3" i="3"/>
  <c r="AR1" i="3"/>
  <c r="Q2" i="3"/>
  <c r="GG2" i="3"/>
  <c r="KW2" i="3"/>
  <c r="Z3" i="3"/>
  <c r="DG3" i="3"/>
  <c r="GO3" i="3"/>
  <c r="DD1" i="3"/>
  <c r="GY2" i="3"/>
  <c r="AL3" i="3"/>
  <c r="HA3" i="3"/>
  <c r="KS3" i="3"/>
  <c r="A4" i="3"/>
  <c r="BM4" i="3"/>
  <c r="DY4" i="3"/>
  <c r="GK4" i="3"/>
  <c r="IW4" i="3"/>
  <c r="LI4" i="3"/>
  <c r="Q5" i="3"/>
  <c r="CC5" i="3"/>
  <c r="EO5" i="3"/>
  <c r="HA5" i="3"/>
  <c r="FN2" i="3"/>
  <c r="DV2" i="3"/>
  <c r="MS2" i="3"/>
  <c r="FC3" i="3"/>
  <c r="KA3" i="3"/>
  <c r="MM3" i="3"/>
  <c r="AU4" i="3"/>
  <c r="DG4" i="3"/>
  <c r="FS4" i="3"/>
  <c r="IE4" i="3"/>
  <c r="KQ4" i="3"/>
  <c r="NC4" i="3"/>
  <c r="BK5" i="3"/>
  <c r="DW5" i="3"/>
  <c r="GI5" i="3"/>
  <c r="IU5" i="3"/>
  <c r="LG5" i="3"/>
  <c r="H6" i="3"/>
  <c r="BD6" i="3"/>
  <c r="CZ6" i="3"/>
  <c r="EV6" i="3"/>
  <c r="GR6" i="3"/>
  <c r="IN6" i="3"/>
  <c r="KJ6" i="3"/>
  <c r="MF6" i="3"/>
  <c r="X7" i="3"/>
  <c r="BT7" i="3"/>
  <c r="DP7" i="3"/>
  <c r="FL7" i="3"/>
  <c r="HH7" i="3"/>
  <c r="JD7" i="3"/>
  <c r="KZ7" i="3"/>
  <c r="MV7" i="3"/>
  <c r="AN8" i="3"/>
  <c r="CJ8" i="3"/>
  <c r="CZ2" i="3"/>
  <c r="GA3" i="3"/>
  <c r="MV3" i="3"/>
  <c r="DP4" i="3"/>
  <c r="IN4" i="3"/>
  <c r="H5" i="3"/>
  <c r="EF5" i="3"/>
  <c r="IM5" i="3"/>
  <c r="LT5" i="3"/>
  <c r="AH6" i="3"/>
  <c r="CT6" i="3"/>
  <c r="FF6" i="3"/>
  <c r="HR6" i="3"/>
  <c r="KD6" i="3"/>
  <c r="MP6" i="3"/>
  <c r="AX7" i="3"/>
  <c r="DJ7" i="3"/>
  <c r="FI1" i="3"/>
  <c r="ED3" i="3"/>
  <c r="MC3" i="3"/>
  <c r="CW4" i="3"/>
  <c r="HU4" i="3"/>
  <c r="MS4" i="3"/>
  <c r="DM5" i="3"/>
  <c r="IA5" i="3"/>
  <c r="DI3" i="3"/>
  <c r="LU3" i="3"/>
  <c r="CO4" i="3"/>
  <c r="HM4" i="3"/>
  <c r="MK4" i="3"/>
  <c r="DE5" i="3"/>
  <c r="HU5" i="3"/>
  <c r="LC5" i="3"/>
  <c r="U6" i="3"/>
  <c r="CG6" i="3"/>
  <c r="ES6" i="3"/>
  <c r="HE6" i="3"/>
  <c r="JQ6" i="3"/>
  <c r="MC6" i="3"/>
  <c r="BU1" i="3"/>
  <c r="EG1" i="3"/>
  <c r="GS1" i="3"/>
  <c r="JE1" i="3"/>
  <c r="LQ1" i="3"/>
  <c r="L2" i="3"/>
  <c r="BH2" i="3"/>
  <c r="CC1" i="3"/>
  <c r="FJ1" i="3"/>
  <c r="BR1" i="3"/>
  <c r="EZ1" i="3"/>
  <c r="IG1" i="3"/>
  <c r="LN1" i="3"/>
  <c r="Z2" i="3"/>
  <c r="CG2" i="3"/>
  <c r="EC2" i="3"/>
  <c r="DH1" i="3"/>
  <c r="IS1" i="3"/>
  <c r="MW1" i="3"/>
  <c r="BX2" i="3"/>
  <c r="EJ2" i="3"/>
  <c r="GJ2" i="3"/>
  <c r="IF2" i="3"/>
  <c r="KB2" i="3"/>
  <c r="LX2" i="3"/>
  <c r="P3" i="3"/>
  <c r="BL3" i="3"/>
  <c r="DH3" i="3"/>
  <c r="FD3" i="3"/>
  <c r="GZ3" i="3"/>
  <c r="CO1" i="3"/>
  <c r="JT1" i="3"/>
  <c r="AO2" i="3"/>
  <c r="ED2" i="3"/>
  <c r="GU2" i="3"/>
  <c r="JG2" i="3"/>
  <c r="FE1" i="3"/>
  <c r="LM1" i="3"/>
  <c r="BV2" i="3"/>
  <c r="FB2" i="3"/>
  <c r="HN2" i="3"/>
  <c r="JZ2" i="3"/>
  <c r="ML2" i="3"/>
  <c r="AT3" i="3"/>
  <c r="DF3" i="3"/>
  <c r="FR3" i="3"/>
  <c r="ID3" i="3"/>
  <c r="JZ3" i="3"/>
  <c r="LV3" i="3"/>
  <c r="N4" i="3"/>
  <c r="BJ4" i="3"/>
  <c r="DF4" i="3"/>
  <c r="FB4" i="3"/>
  <c r="GX4" i="3"/>
  <c r="IT4" i="3"/>
  <c r="KP4" i="3"/>
  <c r="ML4" i="3"/>
  <c r="AD5" i="3"/>
  <c r="BZ5" i="3"/>
  <c r="DV5" i="3"/>
  <c r="FR5" i="3"/>
  <c r="HN5" i="3"/>
  <c r="JJ5" i="3"/>
  <c r="LF5" i="3"/>
  <c r="CW1" i="3"/>
  <c r="AS2" i="3"/>
  <c r="GW2" i="3"/>
  <c r="LG2" i="3"/>
  <c r="AK3" i="3"/>
  <c r="DR3" i="3"/>
  <c r="GY3" i="3"/>
  <c r="CB1" i="3"/>
  <c r="AH2" i="3"/>
  <c r="GQ2" i="3"/>
  <c r="LC2" i="3"/>
  <c r="AG3" i="3"/>
  <c r="DN3" i="3"/>
  <c r="GU3" i="3"/>
  <c r="GD1" i="3"/>
  <c r="HU2" i="3"/>
  <c r="BA3" i="3"/>
  <c r="HO3" i="3"/>
  <c r="KY3" i="3"/>
  <c r="G4" i="3"/>
  <c r="BS4" i="3"/>
  <c r="EE4" i="3"/>
  <c r="GQ4" i="3"/>
  <c r="JC4" i="3"/>
  <c r="LO4" i="3"/>
  <c r="W5" i="3"/>
  <c r="CI5" i="3"/>
  <c r="EU5" i="3"/>
  <c r="AX1" i="3"/>
  <c r="GI2" i="3"/>
  <c r="EX2" i="3"/>
  <c r="B3" i="3"/>
  <c r="FQ3" i="3"/>
  <c r="KF3" i="3"/>
  <c r="MR3" i="3"/>
  <c r="AZ4" i="3"/>
  <c r="DL4" i="3"/>
  <c r="FX4" i="3"/>
  <c r="IJ4" i="3"/>
  <c r="KV4" i="3"/>
  <c r="D5" i="3"/>
  <c r="BP5" i="3"/>
  <c r="EB5" i="3"/>
  <c r="GN5" i="3"/>
  <c r="IZ5" i="3"/>
  <c r="LL5" i="3"/>
  <c r="L6" i="3"/>
  <c r="BH6" i="3"/>
  <c r="DD6" i="3"/>
  <c r="EZ6" i="3"/>
  <c r="GV6" i="3"/>
  <c r="IR6" i="3"/>
  <c r="KN6" i="3"/>
  <c r="MJ6" i="3"/>
  <c r="AB7" i="3"/>
  <c r="BX7" i="3"/>
  <c r="DT7" i="3"/>
  <c r="FP7" i="3"/>
  <c r="HL7" i="3"/>
  <c r="JH7" i="3"/>
  <c r="LD7" i="3"/>
  <c r="MZ7" i="3"/>
  <c r="AR8" i="3"/>
  <c r="CN8" i="3"/>
  <c r="GT2" i="3"/>
  <c r="HE3" i="3"/>
  <c r="C4" i="3"/>
  <c r="EA4" i="3"/>
  <c r="IY4" i="3"/>
  <c r="S5" i="3"/>
  <c r="EQ5" i="3"/>
  <c r="IS5" i="3"/>
  <c r="MA5" i="3"/>
  <c r="AM6" i="3"/>
  <c r="CY6" i="3"/>
  <c r="FK6" i="3"/>
  <c r="HW6" i="3"/>
  <c r="KI6" i="3"/>
  <c r="MU6" i="3"/>
  <c r="BC7" i="3"/>
  <c r="DO7" i="3"/>
  <c r="B2" i="3"/>
  <c r="FF3" i="3"/>
  <c r="MN3" i="3"/>
  <c r="DH4" i="3"/>
  <c r="IF4" i="3"/>
  <c r="ND4" i="3"/>
  <c r="DX5" i="3"/>
  <c r="HU1" i="3"/>
  <c r="EK3" i="3"/>
  <c r="MF3" i="3"/>
  <c r="CZ4" i="3"/>
  <c r="HX4" i="3"/>
  <c r="MV4" i="3"/>
  <c r="DP5" i="3"/>
  <c r="IB5" i="3"/>
  <c r="LI5" i="3"/>
  <c r="Z6" i="3"/>
  <c r="CL6" i="3"/>
  <c r="EX6" i="3"/>
  <c r="HJ6" i="3"/>
  <c r="JV6" i="3"/>
  <c r="MH6" i="3"/>
  <c r="AP7" i="3"/>
  <c r="DB7" i="3"/>
  <c r="FN7" i="3"/>
  <c r="A1" i="3"/>
  <c r="BZ1" i="3"/>
  <c r="EL1" i="3"/>
  <c r="GX1" i="3"/>
  <c r="JJ1" i="3"/>
  <c r="LV1" i="3"/>
  <c r="P2" i="3"/>
  <c r="BL2" i="3"/>
  <c r="CJ1" i="3"/>
  <c r="FQ1" i="3"/>
  <c r="BY1" i="3"/>
  <c r="FF1" i="3"/>
  <c r="IN1" i="3"/>
  <c r="LU1" i="3"/>
  <c r="AE2" i="3"/>
  <c r="CK2" i="3"/>
  <c r="EG2" i="3"/>
  <c r="DU1" i="3"/>
  <c r="JD1" i="3"/>
  <c r="A2" i="3"/>
  <c r="CD2" i="3"/>
  <c r="EP2" i="3"/>
  <c r="GN2" i="3"/>
  <c r="IJ2" i="3"/>
  <c r="KF2" i="3"/>
  <c r="MB2" i="3"/>
  <c r="T3" i="3"/>
  <c r="BP3" i="3"/>
  <c r="DL3" i="3"/>
  <c r="FH3" i="3"/>
  <c r="HD3" i="3"/>
  <c r="DJ1" i="3"/>
  <c r="KH1" i="3"/>
  <c r="AY2" i="3"/>
  <c r="EL2" i="3"/>
  <c r="HA2" i="3"/>
  <c r="JM2" i="3"/>
  <c r="FV1" i="3"/>
  <c r="LY1" i="3"/>
  <c r="CB2" i="3"/>
  <c r="FG2" i="3"/>
  <c r="HS2" i="3"/>
  <c r="KE2" i="3"/>
  <c r="MQ2" i="3"/>
  <c r="AY3" i="3"/>
  <c r="DK3" i="3"/>
  <c r="FW3" i="3"/>
  <c r="IH3" i="3"/>
  <c r="KD3" i="3"/>
  <c r="LZ3" i="3"/>
  <c r="R4" i="3"/>
  <c r="BN4" i="3"/>
  <c r="DJ4" i="3"/>
  <c r="FF4" i="3"/>
  <c r="HB4" i="3"/>
  <c r="IX4" i="3"/>
  <c r="KT4" i="3"/>
  <c r="MP4" i="3"/>
  <c r="AH5" i="3"/>
  <c r="CD5" i="3"/>
  <c r="DZ5" i="3"/>
  <c r="FV5" i="3"/>
  <c r="HR5" i="3"/>
  <c r="JN5" i="3"/>
  <c r="LJ5" i="3"/>
  <c r="EF1" i="3"/>
  <c r="BJ2" i="3"/>
  <c r="HG2" i="3"/>
  <c r="LN2" i="3"/>
  <c r="AQ3" i="3"/>
  <c r="DY3" i="3"/>
  <c r="HF3" i="3"/>
  <c r="DN1" i="3"/>
  <c r="BB2" i="3"/>
  <c r="HB2" i="3"/>
  <c r="LJ2" i="3"/>
  <c r="AM3" i="3"/>
  <c r="DU3" i="3"/>
  <c r="HB3" i="3"/>
  <c r="IF1" i="3"/>
  <c r="IP2" i="3"/>
  <c r="BN3" i="3"/>
  <c r="IC3" i="3"/>
  <c r="LD3" i="3"/>
  <c r="L4" i="3"/>
  <c r="BX4" i="3"/>
  <c r="EJ4" i="3"/>
  <c r="GV4" i="3"/>
  <c r="JH4" i="3"/>
  <c r="LT4" i="3"/>
  <c r="AB5" i="3"/>
  <c r="CN5" i="3"/>
  <c r="EZ5" i="3"/>
  <c r="DY1" i="3"/>
  <c r="HE2" i="3"/>
  <c r="FS2" i="3"/>
  <c r="Q3" i="3"/>
  <c r="GE3" i="3"/>
  <c r="KK3" i="3"/>
  <c r="MW3" i="3"/>
  <c r="BE4" i="3"/>
  <c r="DQ4" i="3"/>
  <c r="GC4" i="3"/>
  <c r="IO4" i="3"/>
  <c r="LA4" i="3"/>
  <c r="I5" i="3"/>
  <c r="BU5" i="3"/>
  <c r="EG5" i="3"/>
  <c r="GS5" i="3"/>
  <c r="JE5" i="3"/>
  <c r="LQ5" i="3"/>
  <c r="P6" i="3"/>
  <c r="BL6" i="3"/>
  <c r="DH6" i="3"/>
  <c r="FD6" i="3"/>
  <c r="GZ6" i="3"/>
  <c r="IV6" i="3"/>
  <c r="KR6" i="3"/>
  <c r="MN6" i="3"/>
  <c r="AF7" i="3"/>
  <c r="CB7" i="3"/>
  <c r="DX7" i="3"/>
  <c r="FT7" i="3"/>
  <c r="HP7" i="3"/>
  <c r="JL7" i="3"/>
  <c r="LH7" i="3"/>
  <c r="ND7" i="3"/>
  <c r="AV8" i="3"/>
  <c r="CR8" i="3"/>
  <c r="IU2" i="3"/>
  <c r="IF3" i="3"/>
  <c r="M4" i="3"/>
  <c r="EK4" i="3"/>
  <c r="JI4" i="3"/>
  <c r="AC5" i="3"/>
  <c r="FA5" i="3"/>
  <c r="JA5" i="3"/>
  <c r="MI5" i="3"/>
  <c r="AS6" i="3"/>
  <c r="DE6" i="3"/>
  <c r="FQ6" i="3"/>
  <c r="IC6" i="3"/>
  <c r="KO6" i="3"/>
  <c r="NA6" i="3"/>
  <c r="BI7" i="3"/>
  <c r="DU7" i="3"/>
  <c r="EB2" i="3"/>
  <c r="GI3" i="3"/>
  <c r="MY3" i="3"/>
  <c r="DS4" i="3"/>
  <c r="IQ4" i="3"/>
  <c r="K5" i="3"/>
  <c r="EI5" i="3"/>
  <c r="AM2" i="3"/>
  <c r="FN3" i="3"/>
  <c r="MQ3" i="3"/>
  <c r="DK4" i="3"/>
  <c r="II4" i="3"/>
  <c r="C5" i="3"/>
  <c r="EA5" i="3"/>
  <c r="II5" i="3"/>
  <c r="LP5" i="3"/>
  <c r="AE6" i="3"/>
  <c r="CQ6" i="3"/>
  <c r="FC6" i="3"/>
  <c r="HO6" i="3"/>
  <c r="KA6" i="3"/>
  <c r="H1" i="3"/>
  <c r="CF1" i="3"/>
  <c r="ER1" i="3"/>
  <c r="HD1" i="3"/>
  <c r="JP1" i="3"/>
  <c r="MB1" i="3"/>
  <c r="T2" i="3"/>
  <c r="BP2" i="3"/>
  <c r="CR1" i="3"/>
  <c r="FY1" i="3"/>
  <c r="CG1" i="3"/>
  <c r="FN1" i="3"/>
  <c r="IV1" i="3"/>
  <c r="MC1" i="3"/>
  <c r="AK2" i="3"/>
  <c r="CO2" i="3"/>
  <c r="EK2" i="3"/>
  <c r="EJ1" i="3"/>
  <c r="JM1" i="3"/>
  <c r="G2" i="3"/>
  <c r="CI2" i="3"/>
  <c r="EU2" i="3"/>
  <c r="GR2" i="3"/>
  <c r="IN2" i="3"/>
  <c r="KJ2" i="3"/>
  <c r="MF2" i="3"/>
  <c r="X3" i="3"/>
  <c r="BT3" i="3"/>
  <c r="DP3" i="3"/>
  <c r="FL3" i="3"/>
  <c r="HH3" i="3"/>
  <c r="EC1" i="3"/>
  <c r="KT1" i="3"/>
  <c r="BI2" i="3"/>
  <c r="ER2" i="3"/>
  <c r="HF2" i="3"/>
  <c r="JR2" i="3"/>
  <c r="GR1" i="3"/>
  <c r="MK1" i="3"/>
  <c r="CJ2" i="3"/>
  <c r="FM2" i="3"/>
  <c r="HY2" i="3"/>
  <c r="KK2" i="3"/>
  <c r="MW2" i="3"/>
  <c r="BE3" i="3"/>
  <c r="DQ3" i="3"/>
  <c r="GC3" i="3"/>
  <c r="IL3" i="3"/>
  <c r="KH3" i="3"/>
  <c r="MD3" i="3"/>
  <c r="V4" i="3"/>
  <c r="BR4" i="3"/>
  <c r="DN4" i="3"/>
  <c r="FJ4" i="3"/>
  <c r="HF4" i="3"/>
  <c r="JB4" i="3"/>
  <c r="KX4" i="3"/>
  <c r="MT4" i="3"/>
  <c r="AL5" i="3"/>
  <c r="CH5" i="3"/>
  <c r="ED5" i="3"/>
  <c r="FZ5" i="3"/>
  <c r="HV5" i="3"/>
  <c r="JR5" i="3"/>
  <c r="LN5" i="3"/>
  <c r="FT1" i="3"/>
  <c r="CA2" i="3"/>
  <c r="HR2" i="3"/>
  <c r="LU2" i="3"/>
  <c r="AX3" i="3"/>
  <c r="EE3" i="3"/>
  <c r="HM3" i="3"/>
  <c r="FA1" i="3"/>
  <c r="BT2" i="3"/>
  <c r="HM2" i="3"/>
  <c r="LR2" i="3"/>
  <c r="AU3" i="3"/>
  <c r="EC3" i="3"/>
  <c r="HJ3" i="3"/>
  <c r="KC1" i="3"/>
  <c r="JK2" i="3"/>
  <c r="CC3" i="3"/>
  <c r="IN3" i="3"/>
  <c r="LI3" i="3"/>
  <c r="Q4" i="3"/>
  <c r="CC4" i="3"/>
  <c r="EO4" i="3"/>
  <c r="HA4" i="3"/>
  <c r="JM4" i="3"/>
  <c r="LY4" i="3"/>
  <c r="AG5" i="3"/>
  <c r="CS5" i="3"/>
  <c r="FE5" i="3"/>
  <c r="GT1" i="3"/>
  <c r="BT1" i="3"/>
  <c r="GO2" i="3"/>
  <c r="AE3" i="3"/>
  <c r="GT3" i="3"/>
  <c r="KQ3" i="3"/>
  <c r="NC3" i="3"/>
  <c r="BK4" i="3"/>
  <c r="DW4" i="3"/>
  <c r="GI4" i="3"/>
  <c r="IU4" i="3"/>
  <c r="LG4" i="3"/>
  <c r="O5" i="3"/>
  <c r="CA5" i="3"/>
  <c r="EM5" i="3"/>
  <c r="GY5" i="3"/>
  <c r="JK5" i="3"/>
  <c r="LW5" i="3"/>
  <c r="T6" i="3"/>
  <c r="BP6" i="3"/>
  <c r="DL6" i="3"/>
  <c r="FH6" i="3"/>
  <c r="HD6" i="3"/>
  <c r="IZ6" i="3"/>
  <c r="KV6" i="3"/>
  <c r="MR6" i="3"/>
  <c r="AJ7" i="3"/>
  <c r="CF7" i="3"/>
  <c r="EB7" i="3"/>
  <c r="FX7" i="3"/>
  <c r="HT7" i="3"/>
  <c r="JP7" i="3"/>
  <c r="LL7" i="3"/>
  <c r="D8" i="3"/>
  <c r="AZ8" i="3"/>
  <c r="CV8" i="3"/>
  <c r="KI2" i="3"/>
  <c r="JA3" i="3"/>
  <c r="X4" i="3"/>
  <c r="EV4" i="3"/>
  <c r="JT4" i="3"/>
  <c r="AN5" i="3"/>
  <c r="FL5" i="3"/>
  <c r="JH5" i="3"/>
  <c r="MO5" i="3"/>
  <c r="AX6" i="3"/>
  <c r="DJ6" i="3"/>
  <c r="FV6" i="3"/>
  <c r="IH6" i="3"/>
  <c r="KT6" i="3"/>
  <c r="B7" i="3"/>
  <c r="BN7" i="3"/>
  <c r="DZ7" i="3"/>
  <c r="HO2" i="3"/>
  <c r="HK3" i="3"/>
  <c r="E4" i="3"/>
  <c r="EC4" i="3"/>
  <c r="JA4" i="3"/>
  <c r="U5" i="3"/>
  <c r="ES5" i="3"/>
  <c r="FC2" i="3"/>
  <c r="GP3" i="3"/>
  <c r="NA3" i="3"/>
  <c r="DU4" i="3"/>
  <c r="IS4" i="3"/>
  <c r="M5" i="3"/>
  <c r="EK5" i="3"/>
  <c r="IQ5" i="3"/>
  <c r="LX5" i="3"/>
  <c r="AK6" i="3"/>
  <c r="CW6" i="3"/>
  <c r="FI6" i="3"/>
  <c r="HU6" i="3"/>
  <c r="KG6" i="3"/>
  <c r="MS6" i="3"/>
  <c r="BA7" i="3"/>
  <c r="DM7" i="3"/>
  <c r="FY7" i="3"/>
  <c r="IK7" i="3"/>
  <c r="X1" i="3"/>
  <c r="CP1" i="3"/>
  <c r="FB1" i="3"/>
  <c r="HN1" i="3"/>
  <c r="JZ1" i="3"/>
  <c r="MJ1" i="3"/>
  <c r="AB2" i="3"/>
  <c r="N1" i="3"/>
  <c r="DE1" i="3"/>
  <c r="GL1" i="3"/>
  <c r="CT1" i="3"/>
  <c r="GB1" i="3"/>
  <c r="JI1" i="3"/>
  <c r="MM1" i="3"/>
  <c r="AU2" i="3"/>
  <c r="CW2" i="3"/>
  <c r="ES2" i="3"/>
  <c r="FL1" i="3"/>
  <c r="KG1" i="3"/>
  <c r="V2" i="3"/>
  <c r="CT2" i="3"/>
  <c r="FD2" i="3"/>
  <c r="GZ2" i="3"/>
  <c r="IV2" i="3"/>
  <c r="KR2" i="3"/>
  <c r="MN2" i="3"/>
  <c r="AF3" i="3"/>
  <c r="CB3" i="3"/>
  <c r="DX3" i="3"/>
  <c r="FT3" i="3"/>
  <c r="HP3" i="3"/>
  <c r="FP1" i="3"/>
  <c r="LT1" i="3"/>
  <c r="BZ2" i="3"/>
  <c r="FE2" i="3"/>
  <c r="HQ2" i="3"/>
  <c r="KC2" i="3"/>
  <c r="HP1" i="3"/>
  <c r="NB1" i="3"/>
  <c r="CX2" i="3"/>
  <c r="FW2" i="3"/>
  <c r="II2" i="3"/>
  <c r="KU2" i="3"/>
  <c r="C3" i="3"/>
  <c r="BO3" i="3"/>
  <c r="EA3" i="3"/>
  <c r="GM3" i="3"/>
  <c r="IT3" i="3"/>
  <c r="KP3" i="3"/>
  <c r="ML3" i="3"/>
  <c r="AD4" i="3"/>
  <c r="BZ4" i="3"/>
  <c r="DV4" i="3"/>
  <c r="FR4" i="3"/>
  <c r="HN4" i="3"/>
  <c r="JJ4" i="3"/>
  <c r="LF4" i="3"/>
  <c r="NB4" i="3"/>
  <c r="AT5" i="3"/>
  <c r="CP5" i="3"/>
  <c r="EL5" i="3"/>
  <c r="GH5" i="3"/>
  <c r="ID5" i="3"/>
  <c r="JZ5" i="3"/>
  <c r="LV5" i="3"/>
  <c r="HX1" i="3"/>
  <c r="DC2" i="3"/>
  <c r="IM2" i="3"/>
  <c r="MI2" i="3"/>
  <c r="BM3" i="3"/>
  <c r="ET3" i="3"/>
  <c r="IA3" i="3"/>
  <c r="HM1" i="3"/>
  <c r="CV2" i="3"/>
  <c r="IH2" i="3"/>
  <c r="ME2" i="3"/>
  <c r="BI3" i="3"/>
  <c r="EP3" i="3"/>
  <c r="HW3" i="3"/>
  <c r="K2" i="3"/>
  <c r="KT2" i="3"/>
  <c r="DE3" i="3"/>
  <c r="JG3" i="3"/>
  <c r="LT3" i="3"/>
  <c r="AB4" i="3"/>
  <c r="CN4" i="3"/>
  <c r="EZ4" i="3"/>
  <c r="HL4" i="3"/>
  <c r="JX4" i="3"/>
  <c r="MJ4" i="3"/>
  <c r="AR5" i="3"/>
  <c r="DD5" i="3"/>
  <c r="FP5" i="3"/>
  <c r="KR1" i="3"/>
  <c r="HF1" i="3"/>
  <c r="IE2" i="3"/>
  <c r="BG3" i="3"/>
  <c r="HV3" i="3"/>
  <c r="LA3" i="3"/>
  <c r="I4" i="3"/>
  <c r="BU4" i="3"/>
  <c r="EG4" i="3"/>
  <c r="GS4" i="3"/>
  <c r="JE4" i="3"/>
  <c r="LQ4" i="3"/>
  <c r="Y5" i="3"/>
  <c r="CK5" i="3"/>
  <c r="EW5" i="3"/>
  <c r="HI5" i="3"/>
  <c r="JU5" i="3"/>
  <c r="MG5" i="3"/>
  <c r="AB6" i="3"/>
  <c r="BX6" i="3"/>
  <c r="DT6" i="3"/>
  <c r="FP6" i="3"/>
  <c r="HL6" i="3"/>
  <c r="JH6" i="3"/>
  <c r="LD6" i="3"/>
  <c r="MZ6" i="3"/>
  <c r="AR7" i="3"/>
  <c r="CN7" i="3"/>
  <c r="EJ7" i="3"/>
  <c r="GF7" i="3"/>
  <c r="IB7" i="3"/>
  <c r="JX7" i="3"/>
  <c r="LT7" i="3"/>
  <c r="L8" i="3"/>
  <c r="BH8" i="3"/>
  <c r="DD8" i="3"/>
  <c r="MO2" i="3"/>
  <c r="JY3" i="3"/>
  <c r="AS4" i="3"/>
  <c r="FQ4" i="3"/>
  <c r="KO4" i="3"/>
  <c r="BI5" i="3"/>
  <c r="GG5" i="3"/>
  <c r="JW5" i="3"/>
  <c r="NA5" i="3"/>
  <c r="BI6" i="3"/>
  <c r="DU6" i="3"/>
  <c r="GG6" i="3"/>
  <c r="IS6" i="3"/>
  <c r="LE6" i="3"/>
  <c r="M7" i="3"/>
  <c r="BY7" i="3"/>
  <c r="EK7" i="3"/>
  <c r="KQ2" i="3"/>
  <c r="JE3" i="3"/>
  <c r="AA4" i="3"/>
  <c r="EY4" i="3"/>
  <c r="JW4" i="3"/>
  <c r="AQ5" i="3"/>
  <c r="FO5" i="3"/>
  <c r="JQ2" i="3"/>
  <c r="IQ3" i="3"/>
  <c r="S4" i="3"/>
  <c r="EQ4" i="3"/>
  <c r="JO4" i="3"/>
  <c r="AI5" i="3"/>
  <c r="FG5" i="3"/>
  <c r="JD5" i="3"/>
  <c r="MK5" i="3"/>
  <c r="AU6" i="3"/>
  <c r="DG6" i="3"/>
  <c r="FS6" i="3"/>
  <c r="IE6" i="3"/>
  <c r="KQ6" i="3"/>
  <c r="NC6" i="3"/>
  <c r="BK7" i="3"/>
  <c r="DW7" i="3"/>
  <c r="AF1" i="3"/>
  <c r="CV1" i="3"/>
  <c r="FH1" i="3"/>
  <c r="HT1" i="3"/>
  <c r="KF1" i="3"/>
  <c r="MN1" i="3"/>
  <c r="AF2" i="3"/>
  <c r="Z1" i="3"/>
  <c r="DM1" i="3"/>
  <c r="J1" i="3"/>
  <c r="DB1" i="3"/>
  <c r="GJ1" i="3"/>
  <c r="JQ1" i="3"/>
  <c r="MS1" i="3"/>
  <c r="BA2" i="3"/>
  <c r="DA2" i="3"/>
  <c r="EW2" i="3"/>
  <c r="FZ1" i="3"/>
  <c r="KO1" i="3"/>
  <c r="AC2" i="3"/>
  <c r="CY2" i="3"/>
  <c r="FH2" i="3"/>
  <c r="HD2" i="3"/>
  <c r="IZ2" i="3"/>
  <c r="KV2" i="3"/>
  <c r="MR2" i="3"/>
  <c r="AJ3" i="3"/>
  <c r="CF3" i="3"/>
  <c r="EB3" i="3"/>
  <c r="FX3" i="3"/>
  <c r="HT3" i="3"/>
  <c r="GG1" i="3"/>
  <c r="ME1" i="3"/>
  <c r="CF2" i="3"/>
  <c r="FJ2" i="3"/>
  <c r="HV2" i="3"/>
  <c r="V1" i="3"/>
  <c r="IC1" i="3"/>
  <c r="I2" i="3"/>
  <c r="DF2" i="3"/>
  <c r="GC2" i="3"/>
  <c r="IO2" i="3"/>
  <c r="LA2" i="3"/>
  <c r="I3" i="3"/>
  <c r="BU3" i="3"/>
  <c r="EG3" i="3"/>
  <c r="GS3" i="3"/>
  <c r="IX3" i="3"/>
  <c r="KT3" i="3"/>
  <c r="MP3" i="3"/>
  <c r="AH4" i="3"/>
  <c r="CD4" i="3"/>
  <c r="DZ4" i="3"/>
  <c r="FV4" i="3"/>
  <c r="HR4" i="3"/>
  <c r="JN4" i="3"/>
  <c r="LJ4" i="3"/>
  <c r="B5" i="3"/>
  <c r="AX5" i="3"/>
  <c r="CT5" i="3"/>
  <c r="EP5" i="3"/>
  <c r="GL5" i="3"/>
  <c r="IH5" i="3"/>
  <c r="KD5" i="3"/>
  <c r="LZ5" i="3"/>
  <c r="IX1" i="3"/>
  <c r="DR2" i="3"/>
  <c r="IX2" i="3"/>
  <c r="MP2" i="3"/>
  <c r="BS3" i="3"/>
  <c r="FA3" i="3"/>
  <c r="IG3" i="3"/>
  <c r="IL1" i="3"/>
  <c r="DK2" i="3"/>
  <c r="IS2" i="3"/>
  <c r="MM2" i="3"/>
  <c r="BQ3" i="3"/>
  <c r="EX3" i="3"/>
  <c r="IE3" i="3"/>
  <c r="AW2" i="3"/>
  <c r="LI2" i="3"/>
  <c r="DS3" i="3"/>
  <c r="JM3" i="3"/>
  <c r="LY3" i="3"/>
  <c r="AG4" i="3"/>
  <c r="CS4" i="3"/>
  <c r="FE4" i="3"/>
  <c r="HQ4" i="3"/>
  <c r="KC4" i="3"/>
  <c r="MO4" i="3"/>
  <c r="AW5" i="3"/>
  <c r="DI5" i="3"/>
  <c r="FU5" i="3"/>
  <c r="ML1" i="3"/>
  <c r="JF1" i="3"/>
  <c r="JA2" i="3"/>
  <c r="BV3" i="3"/>
  <c r="II3" i="3"/>
  <c r="LG3" i="3"/>
  <c r="O4" i="3"/>
  <c r="CA4" i="3"/>
  <c r="EM4" i="3"/>
  <c r="GY4" i="3"/>
  <c r="JK4" i="3"/>
  <c r="LW4" i="3"/>
  <c r="AE5" i="3"/>
  <c r="CQ5" i="3"/>
  <c r="FC5" i="3"/>
  <c r="HO5" i="3"/>
  <c r="KA5" i="3"/>
  <c r="MM5" i="3"/>
  <c r="AF6" i="3"/>
  <c r="CB6" i="3"/>
  <c r="DX6" i="3"/>
  <c r="FT6" i="3"/>
  <c r="HP6" i="3"/>
  <c r="JL6" i="3"/>
  <c r="LH6" i="3"/>
  <c r="ND6" i="3"/>
  <c r="AV7" i="3"/>
  <c r="CR7" i="3"/>
  <c r="EN7" i="3"/>
  <c r="GJ7" i="3"/>
  <c r="IF7" i="3"/>
  <c r="KB7" i="3"/>
  <c r="LX7" i="3"/>
  <c r="P8" i="3"/>
  <c r="BL8" i="3"/>
  <c r="DH8" i="3"/>
  <c r="M3" i="3"/>
  <c r="KJ3" i="3"/>
  <c r="BD4" i="3"/>
  <c r="GB4" i="3"/>
  <c r="KZ4" i="3"/>
  <c r="BT5" i="3"/>
  <c r="GR5" i="3"/>
  <c r="KC5" i="3"/>
  <c r="B6" i="3"/>
  <c r="BN6" i="3"/>
  <c r="DZ6" i="3"/>
  <c r="GL6" i="3"/>
  <c r="IX6" i="3"/>
  <c r="LJ6" i="3"/>
  <c r="R7" i="3"/>
  <c r="CD7" i="3"/>
  <c r="EP7" i="3"/>
  <c r="LS2" i="3"/>
  <c r="JQ3" i="3"/>
  <c r="AK4" i="3"/>
  <c r="FI4" i="3"/>
  <c r="KG4" i="3"/>
  <c r="AT1" i="3"/>
  <c r="DF1" i="3"/>
  <c r="FR1" i="3"/>
  <c r="ID1" i="3"/>
  <c r="KP1" i="3"/>
  <c r="MV1" i="3"/>
  <c r="AN2" i="3"/>
  <c r="AS1" i="3"/>
  <c r="DZ1" i="3"/>
  <c r="AD1" i="3"/>
  <c r="DP1" i="3"/>
  <c r="GW1" i="3"/>
  <c r="KD1" i="3"/>
  <c r="NC1" i="3"/>
  <c r="BK2" i="3"/>
  <c r="DI2" i="3"/>
  <c r="AL1" i="3"/>
  <c r="GZ1" i="3"/>
  <c r="LI1" i="3"/>
  <c r="AQ2" i="3"/>
  <c r="DJ2" i="3"/>
  <c r="FP2" i="3"/>
  <c r="HL2" i="3"/>
  <c r="JH2" i="3"/>
  <c r="LD2" i="3"/>
  <c r="MZ2" i="3"/>
  <c r="AR3" i="3"/>
  <c r="CN3" i="3"/>
  <c r="EJ3" i="3"/>
  <c r="GF3" i="3"/>
  <c r="IB3" i="3"/>
  <c r="HJ1" i="3"/>
  <c r="MY1" i="3"/>
  <c r="CU2" i="3"/>
  <c r="FU2" i="3"/>
  <c r="IG2" i="3"/>
  <c r="BM1" i="3"/>
  <c r="JA1" i="3"/>
  <c r="AA2" i="3"/>
  <c r="DS2" i="3"/>
  <c r="GM2" i="3"/>
  <c r="IY2" i="3"/>
  <c r="LK2" i="3"/>
  <c r="S3" i="3"/>
  <c r="CE3" i="3"/>
  <c r="EQ3" i="3"/>
  <c r="HC3" i="3"/>
  <c r="JF3" i="3"/>
  <c r="LB3" i="3"/>
  <c r="MX3" i="3"/>
  <c r="AP4" i="3"/>
  <c r="CL4" i="3"/>
  <c r="EH4" i="3"/>
  <c r="GD4" i="3"/>
  <c r="HZ4" i="3"/>
  <c r="JV4" i="3"/>
  <c r="LR4" i="3"/>
  <c r="J5" i="3"/>
  <c r="BF5" i="3"/>
  <c r="DB5" i="3"/>
  <c r="EX5" i="3"/>
  <c r="GT5" i="3"/>
  <c r="IP5" i="3"/>
  <c r="KL5" i="3"/>
  <c r="MH5" i="3"/>
  <c r="KW1" i="3"/>
  <c r="ET2" i="3"/>
  <c r="JS2" i="3"/>
  <c r="A3" i="3"/>
  <c r="CH3" i="3"/>
  <c r="FO3" i="3"/>
  <c r="IR3" i="3"/>
  <c r="KJ1" i="3"/>
  <c r="EM2" i="3"/>
  <c r="JN2" i="3"/>
  <c r="NA2" i="3"/>
  <c r="CD3" i="3"/>
  <c r="FK3" i="3"/>
  <c r="IO3" i="3"/>
  <c r="DG2" i="3"/>
  <c r="MK2" i="3"/>
  <c r="EU3" i="3"/>
  <c r="JX3" i="3"/>
  <c r="MJ3" i="3"/>
  <c r="AR4" i="3"/>
  <c r="DD4" i="3"/>
  <c r="FP4" i="3"/>
  <c r="IB4" i="3"/>
  <c r="KN4" i="3"/>
  <c r="MZ4" i="3"/>
  <c r="BH5" i="3"/>
  <c r="DT5" i="3"/>
  <c r="GF5" i="3"/>
  <c r="BG2" i="3"/>
  <c r="MU1" i="3"/>
  <c r="KM2" i="3"/>
  <c r="CX3" i="3"/>
  <c r="JD3" i="3"/>
  <c r="LQ3" i="3"/>
  <c r="Y4" i="3"/>
  <c r="CK4" i="3"/>
  <c r="EW4" i="3"/>
  <c r="HI4" i="3"/>
  <c r="JU4" i="3"/>
  <c r="MG4" i="3"/>
  <c r="AO5" i="3"/>
  <c r="DA5" i="3"/>
  <c r="FM5" i="3"/>
  <c r="HY5" i="3"/>
  <c r="KK5" i="3"/>
  <c r="MV5" i="3"/>
  <c r="AN6" i="3"/>
  <c r="CJ6" i="3"/>
  <c r="EF6" i="3"/>
  <c r="GB6" i="3"/>
  <c r="HX6" i="3"/>
  <c r="JT6" i="3"/>
  <c r="LP6" i="3"/>
  <c r="H7" i="3"/>
  <c r="BD7" i="3"/>
  <c r="CZ7" i="3"/>
  <c r="EV7" i="3"/>
  <c r="GR7" i="3"/>
  <c r="IN7" i="3"/>
  <c r="KJ7" i="3"/>
  <c r="MF7" i="3"/>
  <c r="X8" i="3"/>
  <c r="BT8" i="3"/>
  <c r="DP8" i="3"/>
  <c r="BR3" i="3"/>
  <c r="LE3" i="3"/>
  <c r="BY4" i="3"/>
  <c r="GW4" i="3"/>
  <c r="LU4" i="3"/>
  <c r="CO5" i="3"/>
  <c r="HK5" i="3"/>
  <c r="KR5" i="3"/>
  <c r="M6" i="3"/>
  <c r="BY6" i="3"/>
  <c r="EK6" i="3"/>
  <c r="GW6" i="3"/>
  <c r="JI6" i="3"/>
  <c r="LU6" i="3"/>
  <c r="AC7" i="3"/>
  <c r="CO7" i="3"/>
  <c r="FA7" i="3"/>
  <c r="U3" i="3"/>
  <c r="KM3" i="3"/>
  <c r="BG4" i="3"/>
  <c r="GE4" i="3"/>
  <c r="LC4" i="3"/>
  <c r="BW5" i="3"/>
  <c r="GU5" i="3"/>
  <c r="NC2" i="3"/>
  <c r="KE3" i="3"/>
  <c r="AY4" i="3"/>
  <c r="FW4" i="3"/>
  <c r="KU4" i="3"/>
  <c r="BO5" i="3"/>
  <c r="GM5" i="3"/>
  <c r="JY5" i="3"/>
  <c r="NC5" i="3"/>
  <c r="BK6" i="3"/>
  <c r="DW6" i="3"/>
  <c r="GI6" i="3"/>
  <c r="IU6" i="3"/>
  <c r="LG6" i="3"/>
  <c r="O7" i="3"/>
  <c r="CA7" i="3"/>
  <c r="EM7" i="3"/>
  <c r="HY1" i="3"/>
  <c r="T1" i="3"/>
  <c r="DE2" i="3"/>
  <c r="FL2" i="3"/>
  <c r="CJ3" i="3"/>
  <c r="CM2" i="3"/>
  <c r="DL2" i="3"/>
  <c r="EL3" i="3"/>
  <c r="CH4" i="3"/>
  <c r="F5" i="3"/>
  <c r="KH5" i="3"/>
  <c r="CA3" i="3"/>
  <c r="MT2" i="3"/>
  <c r="EH3" i="3"/>
  <c r="HW4" i="3"/>
  <c r="S2" i="3"/>
  <c r="T4" i="3"/>
  <c r="AJ5" i="3"/>
  <c r="AJ6" i="3"/>
  <c r="LL6" i="3"/>
  <c r="IJ7" i="3"/>
  <c r="AP3" i="3"/>
  <c r="HC5" i="3"/>
  <c r="JC6" i="3"/>
  <c r="KB3" i="3"/>
  <c r="GJ5" i="3"/>
  <c r="FL4" i="3"/>
  <c r="JS5" i="3"/>
  <c r="GD6" i="3"/>
  <c r="AU7" i="3"/>
  <c r="GI7" i="3"/>
  <c r="JK7" i="3"/>
  <c r="LW7" i="3"/>
  <c r="AE8" i="3"/>
  <c r="CQ8" i="3"/>
  <c r="EU8" i="3"/>
  <c r="GQ8" i="3"/>
  <c r="JR1" i="3"/>
  <c r="IA4" i="3"/>
  <c r="JT5" i="3"/>
  <c r="BG6" i="3"/>
  <c r="GE6" i="3"/>
  <c r="LC6" i="3"/>
  <c r="BW7" i="3"/>
  <c r="GL7" i="3"/>
  <c r="JS7" i="3"/>
  <c r="NA7" i="3"/>
  <c r="CD8" i="3"/>
  <c r="FA8" i="3"/>
  <c r="HM8" i="3"/>
  <c r="JO8" i="3"/>
  <c r="LK8" i="3"/>
  <c r="C9" i="3"/>
  <c r="AY9" i="3"/>
  <c r="CU9" i="3"/>
  <c r="EQ9" i="3"/>
  <c r="FD4" i="3"/>
  <c r="IV5" i="3"/>
  <c r="AO6" i="3"/>
  <c r="FM6" i="3"/>
  <c r="KK6" i="3"/>
  <c r="BE7" i="3"/>
  <c r="FZ7" i="3"/>
  <c r="JG7" i="3"/>
  <c r="MO7" i="3"/>
  <c r="BR8" i="3"/>
  <c r="ER8" i="3"/>
  <c r="HD8" i="3"/>
  <c r="JH8" i="3"/>
  <c r="LD8" i="3"/>
  <c r="CG4" i="3"/>
  <c r="HP5" i="3"/>
  <c r="V6" i="3"/>
  <c r="ET6" i="3"/>
  <c r="JR6" i="3"/>
  <c r="AL7" i="3"/>
  <c r="FJ7" i="3"/>
  <c r="IT7" i="3"/>
  <c r="MA7" i="3"/>
  <c r="BE8" i="3"/>
  <c r="EH8" i="3"/>
  <c r="GT8" i="3"/>
  <c r="JA8" i="3"/>
  <c r="KW8" i="3"/>
  <c r="MS8" i="3"/>
  <c r="AK9" i="3"/>
  <c r="CG9" i="3"/>
  <c r="EC9" i="3"/>
  <c r="FY9" i="3"/>
  <c r="HU9" i="3"/>
  <c r="JQ9" i="3"/>
  <c r="LM9" i="3"/>
  <c r="E10" i="3"/>
  <c r="BA10" i="3"/>
  <c r="CW10" i="3"/>
  <c r="ES10" i="3"/>
  <c r="GO10" i="3"/>
  <c r="IK10" i="3"/>
  <c r="KG10" i="3"/>
  <c r="MC10" i="3"/>
  <c r="U11" i="3"/>
  <c r="BQ11" i="3"/>
  <c r="DM11" i="3"/>
  <c r="FI11" i="3"/>
  <c r="HE11" i="3"/>
  <c r="JA11" i="3"/>
  <c r="KW11" i="3"/>
  <c r="MS11" i="3"/>
  <c r="AK12" i="3"/>
  <c r="CG12" i="3"/>
  <c r="MJ5" i="3"/>
  <c r="DV7" i="3"/>
  <c r="DK8" i="3"/>
  <c r="LX8" i="3"/>
  <c r="BL9" i="3"/>
  <c r="FB9" i="3"/>
  <c r="HN9" i="3"/>
  <c r="JZ9" i="3"/>
  <c r="ML9" i="3"/>
  <c r="AT10" i="3"/>
  <c r="DF10" i="3"/>
  <c r="FR10" i="3"/>
  <c r="ID10" i="3"/>
  <c r="KP10" i="3"/>
  <c r="NB10" i="3"/>
  <c r="BJ11" i="3"/>
  <c r="DV11" i="3"/>
  <c r="GH11" i="3"/>
  <c r="IT11" i="3"/>
  <c r="FG6" i="3"/>
  <c r="JC7" i="3"/>
  <c r="HA8" i="3"/>
  <c r="B9" i="3"/>
  <c r="CT9" i="3"/>
  <c r="FX9" i="3"/>
  <c r="IJ9" i="3"/>
  <c r="KV9" i="3"/>
  <c r="D10" i="3"/>
  <c r="BP10" i="3"/>
  <c r="EB10" i="3"/>
  <c r="GN10" i="3"/>
  <c r="IZ10" i="3"/>
  <c r="LL10" i="3"/>
  <c r="T11" i="3"/>
  <c r="CF11" i="3"/>
  <c r="ER11" i="3"/>
  <c r="HD11" i="3"/>
  <c r="JP11" i="3"/>
  <c r="MB11" i="3"/>
  <c r="AJ12" i="3"/>
  <c r="CV12" i="3"/>
  <c r="ES12" i="3"/>
  <c r="GO12" i="3"/>
  <c r="IK12" i="3"/>
  <c r="KG12" i="3"/>
  <c r="MC12" i="3"/>
  <c r="U13" i="3"/>
  <c r="LH5" i="3"/>
  <c r="DA7" i="3"/>
  <c r="CX8" i="3"/>
  <c r="LT8" i="3"/>
  <c r="BH9" i="3"/>
  <c r="EY9" i="3"/>
  <c r="HK9" i="3"/>
  <c r="JW9" i="3"/>
  <c r="MI9" i="3"/>
  <c r="AQ10" i="3"/>
  <c r="DC10" i="3"/>
  <c r="FO10" i="3"/>
  <c r="IA10" i="3"/>
  <c r="KM10" i="3"/>
  <c r="MY10" i="3"/>
  <c r="BG11" i="3"/>
  <c r="JU1" i="3"/>
  <c r="CN1" i="3"/>
  <c r="EO2" i="3"/>
  <c r="GV2" i="3"/>
  <c r="DT3" i="3"/>
  <c r="EY2" i="3"/>
  <c r="FR2" i="3"/>
  <c r="GH3" i="3"/>
  <c r="DR4" i="3"/>
  <c r="AP5" i="3"/>
  <c r="LR5" i="3"/>
  <c r="EM3" i="3"/>
  <c r="BB3" i="3"/>
  <c r="IY3" i="3"/>
  <c r="JS4" i="3"/>
  <c r="EP1" i="3"/>
  <c r="BP4" i="3"/>
  <c r="CF5" i="3"/>
  <c r="BT6" i="3"/>
  <c r="MV6" i="3"/>
  <c r="JT7" i="3"/>
  <c r="JO3" i="3"/>
  <c r="JO5" i="3"/>
  <c r="KY6" i="3"/>
  <c r="P4" i="3"/>
  <c r="HZ2" i="3"/>
  <c r="JD4" i="3"/>
  <c r="ME5" i="3"/>
  <c r="HZ6" i="3"/>
  <c r="BF7" i="3"/>
  <c r="GO7" i="3"/>
  <c r="JQ7" i="3"/>
  <c r="MC7" i="3"/>
  <c r="AK8" i="3"/>
  <c r="CW8" i="3"/>
  <c r="EY8" i="3"/>
  <c r="GU8" i="3"/>
  <c r="KA2" i="3"/>
  <c r="JQ4" i="3"/>
  <c r="KI5" i="3"/>
  <c r="BR6" i="3"/>
  <c r="GP6" i="3"/>
  <c r="LN6" i="3"/>
  <c r="CH7" i="3"/>
  <c r="GS7" i="3"/>
  <c r="JZ7" i="3"/>
  <c r="C8" i="3"/>
  <c r="CK8" i="3"/>
  <c r="FF8" i="3"/>
  <c r="HR8" i="3"/>
  <c r="JS8" i="3"/>
  <c r="LO8" i="3"/>
  <c r="G9" i="3"/>
  <c r="BC9" i="3"/>
  <c r="CY9" i="3"/>
  <c r="EU9" i="3"/>
  <c r="GU4" i="3"/>
  <c r="JI5" i="3"/>
  <c r="AY6" i="3"/>
  <c r="FW6" i="3"/>
  <c r="KU6" i="3"/>
  <c r="BO7" i="3"/>
  <c r="GG7" i="3"/>
  <c r="JN7" i="3"/>
  <c r="MU7" i="3"/>
  <c r="BY8" i="3"/>
  <c r="EW8" i="3"/>
  <c r="HI8" i="3"/>
  <c r="JL8" i="3"/>
  <c r="LH8" i="3"/>
  <c r="DX4" i="3"/>
  <c r="IK5" i="3"/>
  <c r="AG6" i="3"/>
  <c r="FE6" i="3"/>
  <c r="KC6" i="3"/>
  <c r="AW7" i="3"/>
  <c r="FU7" i="3"/>
  <c r="JB7" i="3"/>
  <c r="MI7" i="3"/>
  <c r="BM8" i="3"/>
  <c r="EN8" i="3"/>
  <c r="GZ8" i="3"/>
  <c r="JE8" i="3"/>
  <c r="LA8" i="3"/>
  <c r="MW8" i="3"/>
  <c r="AO9" i="3"/>
  <c r="CK9" i="3"/>
  <c r="EG9" i="3"/>
  <c r="GC9" i="3"/>
  <c r="HY9" i="3"/>
  <c r="JU9" i="3"/>
  <c r="LQ9" i="3"/>
  <c r="I10" i="3"/>
  <c r="BE10" i="3"/>
  <c r="DA10" i="3"/>
  <c r="EW10" i="3"/>
  <c r="GS10" i="3"/>
  <c r="IO10" i="3"/>
  <c r="KK10" i="3"/>
  <c r="MG10" i="3"/>
  <c r="Y11" i="3"/>
  <c r="BU11" i="3"/>
  <c r="DQ11" i="3"/>
  <c r="FM11" i="3"/>
  <c r="HI11" i="3"/>
  <c r="JE11" i="3"/>
  <c r="LA11" i="3"/>
  <c r="MW11" i="3"/>
  <c r="AO12" i="3"/>
  <c r="CK12" i="3"/>
  <c r="Y6" i="3"/>
  <c r="FM7" i="3"/>
  <c r="EJ8" i="3"/>
  <c r="MF8" i="3"/>
  <c r="BT9" i="3"/>
  <c r="FG9" i="3"/>
  <c r="HS9" i="3"/>
  <c r="KE9" i="3"/>
  <c r="MQ9" i="3"/>
  <c r="AY10" i="3"/>
  <c r="DK10" i="3"/>
  <c r="FW10" i="3"/>
  <c r="II10" i="3"/>
  <c r="KU10" i="3"/>
  <c r="C11" i="3"/>
  <c r="BO11" i="3"/>
  <c r="EA11" i="3"/>
  <c r="GM11" i="3"/>
  <c r="F3" i="3"/>
  <c r="GX6" i="3"/>
  <c r="KE7" i="3"/>
  <c r="HV8" i="3"/>
  <c r="J9" i="3"/>
  <c r="DB9" i="3"/>
  <c r="GD9" i="3"/>
  <c r="IP9" i="3"/>
  <c r="LB9" i="3"/>
  <c r="J10" i="3"/>
  <c r="BV10" i="3"/>
  <c r="EH10" i="3"/>
  <c r="GT10" i="3"/>
  <c r="JF10" i="3"/>
  <c r="LR10" i="3"/>
  <c r="Z11" i="3"/>
  <c r="CL11" i="3"/>
  <c r="EX11" i="3"/>
  <c r="HJ11" i="3"/>
  <c r="JV11" i="3"/>
  <c r="MH11" i="3"/>
  <c r="AP12" i="3"/>
  <c r="DA12" i="3"/>
  <c r="EW12" i="3"/>
  <c r="GS12" i="3"/>
  <c r="IO12" i="3"/>
  <c r="KK12" i="3"/>
  <c r="MG12" i="3"/>
  <c r="Y13" i="3"/>
  <c r="C6" i="3"/>
  <c r="EQ7" i="3"/>
  <c r="DY8" i="3"/>
  <c r="MB8" i="3"/>
  <c r="BP9" i="3"/>
  <c r="FD9" i="3"/>
  <c r="HP9" i="3"/>
  <c r="KB9" i="3"/>
  <c r="MN9" i="3"/>
  <c r="AV10" i="3"/>
  <c r="DH10" i="3"/>
  <c r="FT10" i="3"/>
  <c r="IF10" i="3"/>
  <c r="KR10" i="3"/>
  <c r="ND10" i="3"/>
  <c r="BL11" i="3"/>
  <c r="KK1" i="3"/>
  <c r="DI1" i="3"/>
  <c r="R1" i="3"/>
  <c r="HH2" i="3"/>
  <c r="EF3" i="3"/>
  <c r="FO2" i="3"/>
  <c r="GH2" i="3"/>
  <c r="GX3" i="3"/>
  <c r="ED4" i="3"/>
  <c r="BB5" i="3"/>
  <c r="MD5" i="3"/>
  <c r="FI3" i="3"/>
  <c r="BW3" i="3"/>
  <c r="JS3" i="3"/>
  <c r="KI4" i="3"/>
  <c r="LD1" i="3"/>
  <c r="CF4" i="3"/>
  <c r="CV5" i="3"/>
  <c r="CF6" i="3"/>
  <c r="D7" i="3"/>
  <c r="KF7" i="3"/>
  <c r="KU3" i="3"/>
  <c r="KJ5" i="3"/>
  <c r="LO6" i="3"/>
  <c r="AV4" i="3"/>
  <c r="KX2" i="3"/>
  <c r="JY4" i="3"/>
  <c r="MS5" i="3"/>
  <c r="IK6" i="3"/>
  <c r="BQ7" i="3"/>
  <c r="GT7" i="3"/>
  <c r="JV7" i="3"/>
  <c r="MH7" i="3"/>
  <c r="AP8" i="3"/>
  <c r="DB8" i="3"/>
  <c r="FC8" i="3"/>
  <c r="GY8" i="3"/>
  <c r="AH3" i="3"/>
  <c r="LH4" i="3"/>
  <c r="KW5" i="3"/>
  <c r="CC6" i="3"/>
  <c r="HA6" i="3"/>
  <c r="LY6" i="3"/>
  <c r="CS7" i="3"/>
  <c r="HA7" i="3"/>
  <c r="KH7" i="3"/>
  <c r="K8" i="3"/>
  <c r="CS8" i="3"/>
  <c r="FL8" i="3"/>
  <c r="HX8" i="3"/>
  <c r="JW8" i="3"/>
  <c r="LS8" i="3"/>
  <c r="K9" i="3"/>
  <c r="BG9" i="3"/>
  <c r="DC9" i="3"/>
  <c r="BW2" i="3"/>
  <c r="IK4" i="3"/>
  <c r="JX5" i="3"/>
  <c r="BJ6" i="3"/>
  <c r="GH6" i="3"/>
  <c r="LF6" i="3"/>
  <c r="BZ7" i="3"/>
  <c r="GM7" i="3"/>
  <c r="JU7" i="3"/>
  <c r="NB7" i="3"/>
  <c r="CE8" i="3"/>
  <c r="FB8" i="3"/>
  <c r="HN8" i="3"/>
  <c r="JP8" i="3"/>
  <c r="LL8" i="3"/>
  <c r="FO4" i="3"/>
  <c r="IY5" i="3"/>
  <c r="AQ6" i="3"/>
  <c r="FO6" i="3"/>
  <c r="KM6" i="3"/>
  <c r="BG7" i="3"/>
  <c r="GA7" i="3"/>
  <c r="JI7" i="3"/>
  <c r="MP7" i="3"/>
  <c r="BS8" i="3"/>
  <c r="ES8" i="3"/>
  <c r="HE8" i="3"/>
  <c r="JI8" i="3"/>
  <c r="LE8" i="3"/>
  <c r="NA8" i="3"/>
  <c r="AS9" i="3"/>
  <c r="CO9" i="3"/>
  <c r="EK9" i="3"/>
  <c r="GG9" i="3"/>
  <c r="IC9" i="3"/>
  <c r="JY9" i="3"/>
  <c r="LU9" i="3"/>
  <c r="M10" i="3"/>
  <c r="BI10" i="3"/>
  <c r="DE10" i="3"/>
  <c r="FA10" i="3"/>
  <c r="GW10" i="3"/>
  <c r="IS10" i="3"/>
  <c r="KO10" i="3"/>
  <c r="MK10" i="3"/>
  <c r="AC11" i="3"/>
  <c r="BY11" i="3"/>
  <c r="DU11" i="3"/>
  <c r="FQ11" i="3"/>
  <c r="HM11" i="3"/>
  <c r="JI11" i="3"/>
  <c r="LE11" i="3"/>
  <c r="NA11" i="3"/>
  <c r="AS12" i="3"/>
  <c r="CO12" i="3"/>
  <c r="BO6" i="3"/>
  <c r="GQ7" i="3"/>
  <c r="FE8" i="3"/>
  <c r="MN8" i="3"/>
  <c r="CB9" i="3"/>
  <c r="FL9" i="3"/>
  <c r="HX9" i="3"/>
  <c r="KJ9" i="3"/>
  <c r="MV9" i="3"/>
  <c r="BD10" i="3"/>
  <c r="DP10" i="3"/>
  <c r="GB10" i="3"/>
  <c r="IN10" i="3"/>
  <c r="KZ10" i="3"/>
  <c r="H11" i="3"/>
  <c r="BT11" i="3"/>
  <c r="EF11" i="3"/>
  <c r="GR11" i="3"/>
  <c r="LX3" i="3"/>
  <c r="IO6" i="3"/>
  <c r="LI7" i="3"/>
  <c r="IP8" i="3"/>
  <c r="R9" i="3"/>
  <c r="DJ9" i="3"/>
  <c r="GI9" i="3"/>
  <c r="IU9" i="3"/>
  <c r="LG9" i="3"/>
  <c r="O10" i="3"/>
  <c r="CA10" i="3"/>
  <c r="EM10" i="3"/>
  <c r="GY10" i="3"/>
  <c r="JK10" i="3"/>
  <c r="LW10" i="3"/>
  <c r="AE11" i="3"/>
  <c r="CQ11" i="3"/>
  <c r="FC11" i="3"/>
  <c r="HO11" i="3"/>
  <c r="KA11" i="3"/>
  <c r="MM11" i="3"/>
  <c r="AU12" i="3"/>
  <c r="DE12" i="3"/>
  <c r="FA12" i="3"/>
  <c r="GW12" i="3"/>
  <c r="IS12" i="3"/>
  <c r="KO12" i="3"/>
  <c r="MK12" i="3"/>
  <c r="AC13" i="3"/>
  <c r="AT6" i="3"/>
  <c r="GC7" i="3"/>
  <c r="ET8" i="3"/>
  <c r="MJ8" i="3"/>
  <c r="BX9" i="3"/>
  <c r="FJ9" i="3"/>
  <c r="HV9" i="3"/>
  <c r="KH9" i="3"/>
  <c r="MT9" i="3"/>
  <c r="BB10" i="3"/>
  <c r="DN10" i="3"/>
  <c r="FZ10" i="3"/>
  <c r="IL10" i="3"/>
  <c r="KX10" i="3"/>
  <c r="F11" i="3"/>
  <c r="MF1" i="3"/>
  <c r="FU1" i="3"/>
  <c r="EX1" i="3"/>
  <c r="IR2" i="3"/>
  <c r="FP3" i="3"/>
  <c r="HK2" i="3"/>
  <c r="ID2" i="3"/>
  <c r="IP3" i="3"/>
  <c r="FN4" i="3"/>
  <c r="CL5" i="3"/>
  <c r="HA1" i="3"/>
  <c r="HU3" i="3"/>
  <c r="EI3" i="3"/>
  <c r="LO3" i="3"/>
  <c r="ME4" i="3"/>
  <c r="HJ2" i="3"/>
  <c r="EB4" i="3"/>
  <c r="ER5" i="3"/>
  <c r="DP6" i="3"/>
  <c r="AN7" i="3"/>
  <c r="LP7" i="3"/>
  <c r="AI4" i="3"/>
  <c r="MU5" i="3"/>
  <c r="G7" i="3"/>
  <c r="EN4" i="3"/>
  <c r="LZ2" i="3"/>
  <c r="KJ4" i="3"/>
  <c r="MX5" i="3"/>
  <c r="IP6" i="3"/>
  <c r="BV7" i="3"/>
  <c r="GY7" i="3"/>
  <c r="KA7" i="3"/>
  <c r="MM7" i="3"/>
  <c r="AU8" i="3"/>
  <c r="DG8" i="3"/>
  <c r="FG8" i="3"/>
  <c r="HC8" i="3"/>
  <c r="ES3" i="3"/>
  <c r="MY4" i="3"/>
  <c r="LK5" i="3"/>
  <c r="CM6" i="3"/>
  <c r="HK6" i="3"/>
  <c r="MI6" i="3"/>
  <c r="DC7" i="3"/>
  <c r="HG7" i="3"/>
  <c r="KO7" i="3"/>
  <c r="R8" i="3"/>
  <c r="CY8" i="3"/>
  <c r="FQ8" i="3"/>
  <c r="IC8" i="3"/>
  <c r="KA8" i="3"/>
  <c r="LW8" i="3"/>
  <c r="O9" i="3"/>
  <c r="BK9" i="3"/>
  <c r="DG9" i="3"/>
  <c r="LE2" i="3"/>
  <c r="KB4" i="3"/>
  <c r="KM5" i="3"/>
  <c r="BU6" i="3"/>
  <c r="GS6" i="3"/>
  <c r="LQ6" i="3"/>
  <c r="CK7" i="3"/>
  <c r="GU7" i="3"/>
  <c r="KC7" i="3"/>
  <c r="F8" i="3"/>
  <c r="CM8" i="3"/>
  <c r="FH8" i="3"/>
  <c r="HT8" i="3"/>
  <c r="JT8" i="3"/>
  <c r="LP8" i="3"/>
  <c r="HE4" i="3"/>
  <c r="JM5" i="3"/>
  <c r="BB6" i="3"/>
  <c r="FZ6" i="3"/>
  <c r="KX6" i="3"/>
  <c r="BR7" i="3"/>
  <c r="GH7" i="3"/>
  <c r="JO7" i="3"/>
  <c r="MW7" i="3"/>
  <c r="BZ8" i="3"/>
  <c r="EX8" i="3"/>
  <c r="HJ8" i="3"/>
  <c r="JM8" i="3"/>
  <c r="LI8" i="3"/>
  <c r="A9" i="3"/>
  <c r="AW9" i="3"/>
  <c r="CS9" i="3"/>
  <c r="EO9" i="3"/>
  <c r="GK9" i="3"/>
  <c r="IG9" i="3"/>
  <c r="KC9" i="3"/>
  <c r="LY9" i="3"/>
  <c r="Q10" i="3"/>
  <c r="BM10" i="3"/>
  <c r="DI10" i="3"/>
  <c r="FE10" i="3"/>
  <c r="HA10" i="3"/>
  <c r="IW10" i="3"/>
  <c r="KS10" i="3"/>
  <c r="MO10" i="3"/>
  <c r="AG11" i="3"/>
  <c r="CC11" i="3"/>
  <c r="DY11" i="3"/>
  <c r="FU11" i="3"/>
  <c r="HQ11" i="3"/>
  <c r="JM11" i="3"/>
  <c r="LI11" i="3"/>
  <c r="A12" i="3"/>
  <c r="AW12" i="3"/>
  <c r="CS12" i="3"/>
  <c r="DF6" i="3"/>
  <c r="HS7" i="3"/>
  <c r="FZ8" i="3"/>
  <c r="MV8" i="3"/>
  <c r="CJ9" i="3"/>
  <c r="FR9" i="3"/>
  <c r="ID9" i="3"/>
  <c r="KP9" i="3"/>
  <c r="NB9" i="3"/>
  <c r="BJ10" i="3"/>
  <c r="DV10" i="3"/>
  <c r="GH10" i="3"/>
  <c r="IT10" i="3"/>
  <c r="LF10" i="3"/>
  <c r="N11" i="3"/>
  <c r="BZ11" i="3"/>
  <c r="EL11" i="3"/>
  <c r="GX11" i="3"/>
  <c r="EI4" i="3"/>
  <c r="KE6" i="3"/>
  <c r="MK7" i="3"/>
  <c r="JF8" i="3"/>
  <c r="Z9" i="3"/>
  <c r="DR9" i="3"/>
  <c r="GN9" i="3"/>
  <c r="IZ9" i="3"/>
  <c r="LL9" i="3"/>
  <c r="T10" i="3"/>
  <c r="CF10" i="3"/>
  <c r="ER10" i="3"/>
  <c r="HD10" i="3"/>
  <c r="JP10" i="3"/>
  <c r="MB10" i="3"/>
  <c r="AJ11" i="3"/>
  <c r="CV11" i="3"/>
  <c r="FH11" i="3"/>
  <c r="HT11" i="3"/>
  <c r="KF11" i="3"/>
  <c r="MR11" i="3"/>
  <c r="AZ12" i="3"/>
  <c r="DI12" i="3"/>
  <c r="FE12" i="3"/>
  <c r="HA12" i="3"/>
  <c r="IW12" i="3"/>
  <c r="KS12" i="3"/>
  <c r="MO12" i="3"/>
  <c r="AG13" i="3"/>
  <c r="CK6" i="3"/>
  <c r="HF7" i="3"/>
  <c r="FP8" i="3"/>
  <c r="MR8" i="3"/>
  <c r="CF9" i="3"/>
  <c r="FO9" i="3"/>
  <c r="IA9" i="3"/>
  <c r="KM9" i="3"/>
  <c r="MY9" i="3"/>
  <c r="BG10" i="3"/>
  <c r="DS10" i="3"/>
  <c r="GE10" i="3"/>
  <c r="IQ10" i="3"/>
  <c r="MR1" i="3"/>
  <c r="GP1" i="3"/>
  <c r="GO1" i="3"/>
  <c r="JD2" i="3"/>
  <c r="GB3" i="3"/>
  <c r="IA2" i="3"/>
  <c r="IT2" i="3"/>
  <c r="JB3" i="3"/>
  <c r="FZ4" i="3"/>
  <c r="CX5" i="3"/>
  <c r="JY1" i="3"/>
  <c r="IM3" i="3"/>
  <c r="FE3" i="3"/>
  <c r="ME3" i="3"/>
  <c r="MU4" i="3"/>
  <c r="JV2" i="3"/>
  <c r="ER4" i="3"/>
  <c r="FH5" i="3"/>
  <c r="EB6" i="3"/>
  <c r="AZ7" i="3"/>
  <c r="MB7" i="3"/>
  <c r="BO4" i="3"/>
  <c r="G6" i="3"/>
  <c r="W7" i="3"/>
  <c r="FT4" i="3"/>
  <c r="HR3" i="3"/>
  <c r="X5" i="3"/>
  <c r="AP6" i="3"/>
  <c r="KL6" i="3"/>
  <c r="CW7" i="3"/>
  <c r="HJ7" i="3"/>
  <c r="KG7" i="3"/>
  <c r="MS7" i="3"/>
  <c r="BA8" i="3"/>
  <c r="DM8" i="3"/>
  <c r="FK8" i="3"/>
  <c r="HG8" i="3"/>
  <c r="IV3" i="3"/>
  <c r="AK5" i="3"/>
  <c r="LY5" i="3"/>
  <c r="CX6" i="3"/>
  <c r="HV6" i="3"/>
  <c r="MT6" i="3"/>
  <c r="DN7" i="3"/>
  <c r="HN7" i="3"/>
  <c r="KU7" i="3"/>
  <c r="Y8" i="3"/>
  <c r="DF8" i="3"/>
  <c r="FV8" i="3"/>
  <c r="IH8" i="3"/>
  <c r="KE8" i="3"/>
  <c r="MA8" i="3"/>
  <c r="S9" i="3"/>
  <c r="BO9" i="3"/>
  <c r="DK9" i="3"/>
  <c r="BK3" i="3"/>
  <c r="LS4" i="3"/>
  <c r="KZ5" i="3"/>
  <c r="CE6" i="3"/>
  <c r="HC6" i="3"/>
  <c r="MA6" i="3"/>
  <c r="CU7" i="3"/>
  <c r="HB7" i="3"/>
  <c r="KI7" i="3"/>
  <c r="M8" i="3"/>
  <c r="CT8" i="3"/>
  <c r="FM8" i="3"/>
  <c r="HY8" i="3"/>
  <c r="JX8" i="3"/>
  <c r="FY2" i="3"/>
  <c r="IV4" i="3"/>
  <c r="KB5" i="3"/>
  <c r="BM6" i="3"/>
  <c r="GK6" i="3"/>
  <c r="LI6" i="3"/>
  <c r="CC7" i="3"/>
  <c r="GP7" i="3"/>
  <c r="JW7" i="3"/>
  <c r="A8" i="3"/>
  <c r="CH8" i="3"/>
  <c r="FD8" i="3"/>
  <c r="HP8" i="3"/>
  <c r="JQ8" i="3"/>
  <c r="LM8" i="3"/>
  <c r="E9" i="3"/>
  <c r="BA9" i="3"/>
  <c r="CW9" i="3"/>
  <c r="ES9" i="3"/>
  <c r="GO9" i="3"/>
  <c r="IK9" i="3"/>
  <c r="KG9" i="3"/>
  <c r="MC9" i="3"/>
  <c r="U10" i="3"/>
  <c r="BQ10" i="3"/>
  <c r="DM10" i="3"/>
  <c r="FI10" i="3"/>
  <c r="HE10" i="3"/>
  <c r="JA10" i="3"/>
  <c r="KW10" i="3"/>
  <c r="MS10" i="3"/>
  <c r="AK11" i="3"/>
  <c r="CG11" i="3"/>
  <c r="EC11" i="3"/>
  <c r="FY11" i="3"/>
  <c r="HU11" i="3"/>
  <c r="JQ11" i="3"/>
  <c r="LM11" i="3"/>
  <c r="E12" i="3"/>
  <c r="BA12" i="3"/>
  <c r="CW12" i="3"/>
  <c r="EW6" i="3"/>
  <c r="IW7" i="3"/>
  <c r="GV8" i="3"/>
  <c r="ND8" i="3"/>
  <c r="CR9" i="3"/>
  <c r="FW9" i="3"/>
  <c r="II9" i="3"/>
  <c r="KU9" i="3"/>
  <c r="C10" i="3"/>
  <c r="BO10" i="3"/>
  <c r="EA10" i="3"/>
  <c r="GM10" i="3"/>
  <c r="IY10" i="3"/>
  <c r="LK10" i="3"/>
  <c r="S11" i="3"/>
  <c r="CE11" i="3"/>
  <c r="EQ11" i="3"/>
  <c r="HC11" i="3"/>
  <c r="KW4" i="3"/>
  <c r="LV6" i="3"/>
  <c r="I8" i="3"/>
  <c r="JV8" i="3"/>
  <c r="AH9" i="3"/>
  <c r="DZ9" i="3"/>
  <c r="GT9" i="3"/>
  <c r="JF9" i="3"/>
  <c r="LR9" i="3"/>
  <c r="Z10" i="3"/>
  <c r="CL10" i="3"/>
  <c r="EX10" i="3"/>
  <c r="HJ10" i="3"/>
  <c r="JV10" i="3"/>
  <c r="MH10" i="3"/>
  <c r="AP11" i="3"/>
  <c r="DB11" i="3"/>
  <c r="FN11" i="3"/>
  <c r="HZ11" i="3"/>
  <c r="KL11" i="3"/>
  <c r="MX11" i="3"/>
  <c r="BF12" i="3"/>
  <c r="DM12" i="3"/>
  <c r="FI12" i="3"/>
  <c r="HE12" i="3"/>
  <c r="JA12" i="3"/>
  <c r="KW12" i="3"/>
  <c r="MS12" i="3"/>
  <c r="AK13" i="3"/>
  <c r="EA6" i="3"/>
  <c r="IH7" i="3"/>
  <c r="P1" i="3"/>
  <c r="X2" i="3"/>
  <c r="JB1" i="3"/>
  <c r="JV1" i="3"/>
  <c r="KN2" i="3"/>
  <c r="HL3" i="3"/>
  <c r="JW2" i="3"/>
  <c r="KP2" i="3"/>
  <c r="KL3" i="3"/>
  <c r="HJ4" i="3"/>
  <c r="EH5" i="3"/>
  <c r="CP2" i="3"/>
  <c r="GK1" i="3"/>
  <c r="HQ3" i="3"/>
  <c r="W4" i="3"/>
  <c r="AM5" i="3"/>
  <c r="AS3" i="3"/>
  <c r="GN4" i="3"/>
  <c r="HD5" i="3"/>
  <c r="FL6" i="3"/>
  <c r="CJ7" i="3"/>
  <c r="H8" i="3"/>
  <c r="FG4" i="3"/>
  <c r="BC6" i="3"/>
  <c r="BS7" i="3"/>
  <c r="JL4" i="3"/>
  <c r="JI3" i="3"/>
  <c r="AS5" i="3"/>
  <c r="BA6" i="3"/>
  <c r="KW6" i="3"/>
  <c r="DG7" i="3"/>
  <c r="HU7" i="3"/>
  <c r="KL7" i="3"/>
  <c r="MX7" i="3"/>
  <c r="BF8" i="3"/>
  <c r="DR8" i="3"/>
  <c r="FO8" i="3"/>
  <c r="HK8" i="3"/>
  <c r="KR3" i="3"/>
  <c r="CB5" i="3"/>
  <c r="MN5" i="3"/>
  <c r="DI6" i="3"/>
  <c r="IG6" i="3"/>
  <c r="A7" i="3"/>
  <c r="DY7" i="3"/>
  <c r="HV7" i="3"/>
  <c r="LC7" i="3"/>
  <c r="AG8" i="3"/>
  <c r="DN8" i="3"/>
  <c r="GB8" i="3"/>
  <c r="IM8" i="3"/>
  <c r="KI8" i="3"/>
  <c r="ME8" i="3"/>
  <c r="W9" i="3"/>
  <c r="BS9" i="3"/>
  <c r="DO9" i="3"/>
  <c r="FU3" i="3"/>
  <c r="E5" i="3"/>
  <c r="LO5" i="3"/>
  <c r="CP6" i="3"/>
  <c r="HN6" i="3"/>
  <c r="ML6" i="3"/>
  <c r="DF7" i="3"/>
  <c r="HI7" i="3"/>
  <c r="KP7" i="3"/>
  <c r="S8" i="3"/>
  <c r="DA8" i="3"/>
  <c r="FR8" i="3"/>
  <c r="ID8" i="3"/>
  <c r="KB8" i="3"/>
  <c r="MH2" i="3"/>
  <c r="KM4" i="3"/>
  <c r="KO5" i="3"/>
  <c r="BW6" i="3"/>
  <c r="GU6" i="3"/>
  <c r="LS6" i="3"/>
  <c r="CM7" i="3"/>
  <c r="GW7" i="3"/>
  <c r="KD7" i="3"/>
  <c r="G8" i="3"/>
  <c r="CO8" i="3"/>
  <c r="FI8" i="3"/>
  <c r="HU8" i="3"/>
  <c r="JU8" i="3"/>
  <c r="LQ8" i="3"/>
  <c r="I9" i="3"/>
  <c r="BE9" i="3"/>
  <c r="DA9" i="3"/>
  <c r="EW9" i="3"/>
  <c r="GS9" i="3"/>
  <c r="IO9" i="3"/>
  <c r="KK9" i="3"/>
  <c r="MG9" i="3"/>
  <c r="Y10" i="3"/>
  <c r="BU10" i="3"/>
  <c r="DQ10" i="3"/>
  <c r="FM10" i="3"/>
  <c r="HI10" i="3"/>
  <c r="JE10" i="3"/>
  <c r="LA10" i="3"/>
  <c r="MW10" i="3"/>
  <c r="AO11" i="3"/>
  <c r="CK11" i="3"/>
  <c r="EG11" i="3"/>
  <c r="GC11" i="3"/>
  <c r="HY11" i="3"/>
  <c r="JU11" i="3"/>
  <c r="LQ11" i="3"/>
  <c r="I12" i="3"/>
  <c r="BE12" i="3"/>
  <c r="IK2" i="3"/>
  <c r="GM6" i="3"/>
  <c r="JY7" i="3"/>
  <c r="HQ8" i="3"/>
  <c r="H9" i="3"/>
  <c r="CZ9" i="3"/>
  <c r="GB9" i="3"/>
  <c r="IN9" i="3"/>
  <c r="KZ9" i="3"/>
  <c r="H10" i="3"/>
  <c r="BT10" i="3"/>
  <c r="EF10" i="3"/>
  <c r="GR10" i="3"/>
  <c r="JD10" i="3"/>
  <c r="LP10" i="3"/>
  <c r="X11" i="3"/>
  <c r="CJ11" i="3"/>
  <c r="EV11" i="3"/>
  <c r="HH11" i="3"/>
  <c r="DH5" i="3"/>
  <c r="I7" i="3"/>
  <c r="AL8" i="3"/>
  <c r="KL8" i="3"/>
  <c r="AP9" i="3"/>
  <c r="EH9" i="3"/>
  <c r="GY9" i="3"/>
  <c r="JK9" i="3"/>
  <c r="LW9" i="3"/>
  <c r="AE10" i="3"/>
  <c r="CQ10" i="3"/>
  <c r="FC10" i="3"/>
  <c r="HO10" i="3"/>
  <c r="KA10" i="3"/>
  <c r="MM10" i="3"/>
  <c r="AU11" i="3"/>
  <c r="DG11" i="3"/>
  <c r="FS11" i="3"/>
  <c r="IE11" i="3"/>
  <c r="KQ11" i="3"/>
  <c r="NC11" i="3"/>
  <c r="BK12" i="3"/>
  <c r="DQ12" i="3"/>
  <c r="FM12" i="3"/>
  <c r="HI12" i="3"/>
  <c r="JE12" i="3"/>
  <c r="LA12" i="3"/>
  <c r="MW12" i="3"/>
  <c r="AO13" i="3"/>
  <c r="FR6" i="3"/>
  <c r="JJ7" i="3"/>
  <c r="HF8" i="3"/>
  <c r="D9" i="3"/>
  <c r="CV9" i="3"/>
  <c r="FZ9" i="3"/>
  <c r="IL9" i="3"/>
  <c r="KX9" i="3"/>
  <c r="F10" i="3"/>
  <c r="BR10" i="3"/>
  <c r="ED10" i="3"/>
  <c r="GP10" i="3"/>
  <c r="JB10" i="3"/>
  <c r="LN10" i="3"/>
  <c r="AN1" i="3"/>
  <c r="AJ2" i="3"/>
  <c r="JX1" i="3"/>
  <c r="KX1" i="3"/>
  <c r="KZ2" i="3"/>
  <c r="HX3" i="3"/>
  <c r="AV1" i="3"/>
  <c r="LF2" i="3"/>
  <c r="KX3" i="3"/>
  <c r="HV4" i="3"/>
  <c r="ET5" i="3"/>
  <c r="EF2" i="3"/>
  <c r="JL1" i="3"/>
  <c r="IJ3" i="3"/>
  <c r="AM4" i="3"/>
  <c r="BC5" i="3"/>
  <c r="CI3" i="3"/>
  <c r="HD4" i="3"/>
  <c r="HT5" i="3"/>
  <c r="FX6" i="3"/>
  <c r="CV7" i="3"/>
  <c r="T8" i="3"/>
  <c r="GM4" i="3"/>
  <c r="BS6" i="3"/>
  <c r="CI7" i="3"/>
  <c r="KR4" i="3"/>
  <c r="JT3" i="3"/>
  <c r="BD5" i="3"/>
  <c r="BF6" i="3"/>
  <c r="LB6" i="3"/>
  <c r="DR7" i="3"/>
  <c r="HZ7" i="3"/>
  <c r="KQ7" i="3"/>
  <c r="NC7" i="3"/>
  <c r="BK8" i="3"/>
  <c r="DW8" i="3"/>
  <c r="FS8" i="3"/>
  <c r="HO8" i="3"/>
  <c r="MI3" i="3"/>
  <c r="DS5" i="3"/>
  <c r="MY5" i="3"/>
  <c r="DS6" i="3"/>
  <c r="IQ6" i="3"/>
  <c r="K7" i="3"/>
  <c r="EI7" i="3"/>
  <c r="IC7" i="3"/>
  <c r="LJ7" i="3"/>
  <c r="AM8" i="3"/>
  <c r="DU8" i="3"/>
  <c r="GG8" i="3"/>
  <c r="IQ8" i="3"/>
  <c r="KM8" i="3"/>
  <c r="MI8" i="3"/>
  <c r="AA9" i="3"/>
  <c r="BW9" i="3"/>
  <c r="DS9" i="3"/>
  <c r="JL3" i="3"/>
  <c r="AV5" i="3"/>
  <c r="MC5" i="3"/>
  <c r="DA6" i="3"/>
  <c r="HY6" i="3"/>
  <c r="MW6" i="3"/>
  <c r="DQ7" i="3"/>
  <c r="HQ7" i="3"/>
  <c r="KX7" i="3"/>
  <c r="AA8" i="3"/>
  <c r="DI8" i="3"/>
  <c r="FX8" i="3"/>
  <c r="IJ8" i="3"/>
  <c r="KF8" i="3"/>
  <c r="CM3" i="3"/>
  <c r="MC4" i="3"/>
  <c r="LD5" i="3"/>
  <c r="CH6" i="3"/>
  <c r="HF6" i="3"/>
  <c r="MD6" i="3"/>
  <c r="CX7" i="3"/>
  <c r="HC7" i="3"/>
  <c r="KK7" i="3"/>
  <c r="N8" i="3"/>
  <c r="CU8" i="3"/>
  <c r="FN8" i="3"/>
  <c r="HZ8" i="3"/>
  <c r="JY8" i="3"/>
  <c r="LU8" i="3"/>
  <c r="M9" i="3"/>
  <c r="BI9" i="3"/>
  <c r="DE9" i="3"/>
  <c r="FA9" i="3"/>
  <c r="GW9" i="3"/>
  <c r="IS9" i="3"/>
  <c r="KO9" i="3"/>
  <c r="MK9" i="3"/>
  <c r="AC10" i="3"/>
  <c r="BY10" i="3"/>
  <c r="DU10" i="3"/>
  <c r="FQ10" i="3"/>
  <c r="HM10" i="3"/>
  <c r="JI10" i="3"/>
  <c r="LE10" i="3"/>
  <c r="NA10" i="3"/>
  <c r="AS11" i="3"/>
  <c r="CO11" i="3"/>
  <c r="EK11" i="3"/>
  <c r="GG11" i="3"/>
  <c r="IC11" i="3"/>
  <c r="JY11" i="3"/>
  <c r="LU11" i="3"/>
  <c r="M12" i="3"/>
  <c r="BI12" i="3"/>
  <c r="KG3" i="3"/>
  <c r="ID6" i="3"/>
  <c r="LA7" i="3"/>
  <c r="IL8" i="3"/>
  <c r="P9" i="3"/>
  <c r="DH9" i="3"/>
  <c r="GH9" i="3"/>
  <c r="IT9" i="3"/>
  <c r="LF9" i="3"/>
  <c r="N10" i="3"/>
  <c r="BZ10" i="3"/>
  <c r="EL10" i="3"/>
  <c r="GX10" i="3"/>
  <c r="JJ10" i="3"/>
  <c r="LV10" i="3"/>
  <c r="AD11" i="3"/>
  <c r="CP11" i="3"/>
  <c r="FB11" i="3"/>
  <c r="HN11" i="3"/>
  <c r="IN5" i="3"/>
  <c r="AY7" i="3"/>
  <c r="BN8" i="3"/>
  <c r="LB8" i="3"/>
  <c r="AX9" i="3"/>
  <c r="EP9" i="3"/>
  <c r="HD9" i="3"/>
  <c r="JP9" i="3"/>
  <c r="MB9" i="3"/>
  <c r="AJ10" i="3"/>
  <c r="CV10" i="3"/>
  <c r="FH10" i="3"/>
  <c r="HT10" i="3"/>
  <c r="KF10" i="3"/>
  <c r="MR10" i="3"/>
  <c r="AZ11" i="3"/>
  <c r="DL11" i="3"/>
  <c r="FX11" i="3"/>
  <c r="IJ11" i="3"/>
  <c r="KV11" i="3"/>
  <c r="D12" i="3"/>
  <c r="BP12" i="3"/>
  <c r="DU12" i="3"/>
  <c r="FQ12" i="3"/>
  <c r="CK1" i="3"/>
  <c r="D1" i="3"/>
  <c r="MH1" i="3"/>
  <c r="N2" i="3"/>
  <c r="MJ2" i="3"/>
  <c r="ET1" i="3"/>
  <c r="HB1" i="3"/>
  <c r="NB2" i="3"/>
  <c r="MH3" i="3"/>
  <c r="JF4" i="3"/>
  <c r="GD5" i="3"/>
  <c r="IC2" i="3"/>
  <c r="CH2" i="3"/>
  <c r="MD1" i="3"/>
  <c r="CI4" i="3"/>
  <c r="CY5" i="3"/>
  <c r="HG3" i="3"/>
  <c r="IZ4" i="3"/>
  <c r="JP5" i="3"/>
  <c r="HH6" i="3"/>
  <c r="EF7" i="3"/>
  <c r="BD8" i="3"/>
  <c r="KE4" i="3"/>
  <c r="DO6" i="3"/>
  <c r="EE7" i="3"/>
  <c r="AF5" i="3"/>
  <c r="H4" i="3"/>
  <c r="EV5" i="3"/>
  <c r="DB6" i="3"/>
  <c r="MM6" i="3"/>
  <c r="EC7" i="3"/>
  <c r="IE7" i="3"/>
  <c r="KW7" i="3"/>
  <c r="E8" i="3"/>
  <c r="BQ8" i="3"/>
  <c r="EA8" i="3"/>
  <c r="FW8" i="3"/>
  <c r="HS8" i="3"/>
  <c r="U4" i="3"/>
  <c r="FI5" i="3"/>
  <c r="F6" i="3"/>
  <c r="ED6" i="3"/>
  <c r="JB6" i="3"/>
  <c r="V7" i="3"/>
  <c r="ET7" i="3"/>
  <c r="II7" i="3"/>
  <c r="LQ7" i="3"/>
  <c r="AT8" i="3"/>
  <c r="DZ8" i="3"/>
  <c r="GL8" i="3"/>
  <c r="IU8" i="3"/>
  <c r="KQ8" i="3"/>
  <c r="MM8" i="3"/>
  <c r="AE9" i="3"/>
  <c r="CA9" i="3"/>
  <c r="DW9" i="3"/>
  <c r="LC3" i="3"/>
  <c r="CM5" i="3"/>
  <c r="MQ5" i="3"/>
  <c r="DK6" i="3"/>
  <c r="II6" i="3"/>
  <c r="C7" i="3"/>
  <c r="EA7" i="3"/>
  <c r="HW7" i="3"/>
  <c r="LE7" i="3"/>
  <c r="AH8" i="3"/>
  <c r="DO8" i="3"/>
  <c r="GC8" i="3"/>
  <c r="IN8" i="3"/>
  <c r="KJ8" i="3"/>
  <c r="GW3" i="3"/>
  <c r="P5" i="3"/>
  <c r="LS5" i="3"/>
  <c r="CS6" i="3"/>
  <c r="HQ6" i="3"/>
  <c r="MO6" i="3"/>
  <c r="DI7" i="3"/>
  <c r="HK7" i="3"/>
  <c r="KS7" i="3"/>
  <c r="V8" i="3"/>
  <c r="DC8" i="3"/>
  <c r="FT8" i="3"/>
  <c r="IF8" i="3"/>
  <c r="KC8" i="3"/>
  <c r="LY8" i="3"/>
  <c r="Q9" i="3"/>
  <c r="BM9" i="3"/>
  <c r="DI9" i="3"/>
  <c r="FE9" i="3"/>
  <c r="HA9" i="3"/>
  <c r="IW9" i="3"/>
  <c r="KS9" i="3"/>
  <c r="MO9" i="3"/>
  <c r="AG10" i="3"/>
  <c r="CC10" i="3"/>
  <c r="DY10" i="3"/>
  <c r="FU10" i="3"/>
  <c r="HQ10" i="3"/>
  <c r="JM10" i="3"/>
  <c r="LI10" i="3"/>
  <c r="A11" i="3"/>
  <c r="AW11" i="3"/>
  <c r="CS11" i="3"/>
  <c r="EO11" i="3"/>
  <c r="GK11" i="3"/>
  <c r="IG11" i="3"/>
  <c r="KC11" i="3"/>
  <c r="LY11" i="3"/>
  <c r="Q12" i="3"/>
  <c r="BM12" i="3"/>
  <c r="CR4" i="3"/>
  <c r="JU6" i="3"/>
  <c r="MD7" i="3"/>
  <c r="JB8" i="3"/>
  <c r="X9" i="3"/>
  <c r="DP9" i="3"/>
  <c r="GM9" i="3"/>
  <c r="IY9" i="3"/>
  <c r="LK9" i="3"/>
  <c r="S10" i="3"/>
  <c r="CE10" i="3"/>
  <c r="EQ10" i="3"/>
  <c r="HC10" i="3"/>
  <c r="JO10" i="3"/>
  <c r="MA10" i="3"/>
  <c r="AI11" i="3"/>
  <c r="CU11" i="3"/>
  <c r="FG11" i="3"/>
  <c r="HS11" i="3"/>
  <c r="KS5" i="3"/>
  <c r="CP7" i="3"/>
  <c r="CP8" i="3"/>
  <c r="LR8" i="3"/>
  <c r="BF9" i="3"/>
  <c r="EX9" i="3"/>
  <c r="HJ9" i="3"/>
  <c r="JV9" i="3"/>
  <c r="MH9" i="3"/>
  <c r="AP10" i="3"/>
  <c r="DB10" i="3"/>
  <c r="FN10" i="3"/>
  <c r="HZ10" i="3"/>
  <c r="KL10" i="3"/>
  <c r="MX10" i="3"/>
  <c r="BF11" i="3"/>
  <c r="DR11" i="3"/>
  <c r="GD11" i="3"/>
  <c r="IP11" i="3"/>
  <c r="LB11" i="3"/>
  <c r="J12" i="3"/>
  <c r="BV12" i="3"/>
  <c r="DY12" i="3"/>
  <c r="FU12" i="3"/>
  <c r="HQ12" i="3"/>
  <c r="JM12" i="3"/>
  <c r="LI12" i="3"/>
  <c r="A13" i="3"/>
  <c r="K4" i="3"/>
  <c r="IY6" i="3"/>
  <c r="LO7" i="3"/>
  <c r="IT8" i="3"/>
  <c r="T9" i="3"/>
  <c r="DL9" i="3"/>
  <c r="GJ9" i="3"/>
  <c r="IV9" i="3"/>
  <c r="LH9" i="3"/>
  <c r="P10" i="3"/>
  <c r="CB10" i="3"/>
  <c r="EN10" i="3"/>
  <c r="GZ10" i="3"/>
  <c r="DA1" i="3"/>
  <c r="AJ1" i="3"/>
  <c r="MX1" i="3"/>
  <c r="AI2" i="3"/>
  <c r="MV2" i="3"/>
  <c r="GV1" i="3"/>
  <c r="IP1" i="3"/>
  <c r="N3" i="3"/>
  <c r="MT3" i="3"/>
  <c r="JR4" i="3"/>
  <c r="GP5" i="3"/>
  <c r="JI2" i="3"/>
  <c r="DX2" i="3"/>
  <c r="CE2" i="3"/>
  <c r="CY4" i="3"/>
  <c r="DO5" i="3"/>
  <c r="IS3" i="3"/>
  <c r="JP4" i="3"/>
  <c r="KF5" i="3"/>
  <c r="HT6" i="3"/>
  <c r="ER7" i="3"/>
  <c r="BP8" i="3"/>
  <c r="LK4" i="3"/>
  <c r="EE6" i="3"/>
  <c r="EU7" i="3"/>
  <c r="BA5" i="3"/>
  <c r="AC4" i="3"/>
  <c r="FQ5" i="3"/>
  <c r="DM6" i="3"/>
  <c r="MX6" i="3"/>
  <c r="EH7" i="3"/>
  <c r="IP7" i="3"/>
  <c r="LB7" i="3"/>
  <c r="J8" i="3"/>
  <c r="BV8" i="3"/>
  <c r="EE8" i="3"/>
  <c r="GA8" i="3"/>
  <c r="HW8" i="3"/>
  <c r="BL4" i="3"/>
  <c r="GZ5" i="3"/>
  <c r="Q6" i="3"/>
  <c r="EO6" i="3"/>
  <c r="JM6" i="3"/>
  <c r="AG7" i="3"/>
  <c r="FE7" i="3"/>
  <c r="IQ7" i="3"/>
  <c r="LY7" i="3"/>
  <c r="BB8" i="3"/>
  <c r="EF8" i="3"/>
  <c r="GR8" i="3"/>
  <c r="IY8" i="3"/>
  <c r="KU8" i="3"/>
  <c r="MQ8" i="3"/>
  <c r="AI9" i="3"/>
  <c r="CE9" i="3"/>
  <c r="EA9" i="3"/>
  <c r="MS3" i="3"/>
  <c r="EC5" i="3"/>
  <c r="NB5" i="3"/>
  <c r="DV6" i="3"/>
  <c r="IT6" i="3"/>
  <c r="N7" i="3"/>
  <c r="EL7" i="3"/>
  <c r="ID7" i="3"/>
  <c r="LK7" i="3"/>
  <c r="AO8" i="3"/>
  <c r="DV8" i="3"/>
  <c r="GH8" i="3"/>
  <c r="IR8" i="3"/>
  <c r="KN8" i="3"/>
  <c r="JW3" i="3"/>
  <c r="BG5" i="3"/>
  <c r="MF5" i="3"/>
  <c r="DC6" i="3"/>
  <c r="IA6" i="3"/>
  <c r="MY6" i="3"/>
  <c r="DS7" i="3"/>
  <c r="HR7" i="3"/>
  <c r="KY7" i="3"/>
  <c r="AC8" i="3"/>
  <c r="DJ8" i="3"/>
  <c r="FY8" i="3"/>
  <c r="IK8" i="3"/>
  <c r="KG8" i="3"/>
  <c r="MC8" i="3"/>
  <c r="U9" i="3"/>
  <c r="BQ9" i="3"/>
  <c r="DM9" i="3"/>
  <c r="FI9" i="3"/>
  <c r="HE9" i="3"/>
  <c r="JA9" i="3"/>
  <c r="KW9" i="3"/>
  <c r="MS9" i="3"/>
  <c r="AK10" i="3"/>
  <c r="CG10" i="3"/>
  <c r="EC10" i="3"/>
  <c r="FY10" i="3"/>
  <c r="HU10" i="3"/>
  <c r="JQ10" i="3"/>
  <c r="LM10" i="3"/>
  <c r="E11" i="3"/>
  <c r="BA11" i="3"/>
  <c r="CW11" i="3"/>
  <c r="ES11" i="3"/>
  <c r="GO11" i="3"/>
  <c r="IK11" i="3"/>
  <c r="KG11" i="3"/>
  <c r="MC11" i="3"/>
  <c r="U12" i="3"/>
  <c r="BQ12" i="3"/>
  <c r="JG4" i="3"/>
  <c r="LK6" i="3"/>
  <c r="B8" i="3"/>
  <c r="JR8" i="3"/>
  <c r="AF9" i="3"/>
  <c r="DX9" i="3"/>
  <c r="GR9" i="3"/>
  <c r="JD9" i="3"/>
  <c r="LP9" i="3"/>
  <c r="X10" i="3"/>
  <c r="CJ10" i="3"/>
  <c r="EV10" i="3"/>
  <c r="HH10" i="3"/>
  <c r="JT10" i="3"/>
  <c r="MF10" i="3"/>
  <c r="AN11" i="3"/>
  <c r="CZ11" i="3"/>
  <c r="FL11" i="3"/>
  <c r="HX11" i="3"/>
  <c r="MW5" i="3"/>
  <c r="EG7" i="3"/>
  <c r="DS8" i="3"/>
  <c r="LZ8" i="3"/>
  <c r="BN9" i="3"/>
  <c r="FC9" i="3"/>
  <c r="HO9" i="3"/>
  <c r="KA9" i="3"/>
  <c r="MM9" i="3"/>
  <c r="AU10" i="3"/>
  <c r="DG10" i="3"/>
  <c r="FS10" i="3"/>
  <c r="IE10" i="3"/>
  <c r="KQ10" i="3"/>
  <c r="NC10" i="3"/>
  <c r="BK11" i="3"/>
  <c r="DW11" i="3"/>
  <c r="GI11" i="3"/>
  <c r="IU11" i="3"/>
  <c r="LG11" i="3"/>
  <c r="O12" i="3"/>
  <c r="CA12" i="3"/>
  <c r="EC12" i="3"/>
  <c r="FY12" i="3"/>
  <c r="EW1" i="3"/>
  <c r="CX1" i="3"/>
  <c r="AP2" i="3"/>
  <c r="CN2" i="3"/>
  <c r="AB3" i="3"/>
  <c r="LE1" i="3"/>
  <c r="MT1" i="3"/>
  <c r="BJ3" i="3"/>
  <c r="Z4" i="3"/>
  <c r="LB4" i="3"/>
  <c r="HZ5" i="3"/>
  <c r="MC2" i="3"/>
  <c r="HW2" i="3"/>
  <c r="KG2" i="3"/>
  <c r="EU4" i="3"/>
  <c r="FK5" i="3"/>
  <c r="KV3" i="3"/>
  <c r="LL4" i="3"/>
  <c r="MB5" i="3"/>
  <c r="JD6" i="3"/>
  <c r="GB7" i="3"/>
  <c r="CZ8" i="3"/>
  <c r="AY5" i="3"/>
  <c r="GA6" i="3"/>
  <c r="JF2" i="3"/>
  <c r="BL5" i="3"/>
  <c r="AN4" i="3"/>
  <c r="GB5" i="3"/>
  <c r="DR6" i="3"/>
  <c r="E7" i="3"/>
  <c r="FI7" i="3"/>
  <c r="IU7" i="3"/>
  <c r="LG7" i="3"/>
  <c r="O8" i="3"/>
  <c r="CA8" i="3"/>
  <c r="EI8" i="3"/>
  <c r="GE8" i="3"/>
  <c r="IA8" i="3"/>
  <c r="DC4" i="3"/>
  <c r="IC5" i="3"/>
  <c r="AA6" i="3"/>
  <c r="EY6" i="3"/>
  <c r="JW6" i="3"/>
  <c r="AQ7" i="3"/>
  <c r="FO7" i="3"/>
  <c r="IX7" i="3"/>
  <c r="ME7" i="3"/>
  <c r="BI8" i="3"/>
  <c r="EK8" i="3"/>
  <c r="GW8" i="3"/>
  <c r="JC8" i="3"/>
  <c r="KY8" i="3"/>
  <c r="MU8" i="3"/>
  <c r="AM9" i="3"/>
  <c r="CI9" i="3"/>
  <c r="EE9" i="3"/>
  <c r="AF4" i="3"/>
  <c r="FT5" i="3"/>
  <c r="I6" i="3"/>
  <c r="EG6" i="3"/>
  <c r="JE6" i="3"/>
  <c r="Y7" i="3"/>
  <c r="EW7" i="3"/>
  <c r="IL7" i="3"/>
  <c r="LS7" i="3"/>
  <c r="AW8" i="3"/>
  <c r="EB8" i="3"/>
  <c r="GN8" i="3"/>
  <c r="IV8" i="3"/>
  <c r="KR8" i="3"/>
  <c r="LM3" i="3"/>
  <c r="CW5" i="3"/>
  <c r="MT5" i="3"/>
  <c r="DN6" i="3"/>
  <c r="IL6" i="3"/>
  <c r="F7" i="3"/>
  <c r="ED7" i="3"/>
  <c r="HY7" i="3"/>
  <c r="LF7" i="3"/>
  <c r="AI8" i="3"/>
  <c r="DQ8" i="3"/>
  <c r="GD8" i="3"/>
  <c r="IO8" i="3"/>
  <c r="KK8" i="3"/>
  <c r="MG8" i="3"/>
  <c r="Y9" i="3"/>
  <c r="BU9" i="3"/>
  <c r="DQ9" i="3"/>
  <c r="FM9" i="3"/>
  <c r="HI9" i="3"/>
  <c r="JE9" i="3"/>
  <c r="LA9" i="3"/>
  <c r="MW9" i="3"/>
  <c r="AO10" i="3"/>
  <c r="CK10" i="3"/>
  <c r="EG10" i="3"/>
  <c r="GC10" i="3"/>
  <c r="HY10" i="3"/>
  <c r="JU10" i="3"/>
  <c r="LQ10" i="3"/>
  <c r="I11" i="3"/>
  <c r="BE11" i="3"/>
  <c r="DA11" i="3"/>
  <c r="EW11" i="3"/>
  <c r="GS11" i="3"/>
  <c r="IO11" i="3"/>
  <c r="KK11" i="3"/>
  <c r="MG11" i="3"/>
  <c r="Y12" i="3"/>
  <c r="BU12" i="3"/>
  <c r="BQ5" i="3"/>
  <c r="NB6" i="3"/>
  <c r="AD8" i="3"/>
  <c r="KH8" i="3"/>
  <c r="AN9" i="3"/>
  <c r="EF9" i="3"/>
  <c r="GX9" i="3"/>
  <c r="JJ9" i="3"/>
  <c r="LV9" i="3"/>
  <c r="AD10" i="3"/>
  <c r="HI1" i="3"/>
  <c r="GF1" i="3"/>
  <c r="CS2" i="3"/>
  <c r="EZ2" i="3"/>
  <c r="BX3" i="3"/>
  <c r="BR2" i="3"/>
  <c r="CQ2" i="3"/>
  <c r="DV3" i="3"/>
  <c r="BV4" i="3"/>
  <c r="MX4" i="3"/>
  <c r="JV5" i="3"/>
  <c r="BF3" i="3"/>
  <c r="LY2" i="3"/>
  <c r="CQ3" i="3"/>
  <c r="HG4" i="3"/>
  <c r="IR1" i="3"/>
  <c r="D4" i="3"/>
  <c r="T5" i="3"/>
  <c r="X6" i="3"/>
  <c r="KZ6" i="3"/>
  <c r="HX7" i="3"/>
  <c r="LM2" i="3"/>
  <c r="FW5" i="3"/>
  <c r="IM6" i="3"/>
  <c r="IK3" i="3"/>
  <c r="FY5" i="3"/>
  <c r="FA4" i="3"/>
  <c r="JL5" i="3"/>
  <c r="FY6" i="3"/>
  <c r="AK7" i="3"/>
  <c r="GD7" i="3"/>
  <c r="JF7" i="3"/>
  <c r="LR7" i="3"/>
  <c r="Z8" i="3"/>
  <c r="CL8" i="3"/>
  <c r="EQ8" i="3"/>
  <c r="GM8" i="3"/>
  <c r="II8" i="3"/>
  <c r="GJ4" i="3"/>
  <c r="JG5" i="3"/>
  <c r="AW6" i="3"/>
  <c r="FU6" i="3"/>
  <c r="KS6" i="3"/>
  <c r="BM7" i="3"/>
  <c r="GE7" i="3"/>
  <c r="JM7" i="3"/>
  <c r="MT7" i="3"/>
  <c r="BW8" i="3"/>
  <c r="EV8" i="3"/>
  <c r="HH8" i="3"/>
  <c r="JK8" i="3"/>
  <c r="LG8" i="3"/>
  <c r="NC8" i="3"/>
  <c r="AU9" i="3"/>
  <c r="CQ9" i="3"/>
  <c r="EM9" i="3"/>
  <c r="DM4" i="3"/>
  <c r="IG5" i="3"/>
  <c r="AD6" i="3"/>
  <c r="FB6" i="3"/>
  <c r="JZ6" i="3"/>
  <c r="AT7" i="3"/>
  <c r="FR7" i="3"/>
  <c r="IY7" i="3"/>
  <c r="MG7" i="3"/>
  <c r="BJ8" i="3"/>
  <c r="EL8" i="3"/>
  <c r="GX8" i="3"/>
  <c r="JD8" i="3"/>
  <c r="KZ8" i="3"/>
  <c r="AQ4" i="3"/>
  <c r="GE5" i="3"/>
  <c r="K6" i="3"/>
  <c r="EI6" i="3"/>
  <c r="JG6" i="3"/>
  <c r="AA7" i="3"/>
  <c r="EY7" i="3"/>
  <c r="IM7" i="3"/>
  <c r="LU7" i="3"/>
  <c r="AX8" i="3"/>
  <c r="EC8" i="3"/>
  <c r="GO8" i="3"/>
  <c r="IW8" i="3"/>
  <c r="KS8" i="3"/>
  <c r="MO8" i="3"/>
  <c r="AG9" i="3"/>
  <c r="CC9" i="3"/>
  <c r="DY9" i="3"/>
  <c r="FU9" i="3"/>
  <c r="HQ9" i="3"/>
  <c r="JM9" i="3"/>
  <c r="LI9" i="3"/>
  <c r="A10" i="3"/>
  <c r="AW10" i="3"/>
  <c r="CS10" i="3"/>
  <c r="EO10" i="3"/>
  <c r="GK10" i="3"/>
  <c r="IG10" i="3"/>
  <c r="KC10" i="3"/>
  <c r="LY10" i="3"/>
  <c r="Q11" i="3"/>
  <c r="BM11" i="3"/>
  <c r="DI11" i="3"/>
  <c r="FE11" i="3"/>
  <c r="HA11" i="3"/>
  <c r="IW11" i="3"/>
  <c r="KS11" i="3"/>
  <c r="MO11" i="3"/>
  <c r="AG12" i="3"/>
  <c r="CC12" i="3"/>
  <c r="KE5" i="3"/>
  <c r="CE7" i="3"/>
  <c r="CI8" i="3"/>
  <c r="LN8" i="3"/>
  <c r="BD9" i="3"/>
  <c r="EV9" i="3"/>
  <c r="HH9" i="3"/>
  <c r="JT9" i="3"/>
  <c r="MF9" i="3"/>
  <c r="AN10" i="3"/>
  <c r="CZ10" i="3"/>
  <c r="FL10" i="3"/>
  <c r="HX10" i="3"/>
  <c r="KJ10" i="3"/>
  <c r="MV10" i="3"/>
  <c r="BD11" i="3"/>
  <c r="DP11" i="3"/>
  <c r="GB11" i="3"/>
  <c r="IN11" i="3"/>
  <c r="DQ6" i="3"/>
  <c r="IA7" i="3"/>
  <c r="GF8" i="3"/>
  <c r="MX8" i="3"/>
  <c r="CL9" i="3"/>
  <c r="FS9" i="3"/>
  <c r="IE9" i="3"/>
  <c r="KQ9" i="3"/>
  <c r="NC9" i="3"/>
  <c r="BK10" i="3"/>
  <c r="DW10" i="3"/>
  <c r="GI10" i="3"/>
  <c r="IU10" i="3"/>
  <c r="LG10" i="3"/>
  <c r="O11" i="3"/>
  <c r="CA11" i="3"/>
  <c r="EM11" i="3"/>
  <c r="GY11" i="3"/>
  <c r="JK11" i="3"/>
  <c r="LW11" i="3"/>
  <c r="AE12" i="3"/>
  <c r="CQ12" i="3"/>
  <c r="EO12" i="3"/>
  <c r="GK12" i="3"/>
  <c r="IG12" i="3"/>
  <c r="KC12" i="3"/>
  <c r="LY12" i="3"/>
  <c r="Q13" i="3"/>
  <c r="BZ3" i="3"/>
  <c r="JP6" i="3"/>
  <c r="JA7" i="3"/>
  <c r="BB7" i="3"/>
  <c r="EI9" i="3"/>
  <c r="GS8" i="3"/>
  <c r="AQ8" i="3"/>
  <c r="LE9" i="3"/>
  <c r="FA11" i="3"/>
  <c r="EN9" i="3"/>
  <c r="KE10" i="3"/>
  <c r="BZ6" i="3"/>
  <c r="HZ9" i="3"/>
  <c r="IP10" i="3"/>
  <c r="JF11" i="3"/>
  <c r="HU12" i="3"/>
  <c r="E13" i="3"/>
  <c r="BJ7" i="3"/>
  <c r="MZ8" i="3"/>
  <c r="FT9" i="3"/>
  <c r="KR9" i="3"/>
  <c r="BL10" i="3"/>
  <c r="GJ10" i="3"/>
  <c r="KH10" i="3"/>
  <c r="AA11" i="3"/>
  <c r="CX11" i="3"/>
  <c r="FJ11" i="3"/>
  <c r="HV11" i="3"/>
  <c r="KH11" i="3"/>
  <c r="MT11" i="3"/>
  <c r="BB12" i="3"/>
  <c r="DJ12" i="3"/>
  <c r="FF12" i="3"/>
  <c r="HB12" i="3"/>
  <c r="IX12" i="3"/>
  <c r="KT12" i="3"/>
  <c r="MP12" i="3"/>
  <c r="AH13" i="3"/>
  <c r="CD13" i="3"/>
  <c r="DZ13" i="3"/>
  <c r="FV13" i="3"/>
  <c r="HR13" i="3"/>
  <c r="JN13" i="3"/>
  <c r="LJ13" i="3"/>
  <c r="B14" i="3"/>
  <c r="AX14" i="3"/>
  <c r="CT14" i="3"/>
  <c r="EP14" i="3"/>
  <c r="GL14" i="3"/>
  <c r="IH14" i="3"/>
  <c r="KD14" i="3"/>
  <c r="LZ14" i="3"/>
  <c r="R15" i="3"/>
  <c r="BN15" i="3"/>
  <c r="DJ15" i="3"/>
  <c r="FF15" i="3"/>
  <c r="HB15" i="3"/>
  <c r="IX15" i="3"/>
  <c r="KT15" i="3"/>
  <c r="MP15" i="3"/>
  <c r="AH16" i="3"/>
  <c r="CD16" i="3"/>
  <c r="EZ8" i="3"/>
  <c r="HW9" i="3"/>
  <c r="DO10" i="3"/>
  <c r="G11" i="3"/>
  <c r="IY11" i="3"/>
  <c r="S12" i="3"/>
  <c r="EF12" i="3"/>
  <c r="HX12" i="3"/>
  <c r="LP12" i="3"/>
  <c r="AZ13" i="3"/>
  <c r="DL13" i="3"/>
  <c r="FX13" i="3"/>
  <c r="IJ13" i="3"/>
  <c r="KV13" i="3"/>
  <c r="D14" i="3"/>
  <c r="BP14" i="3"/>
  <c r="EB14" i="3"/>
  <c r="GN14" i="3"/>
  <c r="IZ14" i="3"/>
  <c r="LL14" i="3"/>
  <c r="T15" i="3"/>
  <c r="CF15" i="3"/>
  <c r="ER15" i="3"/>
  <c r="HD15" i="3"/>
  <c r="JP15" i="3"/>
  <c r="MB15" i="3"/>
  <c r="AJ16" i="3"/>
  <c r="CU16" i="3"/>
  <c r="JJ6" i="3"/>
  <c r="DN9" i="3"/>
  <c r="R10" i="3"/>
  <c r="JN10" i="3"/>
  <c r="FF11" i="3"/>
  <c r="LZ11" i="3"/>
  <c r="CT12" i="3"/>
  <c r="GM12" i="3"/>
  <c r="KE12" i="3"/>
  <c r="S13" i="3"/>
  <c r="CM13" i="3"/>
  <c r="EY13" i="3"/>
  <c r="HK13" i="3"/>
  <c r="JW13" i="3"/>
  <c r="MI13" i="3"/>
  <c r="AQ14" i="3"/>
  <c r="DC14" i="3"/>
  <c r="FO14" i="3"/>
  <c r="IA14" i="3"/>
  <c r="KM14" i="3"/>
  <c r="MY14" i="3"/>
  <c r="BG15" i="3"/>
  <c r="DS15" i="3"/>
  <c r="GE15" i="3"/>
  <c r="IQ15" i="3"/>
  <c r="LC15" i="3"/>
  <c r="K16" i="3"/>
  <c r="BW16" i="3"/>
  <c r="DX16" i="3"/>
  <c r="FT16" i="3"/>
  <c r="HP16" i="3"/>
  <c r="JL16" i="3"/>
  <c r="LH16" i="3"/>
  <c r="ND16" i="3"/>
  <c r="ND34" i="3" s="1"/>
  <c r="AV17" i="3"/>
  <c r="CR17" i="3"/>
  <c r="EN17" i="3"/>
  <c r="GJ17" i="3"/>
  <c r="IF17" i="3"/>
  <c r="KB17" i="3"/>
  <c r="LX17" i="3"/>
  <c r="P18" i="3"/>
  <c r="AL4" i="3"/>
  <c r="GN7" i="3"/>
  <c r="LM7" i="3"/>
  <c r="FW7" i="3"/>
  <c r="BW4" i="3"/>
  <c r="IZ8" i="3"/>
  <c r="DX8" i="3"/>
  <c r="NA9" i="3"/>
  <c r="GW11" i="3"/>
  <c r="HC9" i="3"/>
  <c r="ML10" i="3"/>
  <c r="FV7" i="3"/>
  <c r="KF9" i="3"/>
  <c r="KV10" i="3"/>
  <c r="LL11" i="3"/>
  <c r="HY12" i="3"/>
  <c r="I13" i="3"/>
  <c r="KM7" i="3"/>
  <c r="L9" i="3"/>
  <c r="GE9" i="3"/>
  <c r="LC9" i="3"/>
  <c r="BW10" i="3"/>
  <c r="GU10" i="3"/>
  <c r="LC10" i="3"/>
  <c r="AF11" i="3"/>
  <c r="DC11" i="3"/>
  <c r="FO11" i="3"/>
  <c r="IA11" i="3"/>
  <c r="KM11" i="3"/>
  <c r="MY11" i="3"/>
  <c r="BG12" i="3"/>
  <c r="DN12" i="3"/>
  <c r="FJ12" i="3"/>
  <c r="HF12" i="3"/>
  <c r="JB12" i="3"/>
  <c r="KX12" i="3"/>
  <c r="MT12" i="3"/>
  <c r="AL13" i="3"/>
  <c r="CH13" i="3"/>
  <c r="ED13" i="3"/>
  <c r="FZ13" i="3"/>
  <c r="HV13" i="3"/>
  <c r="JR13" i="3"/>
  <c r="LN13" i="3"/>
  <c r="F14" i="3"/>
  <c r="BB14" i="3"/>
  <c r="CX14" i="3"/>
  <c r="ET14" i="3"/>
  <c r="GP14" i="3"/>
  <c r="IL14" i="3"/>
  <c r="KH14" i="3"/>
  <c r="MD14" i="3"/>
  <c r="V15" i="3"/>
  <c r="BR15" i="3"/>
  <c r="DN15" i="3"/>
  <c r="FJ15" i="3"/>
  <c r="HF15" i="3"/>
  <c r="JB15" i="3"/>
  <c r="KX15" i="3"/>
  <c r="MT15" i="3"/>
  <c r="AL16" i="3"/>
  <c r="CH16" i="3"/>
  <c r="IG8" i="3"/>
  <c r="IR9" i="3"/>
  <c r="EJ10" i="3"/>
  <c r="AB11" i="3"/>
  <c r="JJ11" i="3"/>
  <c r="AD12" i="3"/>
  <c r="EN12" i="3"/>
  <c r="IF12" i="3"/>
  <c r="LX12" i="3"/>
  <c r="BE13" i="3"/>
  <c r="DQ13" i="3"/>
  <c r="GC13" i="3"/>
  <c r="IO13" i="3"/>
  <c r="LA13" i="3"/>
  <c r="I14" i="3"/>
  <c r="BU14" i="3"/>
  <c r="EG14" i="3"/>
  <c r="GS14" i="3"/>
  <c r="JE14" i="3"/>
  <c r="LQ14" i="3"/>
  <c r="Y15" i="3"/>
  <c r="CK15" i="3"/>
  <c r="EW15" i="3"/>
  <c r="HI15" i="3"/>
  <c r="JU15" i="3"/>
  <c r="MG15" i="3"/>
  <c r="AO16" i="3"/>
  <c r="CY16" i="3"/>
  <c r="BU7" i="3"/>
  <c r="ET9" i="3"/>
  <c r="AM10" i="3"/>
  <c r="KI10" i="3"/>
  <c r="GA11" i="3"/>
  <c r="MJ11" i="3"/>
  <c r="DC12" i="3"/>
  <c r="GU12" i="3"/>
  <c r="KM12" i="3"/>
  <c r="AA13" i="3"/>
  <c r="CR13" i="3"/>
  <c r="FD13" i="3"/>
  <c r="HP13" i="3"/>
  <c r="KB13" i="3"/>
  <c r="MN13" i="3"/>
  <c r="AV14" i="3"/>
  <c r="DH14" i="3"/>
  <c r="FT14" i="3"/>
  <c r="IF14" i="3"/>
  <c r="KR14" i="3"/>
  <c r="ND14" i="3"/>
  <c r="BL15" i="3"/>
  <c r="DX15" i="3"/>
  <c r="GJ15" i="3"/>
  <c r="IV15" i="3"/>
  <c r="LH15" i="3"/>
  <c r="P16" i="3"/>
  <c r="CB16" i="3"/>
  <c r="EB16" i="3"/>
  <c r="FX16" i="3"/>
  <c r="HT16" i="3"/>
  <c r="JP16" i="3"/>
  <c r="LL16" i="3"/>
  <c r="D17" i="3"/>
  <c r="AZ17" i="3"/>
  <c r="CV17" i="3"/>
  <c r="ER17" i="3"/>
  <c r="GN17" i="3"/>
  <c r="IJ17" i="3"/>
  <c r="KF17" i="3"/>
  <c r="MB17" i="3"/>
  <c r="T18" i="3"/>
  <c r="LN4" i="3"/>
  <c r="DL8" i="3"/>
  <c r="U8" i="3"/>
  <c r="JE7" i="3"/>
  <c r="HH5" i="3"/>
  <c r="KV8" i="3"/>
  <c r="GJ8" i="3"/>
  <c r="AS10" i="3"/>
  <c r="IS11" i="3"/>
  <c r="JO9" i="3"/>
  <c r="MQ10" i="3"/>
  <c r="GX7" i="3"/>
  <c r="KL9" i="3"/>
  <c r="LB10" i="3"/>
  <c r="LR11" i="3"/>
  <c r="IC12" i="3"/>
  <c r="M13" i="3"/>
  <c r="MQ7" i="3"/>
  <c r="AB9" i="3"/>
  <c r="GP9" i="3"/>
  <c r="LN9" i="3"/>
  <c r="CH10" i="3"/>
  <c r="HF10" i="3"/>
  <c r="LH10" i="3"/>
  <c r="AL11" i="3"/>
  <c r="DH11" i="3"/>
  <c r="FT11" i="3"/>
  <c r="IF11" i="3"/>
  <c r="KR11" i="3"/>
  <c r="ND11" i="3"/>
  <c r="BL12" i="3"/>
  <c r="DR12" i="3"/>
  <c r="FN12" i="3"/>
  <c r="HJ12" i="3"/>
  <c r="JF12" i="3"/>
  <c r="LB12" i="3"/>
  <c r="MX12" i="3"/>
  <c r="AP13" i="3"/>
  <c r="CL13" i="3"/>
  <c r="EH13" i="3"/>
  <c r="GD13" i="3"/>
  <c r="HZ13" i="3"/>
  <c r="JV13" i="3"/>
  <c r="LR13" i="3"/>
  <c r="J14" i="3"/>
  <c r="BF14" i="3"/>
  <c r="DB14" i="3"/>
  <c r="EX14" i="3"/>
  <c r="GT14" i="3"/>
  <c r="IP14" i="3"/>
  <c r="KL14" i="3"/>
  <c r="MH14" i="3"/>
  <c r="Z15" i="3"/>
  <c r="BV15" i="3"/>
  <c r="DR15" i="3"/>
  <c r="FN15" i="3"/>
  <c r="HJ15" i="3"/>
  <c r="JF15" i="3"/>
  <c r="LB15" i="3"/>
  <c r="MX15" i="3"/>
  <c r="AP16" i="3"/>
  <c r="CL16" i="3"/>
  <c r="KT8" i="3"/>
  <c r="JN9" i="3"/>
  <c r="FF10" i="3"/>
  <c r="AX11" i="3"/>
  <c r="JT11" i="3"/>
  <c r="AN12" i="3"/>
  <c r="EV12" i="3"/>
  <c r="IN12" i="3"/>
  <c r="MF12" i="3"/>
  <c r="BK13" i="3"/>
  <c r="DW13" i="3"/>
  <c r="GI13" i="3"/>
  <c r="IU13" i="3"/>
  <c r="LG13" i="3"/>
  <c r="O14" i="3"/>
  <c r="CA14" i="3"/>
  <c r="EM14" i="3"/>
  <c r="GY14" i="3"/>
  <c r="JK14" i="3"/>
  <c r="LW14" i="3"/>
  <c r="AE15" i="3"/>
  <c r="CQ15" i="3"/>
  <c r="FC15" i="3"/>
  <c r="HO15" i="3"/>
  <c r="KA15" i="3"/>
  <c r="MM15" i="3"/>
  <c r="AU16" i="3"/>
  <c r="DC16" i="3"/>
  <c r="HM7" i="3"/>
  <c r="FP9" i="3"/>
  <c r="BH10" i="3"/>
  <c r="LD10" i="3"/>
  <c r="GV11" i="3"/>
  <c r="MU11" i="3"/>
  <c r="DK12" i="3"/>
  <c r="HC12" i="3"/>
  <c r="KU12" i="3"/>
  <c r="AI13" i="3"/>
  <c r="CW13" i="3"/>
  <c r="FI13" i="3"/>
  <c r="HU13" i="3"/>
  <c r="KG13" i="3"/>
  <c r="MS13" i="3"/>
  <c r="BA14" i="3"/>
  <c r="DM14" i="3"/>
  <c r="FY14" i="3"/>
  <c r="IK14" i="3"/>
  <c r="KW14" i="3"/>
  <c r="E15" i="3"/>
  <c r="BQ15" i="3"/>
  <c r="EC15" i="3"/>
  <c r="GO15" i="3"/>
  <c r="JA15" i="3"/>
  <c r="LM15" i="3"/>
  <c r="U16" i="3"/>
  <c r="CG16" i="3"/>
  <c r="EF16" i="3"/>
  <c r="GB16" i="3"/>
  <c r="HX16" i="3"/>
  <c r="JT16" i="3"/>
  <c r="LP16" i="3"/>
  <c r="H17" i="3"/>
  <c r="BD17" i="3"/>
  <c r="CZ17" i="3"/>
  <c r="EV17" i="3"/>
  <c r="GR17" i="3"/>
  <c r="IN17" i="3"/>
  <c r="KJ17" i="3"/>
  <c r="MF17" i="3"/>
  <c r="X18" i="3"/>
  <c r="IL5" i="3"/>
  <c r="CE5" i="3"/>
  <c r="CG8" i="3"/>
  <c r="ML7" i="3"/>
  <c r="S6" i="3"/>
  <c r="ND3" i="3"/>
  <c r="IS8" i="3"/>
  <c r="CO10" i="3"/>
  <c r="KO11" i="3"/>
  <c r="MA9" i="3"/>
  <c r="AT11" i="3"/>
  <c r="EO8" i="3"/>
  <c r="MR9" i="3"/>
  <c r="D11" i="3"/>
  <c r="T12" i="3"/>
  <c r="JI12" i="3"/>
  <c r="DO3" i="3"/>
  <c r="Q8" i="3"/>
  <c r="AJ9" i="3"/>
  <c r="GU9" i="3"/>
  <c r="LS9" i="3"/>
  <c r="CM10" i="3"/>
  <c r="HK10" i="3"/>
  <c r="LS10" i="3"/>
  <c r="AQ11" i="3"/>
  <c r="DN11" i="3"/>
  <c r="FZ11" i="3"/>
  <c r="IL11" i="3"/>
  <c r="KX11" i="3"/>
  <c r="F12" i="3"/>
  <c r="BR12" i="3"/>
  <c r="DV12" i="3"/>
  <c r="FR12" i="3"/>
  <c r="HN12" i="3"/>
  <c r="JJ12" i="3"/>
  <c r="LF12" i="3"/>
  <c r="NB12" i="3"/>
  <c r="AT13" i="3"/>
  <c r="CP13" i="3"/>
  <c r="EL13" i="3"/>
  <c r="GH13" i="3"/>
  <c r="ID13" i="3"/>
  <c r="JZ13" i="3"/>
  <c r="LV13" i="3"/>
  <c r="N14" i="3"/>
  <c r="BJ14" i="3"/>
  <c r="DF14" i="3"/>
  <c r="FB14" i="3"/>
  <c r="GX14" i="3"/>
  <c r="IT14" i="3"/>
  <c r="KP14" i="3"/>
  <c r="ML14" i="3"/>
  <c r="AD15" i="3"/>
  <c r="BZ15" i="3"/>
  <c r="DV15" i="3"/>
  <c r="FR15" i="3"/>
  <c r="HN15" i="3"/>
  <c r="JJ15" i="3"/>
  <c r="LF15" i="3"/>
  <c r="NB15" i="3"/>
  <c r="AT16" i="3"/>
  <c r="CP16" i="3"/>
  <c r="ML8" i="3"/>
  <c r="KI9" i="3"/>
  <c r="GA10" i="3"/>
  <c r="BS11" i="3"/>
  <c r="KE11" i="3"/>
  <c r="AY12" i="3"/>
  <c r="FD12" i="3"/>
  <c r="IV12" i="3"/>
  <c r="MN12" i="3"/>
  <c r="BP13" i="3"/>
  <c r="EB13" i="3"/>
  <c r="GN13" i="3"/>
  <c r="IZ13" i="3"/>
  <c r="LL13" i="3"/>
  <c r="T14" i="3"/>
  <c r="CF14" i="3"/>
  <c r="ER14" i="3"/>
  <c r="HD14" i="3"/>
  <c r="JP14" i="3"/>
  <c r="MB14" i="3"/>
  <c r="AJ15" i="3"/>
  <c r="CV15" i="3"/>
  <c r="FH15" i="3"/>
  <c r="HT15" i="3"/>
  <c r="KF15" i="3"/>
  <c r="MR15" i="3"/>
  <c r="AZ16" i="3"/>
  <c r="DG16" i="3"/>
  <c r="LV7" i="3"/>
  <c r="GL9" i="3"/>
  <c r="CD10" i="3"/>
  <c r="LZ10" i="3"/>
  <c r="HR11" i="3"/>
  <c r="B12" i="3"/>
  <c r="DS12" i="3"/>
  <c r="HK12" i="3"/>
  <c r="LC12" i="3"/>
  <c r="AQ13" i="3"/>
  <c r="DC13" i="3"/>
  <c r="FO13" i="3"/>
  <c r="IA13" i="3"/>
  <c r="KM13" i="3"/>
  <c r="MY13" i="3"/>
  <c r="BG14" i="3"/>
  <c r="DS14" i="3"/>
  <c r="GE14" i="3"/>
  <c r="IQ14" i="3"/>
  <c r="LC14" i="3"/>
  <c r="K15" i="3"/>
  <c r="BW15" i="3"/>
  <c r="EI15" i="3"/>
  <c r="GU15" i="3"/>
  <c r="JG15" i="3"/>
  <c r="LS15" i="3"/>
  <c r="AA16" i="3"/>
  <c r="CM16" i="3"/>
  <c r="EJ16" i="3"/>
  <c r="GF16" i="3"/>
  <c r="IB16" i="3"/>
  <c r="JX16" i="3"/>
  <c r="LT16" i="3"/>
  <c r="L17" i="3"/>
  <c r="BH17" i="3"/>
  <c r="DD17" i="3"/>
  <c r="EZ17" i="3"/>
  <c r="GV17" i="3"/>
  <c r="IR17" i="3"/>
  <c r="KN17" i="3"/>
  <c r="MJ17" i="3"/>
  <c r="AB18" i="3"/>
  <c r="MX2" i="3"/>
  <c r="GQ6" i="3"/>
  <c r="EM8" i="3"/>
  <c r="BO8" i="3"/>
  <c r="EQ6" i="3"/>
  <c r="EN5" i="3"/>
  <c r="KO8" i="3"/>
  <c r="EK10" i="3"/>
  <c r="MK11" i="3"/>
  <c r="AI10" i="3"/>
  <c r="AY11" i="3"/>
  <c r="FJ8" i="3"/>
  <c r="MX9" i="3"/>
  <c r="J11" i="3"/>
  <c r="Z12" i="3"/>
  <c r="JQ12" i="3"/>
  <c r="FY4" i="3"/>
  <c r="AS8" i="3"/>
  <c r="AR9" i="3"/>
  <c r="GZ9" i="3"/>
  <c r="LX9" i="3"/>
  <c r="CR10" i="3"/>
  <c r="HP10" i="3"/>
  <c r="LX10" i="3"/>
  <c r="AV11" i="3"/>
  <c r="DS11" i="3"/>
  <c r="GE11" i="3"/>
  <c r="IQ11" i="3"/>
  <c r="LC11" i="3"/>
  <c r="K12" i="3"/>
  <c r="BW12" i="3"/>
  <c r="DZ12" i="3"/>
  <c r="FV12" i="3"/>
  <c r="HR12" i="3"/>
  <c r="JN12" i="3"/>
  <c r="LJ12" i="3"/>
  <c r="B13" i="3"/>
  <c r="AX13" i="3"/>
  <c r="CT13" i="3"/>
  <c r="EP13" i="3"/>
  <c r="GL13" i="3"/>
  <c r="IH13" i="3"/>
  <c r="KD13" i="3"/>
  <c r="LZ13" i="3"/>
  <c r="R14" i="3"/>
  <c r="BN14" i="3"/>
  <c r="DJ14" i="3"/>
  <c r="FF14" i="3"/>
  <c r="HB14" i="3"/>
  <c r="IX14" i="3"/>
  <c r="KT14" i="3"/>
  <c r="MP14" i="3"/>
  <c r="AH15" i="3"/>
  <c r="CD15" i="3"/>
  <c r="DZ15" i="3"/>
  <c r="FV15" i="3"/>
  <c r="HR15" i="3"/>
  <c r="JN15" i="3"/>
  <c r="LJ15" i="3"/>
  <c r="B16" i="3"/>
  <c r="AX16" i="3"/>
  <c r="HZ3" i="3"/>
  <c r="N9" i="3"/>
  <c r="LD9" i="3"/>
  <c r="GV10" i="3"/>
  <c r="CN11" i="3"/>
  <c r="KP11" i="3"/>
  <c r="BJ12" i="3"/>
  <c r="FL12" i="3"/>
  <c r="JD12" i="3"/>
  <c r="MV12" i="3"/>
  <c r="BU13" i="3"/>
  <c r="EG13" i="3"/>
  <c r="GS13" i="3"/>
  <c r="JE13" i="3"/>
  <c r="LQ13" i="3"/>
  <c r="Y14" i="3"/>
  <c r="CK14" i="3"/>
  <c r="EW14" i="3"/>
  <c r="HI14" i="3"/>
  <c r="JU14" i="3"/>
  <c r="MG14" i="3"/>
  <c r="AO15" i="3"/>
  <c r="DA15" i="3"/>
  <c r="FM15" i="3"/>
  <c r="HY15" i="3"/>
  <c r="KK15" i="3"/>
  <c r="MW15" i="3"/>
  <c r="BE16" i="3"/>
  <c r="DK16" i="3"/>
  <c r="CC8" i="3"/>
  <c r="HG9" i="3"/>
  <c r="CY10" i="3"/>
  <c r="MU10" i="3"/>
  <c r="IM11" i="3"/>
  <c r="L12" i="3"/>
  <c r="EA12" i="3"/>
  <c r="HS12" i="3"/>
  <c r="LK12" i="3"/>
  <c r="AV13" i="3"/>
  <c r="DH13" i="3"/>
  <c r="FT13" i="3"/>
  <c r="IF13" i="3"/>
  <c r="KR13" i="3"/>
  <c r="ND13" i="3"/>
  <c r="BL14" i="3"/>
  <c r="DX14" i="3"/>
  <c r="GJ14" i="3"/>
  <c r="IV14" i="3"/>
  <c r="LH14" i="3"/>
  <c r="P15" i="3"/>
  <c r="CB15" i="3"/>
  <c r="EN15" i="3"/>
  <c r="GZ15" i="3"/>
  <c r="JL15" i="3"/>
  <c r="LX15" i="3"/>
  <c r="AF16" i="3"/>
  <c r="CR16" i="3"/>
  <c r="EN16" i="3"/>
  <c r="GJ16" i="3"/>
  <c r="IF16" i="3"/>
  <c r="KB16" i="3"/>
  <c r="LX16" i="3"/>
  <c r="P17" i="3"/>
  <c r="BL17" i="3"/>
  <c r="DH17" i="3"/>
  <c r="FD17" i="3"/>
  <c r="GZ17" i="3"/>
  <c r="IV17" i="3"/>
  <c r="KR17" i="3"/>
  <c r="MN17" i="3"/>
  <c r="AF18" i="3"/>
  <c r="FM1" i="3"/>
  <c r="JC2" i="3"/>
  <c r="MU2" i="3"/>
  <c r="GI8" i="3"/>
  <c r="EP8" i="3"/>
  <c r="JO6" i="3"/>
  <c r="A6" i="3"/>
  <c r="MK8" i="3"/>
  <c r="GG10" i="3"/>
  <c r="AC12" i="3"/>
  <c r="CP10" i="3"/>
  <c r="DF11" i="3"/>
  <c r="MH8" i="3"/>
  <c r="AZ10" i="3"/>
  <c r="BP11" i="3"/>
  <c r="CF12" i="3"/>
  <c r="JU12" i="3"/>
  <c r="MN4" i="3"/>
  <c r="BU8" i="3"/>
  <c r="AZ9" i="3"/>
  <c r="HF9" i="3"/>
  <c r="MD9" i="3"/>
  <c r="CX10" i="3"/>
  <c r="HV10" i="3"/>
  <c r="MD10" i="3"/>
  <c r="BB11" i="3"/>
  <c r="DX11" i="3"/>
  <c r="GJ11" i="3"/>
  <c r="IV11" i="3"/>
  <c r="LH11" i="3"/>
  <c r="P12" i="3"/>
  <c r="CB12" i="3"/>
  <c r="ED12" i="3"/>
  <c r="FZ12" i="3"/>
  <c r="HV12" i="3"/>
  <c r="JR12" i="3"/>
  <c r="LN12" i="3"/>
  <c r="F13" i="3"/>
  <c r="BB13" i="3"/>
  <c r="CX13" i="3"/>
  <c r="ET13" i="3"/>
  <c r="GP13" i="3"/>
  <c r="IL13" i="3"/>
  <c r="KH13" i="3"/>
  <c r="MD13" i="3"/>
  <c r="V14" i="3"/>
  <c r="BR14" i="3"/>
  <c r="DN14" i="3"/>
  <c r="FJ14" i="3"/>
  <c r="HF14" i="3"/>
  <c r="JB14" i="3"/>
  <c r="KX14" i="3"/>
  <c r="MT14" i="3"/>
  <c r="AL15" i="3"/>
  <c r="CH15" i="3"/>
  <c r="ED15" i="3"/>
  <c r="FZ15" i="3"/>
  <c r="HV15" i="3"/>
  <c r="JR15" i="3"/>
  <c r="LN15" i="3"/>
  <c r="F16" i="3"/>
  <c r="BB16" i="3"/>
  <c r="GO5" i="3"/>
  <c r="AT9" i="3"/>
  <c r="LZ9" i="3"/>
  <c r="HR10" i="3"/>
  <c r="DJ11" i="3"/>
  <c r="KZ11" i="3"/>
  <c r="BT12" i="3"/>
  <c r="FT12" i="3"/>
  <c r="JL12" i="3"/>
  <c r="ND12" i="3"/>
  <c r="CA13" i="3"/>
  <c r="EM13" i="3"/>
  <c r="GY13" i="3"/>
  <c r="JK13" i="3"/>
  <c r="LW13" i="3"/>
  <c r="AE14" i="3"/>
  <c r="CQ14" i="3"/>
  <c r="FC14" i="3"/>
  <c r="HO14" i="3"/>
  <c r="KA14" i="3"/>
  <c r="MM14" i="3"/>
  <c r="AU15" i="3"/>
  <c r="DG15" i="3"/>
  <c r="FS15" i="3"/>
  <c r="IE15" i="3"/>
  <c r="KQ15" i="3"/>
  <c r="NC15" i="3"/>
  <c r="BK16" i="3"/>
  <c r="DO16" i="3"/>
  <c r="FU8" i="3"/>
  <c r="IB9" i="3"/>
  <c r="DT10" i="3"/>
  <c r="L11" i="3"/>
  <c r="JC11" i="3"/>
  <c r="DT1" i="3"/>
  <c r="LW2" i="3"/>
  <c r="FD5" i="3"/>
  <c r="IE8" i="3"/>
  <c r="HB8" i="3"/>
  <c r="AI7" i="3"/>
  <c r="DY6" i="3"/>
  <c r="AC9" i="3"/>
  <c r="IC10" i="3"/>
  <c r="BY12" i="3"/>
  <c r="CU10" i="3"/>
  <c r="DK11" i="3"/>
  <c r="MP8" i="3"/>
  <c r="BF10" i="3"/>
  <c r="BV11" i="3"/>
  <c r="CL12" i="3"/>
  <c r="JY12" i="3"/>
  <c r="EY5" i="3"/>
  <c r="GK8" i="3"/>
  <c r="CN9" i="3"/>
  <c r="IF9" i="3"/>
  <c r="ND9" i="3"/>
  <c r="DX10" i="3"/>
  <c r="IV10" i="3"/>
  <c r="MI10" i="3"/>
  <c r="BR11" i="3"/>
  <c r="ED11" i="3"/>
  <c r="GP11" i="3"/>
  <c r="JB11" i="3"/>
  <c r="LN11" i="3"/>
  <c r="V12" i="3"/>
  <c r="CH12" i="3"/>
  <c r="EH12" i="3"/>
  <c r="GD12" i="3"/>
  <c r="HZ12" i="3"/>
  <c r="JV12" i="3"/>
  <c r="LR12" i="3"/>
  <c r="J13" i="3"/>
  <c r="BF13" i="3"/>
  <c r="DB13" i="3"/>
  <c r="EX13" i="3"/>
  <c r="GT13" i="3"/>
  <c r="IP13" i="3"/>
  <c r="KL13" i="3"/>
  <c r="MH13" i="3"/>
  <c r="Z14" i="3"/>
  <c r="BV14" i="3"/>
  <c r="DR14" i="3"/>
  <c r="FN14" i="3"/>
  <c r="HJ14" i="3"/>
  <c r="JF14" i="3"/>
  <c r="LB14" i="3"/>
  <c r="MX14" i="3"/>
  <c r="AP15" i="3"/>
  <c r="CL15" i="3"/>
  <c r="EH15" i="3"/>
  <c r="GD15" i="3"/>
  <c r="HZ15" i="3"/>
  <c r="JV15" i="3"/>
  <c r="LR15" i="3"/>
  <c r="J16" i="3"/>
  <c r="BF16" i="3"/>
  <c r="BE6" i="3"/>
  <c r="BZ9" i="3"/>
  <c r="MU9" i="3"/>
  <c r="IM10" i="3"/>
  <c r="EE11" i="3"/>
  <c r="LK11" i="3"/>
  <c r="CE12" i="3"/>
  <c r="GB12" i="3"/>
  <c r="JT12" i="3"/>
  <c r="H13" i="3"/>
  <c r="CF13" i="3"/>
  <c r="ER13" i="3"/>
  <c r="HD13" i="3"/>
  <c r="JP13" i="3"/>
  <c r="MB13" i="3"/>
  <c r="AJ14" i="3"/>
  <c r="CV14" i="3"/>
  <c r="FH14" i="3"/>
  <c r="HT14" i="3"/>
  <c r="KF14" i="3"/>
  <c r="MR14" i="3"/>
  <c r="AZ15" i="3"/>
  <c r="DL15" i="3"/>
  <c r="FX15" i="3"/>
  <c r="IJ15" i="3"/>
  <c r="KV15" i="3"/>
  <c r="D16" i="3"/>
  <c r="BP16" i="3"/>
  <c r="DS16" i="3"/>
  <c r="IX8" i="3"/>
  <c r="IX9" i="3"/>
  <c r="EP10" i="3"/>
  <c r="AH11" i="3"/>
  <c r="JN11" i="3"/>
  <c r="AH12" i="3"/>
  <c r="EQ12" i="3"/>
  <c r="II12" i="3"/>
  <c r="MA12" i="3"/>
  <c r="BG13" i="3"/>
  <c r="DS13" i="3"/>
  <c r="GE13" i="3"/>
  <c r="IQ13" i="3"/>
  <c r="LC13" i="3"/>
  <c r="K14" i="3"/>
  <c r="BW14" i="3"/>
  <c r="EI14" i="3"/>
  <c r="GU14" i="3"/>
  <c r="JG14" i="3"/>
  <c r="LS14" i="3"/>
  <c r="AA15" i="3"/>
  <c r="CM15" i="3"/>
  <c r="EY15" i="3"/>
  <c r="HK15" i="3"/>
  <c r="JW15" i="3"/>
  <c r="MI15" i="3"/>
  <c r="AQ16" i="3"/>
  <c r="CZ16" i="3"/>
  <c r="EV16" i="3"/>
  <c r="GR16" i="3"/>
  <c r="IN16" i="3"/>
  <c r="KJ16" i="3"/>
  <c r="MF16" i="3"/>
  <c r="X17" i="3"/>
  <c r="BT17" i="3"/>
  <c r="DP17" i="3"/>
  <c r="FL17" i="3"/>
  <c r="HH17" i="3"/>
  <c r="JD17" i="3"/>
  <c r="KZ17" i="3"/>
  <c r="MV17" i="3"/>
  <c r="AN18" i="3"/>
  <c r="BF2" i="3"/>
  <c r="FK4" i="3"/>
  <c r="EF4" i="3"/>
  <c r="ES4" i="3"/>
  <c r="JG8" i="3"/>
  <c r="FG7" i="3"/>
  <c r="IW6" i="3"/>
  <c r="BY9" i="3"/>
  <c r="JY10" i="3"/>
  <c r="HW5" i="3"/>
  <c r="FB10" i="3"/>
  <c r="FR11" i="3"/>
  <c r="BV9" i="3"/>
  <c r="DL10" i="3"/>
  <c r="EB11" i="3"/>
  <c r="EG12" i="3"/>
  <c r="LE12" i="3"/>
  <c r="JC5" i="3"/>
  <c r="IB8" i="3"/>
  <c r="DD9" i="3"/>
  <c r="IQ9" i="3"/>
  <c r="K10" i="3"/>
  <c r="EI10" i="3"/>
  <c r="JG10" i="3"/>
  <c r="MN10" i="3"/>
  <c r="BW11" i="3"/>
  <c r="EI11" i="3"/>
  <c r="GU11" i="3"/>
  <c r="JG11" i="3"/>
  <c r="LS11" i="3"/>
  <c r="AA12" i="3"/>
  <c r="CM12" i="3"/>
  <c r="EL12" i="3"/>
  <c r="GH12" i="3"/>
  <c r="ID12" i="3"/>
  <c r="JZ12" i="3"/>
  <c r="LV12" i="3"/>
  <c r="N13" i="3"/>
  <c r="BJ13" i="3"/>
  <c r="DF13" i="3"/>
  <c r="FB13" i="3"/>
  <c r="GX13" i="3"/>
  <c r="IT13" i="3"/>
  <c r="KP13" i="3"/>
  <c r="ML13" i="3"/>
  <c r="AD14" i="3"/>
  <c r="BZ14" i="3"/>
  <c r="DV14" i="3"/>
  <c r="FR14" i="3"/>
  <c r="HN14" i="3"/>
  <c r="JJ14" i="3"/>
  <c r="LF14" i="3"/>
  <c r="NB14" i="3"/>
  <c r="AT15" i="3"/>
  <c r="CP15" i="3"/>
  <c r="EL15" i="3"/>
  <c r="GH15" i="3"/>
  <c r="ID15" i="3"/>
  <c r="JZ15" i="3"/>
  <c r="LV15" i="3"/>
  <c r="N16" i="3"/>
  <c r="BJ16" i="3"/>
  <c r="HS6" i="3"/>
  <c r="DF9" i="3"/>
  <c r="L10" i="3"/>
  <c r="JH10" i="3"/>
  <c r="EZ11" i="3"/>
  <c r="LV11" i="3"/>
  <c r="CP12" i="3"/>
  <c r="GJ12" i="3"/>
  <c r="KB12" i="3"/>
  <c r="P13" i="3"/>
  <c r="CK13" i="3"/>
  <c r="EW13" i="3"/>
  <c r="HI13" i="3"/>
  <c r="JU13" i="3"/>
  <c r="MG13" i="3"/>
  <c r="AO14" i="3"/>
  <c r="DA14" i="3"/>
  <c r="FM14" i="3"/>
  <c r="HY14" i="3"/>
  <c r="KK14" i="3"/>
  <c r="MW14" i="3"/>
  <c r="BE15" i="3"/>
  <c r="DQ15" i="3"/>
  <c r="GC15" i="3"/>
  <c r="IO15" i="3"/>
  <c r="LA15" i="3"/>
  <c r="I16" i="3"/>
  <c r="BU16" i="3"/>
  <c r="DW16" i="3"/>
  <c r="LJ8" i="3"/>
  <c r="JS9" i="3"/>
  <c r="FK10" i="3"/>
  <c r="BC11" i="3"/>
  <c r="JX11" i="3"/>
  <c r="AR12" i="3"/>
  <c r="EY12" i="3"/>
  <c r="IQ12" i="3"/>
  <c r="MI12" i="3"/>
  <c r="BL13" i="3"/>
  <c r="DX13" i="3"/>
  <c r="GJ13" i="3"/>
  <c r="IV13" i="3"/>
  <c r="LH13" i="3"/>
  <c r="P14" i="3"/>
  <c r="CB14" i="3"/>
  <c r="EN14" i="3"/>
  <c r="GZ14" i="3"/>
  <c r="JL14" i="3"/>
  <c r="LX14" i="3"/>
  <c r="AF15" i="3"/>
  <c r="CR15" i="3"/>
  <c r="FD15" i="3"/>
  <c r="HP15" i="3"/>
  <c r="KB15" i="3"/>
  <c r="MN15" i="3"/>
  <c r="AV16" i="3"/>
  <c r="DD16" i="3"/>
  <c r="EZ16" i="3"/>
  <c r="GV16" i="3"/>
  <c r="IR16" i="3"/>
  <c r="KN16" i="3"/>
  <c r="MJ16" i="3"/>
  <c r="AB17" i="3"/>
  <c r="BX17" i="3"/>
  <c r="DT17" i="3"/>
  <c r="FP17" i="3"/>
  <c r="HL17" i="3"/>
  <c r="JH17" i="3"/>
  <c r="LD17" i="3"/>
  <c r="MZ17" i="3"/>
  <c r="DD2" i="3"/>
  <c r="GA5" i="3"/>
  <c r="IW5" i="3"/>
  <c r="IR5" i="3"/>
  <c r="LC8" i="3"/>
  <c r="IS7" i="3"/>
  <c r="Q7" i="3"/>
  <c r="DU9" i="3"/>
  <c r="LU10" i="3"/>
  <c r="AO7" i="3"/>
  <c r="FG10" i="3"/>
  <c r="FW11" i="3"/>
  <c r="CD9" i="3"/>
  <c r="DR10" i="3"/>
  <c r="EH11" i="3"/>
  <c r="EK12" i="3"/>
  <c r="LM12" i="3"/>
  <c r="HI6" i="3"/>
  <c r="JJ8" i="3"/>
  <c r="DT9" i="3"/>
  <c r="JB9" i="3"/>
  <c r="V10" i="3"/>
  <c r="ET10" i="3"/>
  <c r="JL10" i="3"/>
  <c r="MT10" i="3"/>
  <c r="CB11" i="3"/>
  <c r="EN11" i="3"/>
  <c r="GZ11" i="3"/>
  <c r="JL11" i="3"/>
  <c r="LX11" i="3"/>
  <c r="AF12" i="3"/>
  <c r="CR12" i="3"/>
  <c r="EP12" i="3"/>
  <c r="GL12" i="3"/>
  <c r="IH12" i="3"/>
  <c r="KD12" i="3"/>
  <c r="LZ12" i="3"/>
  <c r="R13" i="3"/>
  <c r="BN13" i="3"/>
  <c r="DJ13" i="3"/>
  <c r="FF13" i="3"/>
  <c r="HB13" i="3"/>
  <c r="IX13" i="3"/>
  <c r="KT13" i="3"/>
  <c r="MP13" i="3"/>
  <c r="AH14" i="3"/>
  <c r="CD14" i="3"/>
  <c r="DZ14" i="3"/>
  <c r="FV14" i="3"/>
  <c r="HR14" i="3"/>
  <c r="JN14" i="3"/>
  <c r="LJ14" i="3"/>
  <c r="B15" i="3"/>
  <c r="AX15" i="3"/>
  <c r="CT15" i="3"/>
  <c r="EP15" i="3"/>
  <c r="GL15" i="3"/>
  <c r="IH15" i="3"/>
  <c r="KD15" i="3"/>
  <c r="LZ15" i="3"/>
  <c r="R16" i="3"/>
  <c r="BN16" i="3"/>
  <c r="AD7" i="3"/>
  <c r="EL9" i="3"/>
  <c r="AH10" i="3"/>
  <c r="KD10" i="3"/>
  <c r="FV11" i="3"/>
  <c r="MF11" i="3"/>
  <c r="CZ12" i="3"/>
  <c r="GR12" i="3"/>
  <c r="KJ12" i="3"/>
  <c r="X13" i="3"/>
  <c r="CQ13" i="3"/>
  <c r="FC13" i="3"/>
  <c r="HO13" i="3"/>
  <c r="KA13" i="3"/>
  <c r="MM13" i="3"/>
  <c r="AU14" i="3"/>
  <c r="DG14" i="3"/>
  <c r="FS14" i="3"/>
  <c r="IE14" i="3"/>
  <c r="KQ14" i="3"/>
  <c r="NC14" i="3"/>
  <c r="BK15" i="3"/>
  <c r="DW15" i="3"/>
  <c r="GI15" i="3"/>
  <c r="IU15" i="3"/>
  <c r="LG15" i="3"/>
  <c r="O16" i="3"/>
  <c r="CA16" i="3"/>
  <c r="EA16" i="3"/>
  <c r="MT8" i="3"/>
  <c r="KN9" i="3"/>
  <c r="GF10" i="3"/>
  <c r="BX11" i="3"/>
  <c r="KI11" i="3"/>
  <c r="BC12" i="3"/>
  <c r="FG12" i="3"/>
  <c r="IY12" i="3"/>
  <c r="MQ12" i="3"/>
  <c r="BQ13" i="3"/>
  <c r="EC13" i="3"/>
  <c r="GO13" i="3"/>
  <c r="JA13" i="3"/>
  <c r="LM13" i="3"/>
  <c r="U14" i="3"/>
  <c r="CG14" i="3"/>
  <c r="ES14" i="3"/>
  <c r="HE14" i="3"/>
  <c r="JQ14" i="3"/>
  <c r="MC14" i="3"/>
  <c r="AK15" i="3"/>
  <c r="CW15" i="3"/>
  <c r="FI15" i="3"/>
  <c r="HU15" i="3"/>
  <c r="KG15" i="3"/>
  <c r="MS15" i="3"/>
  <c r="BA16" i="3"/>
  <c r="DH16" i="3"/>
  <c r="FD16" i="3"/>
  <c r="GZ16" i="3"/>
  <c r="AN3" i="3"/>
  <c r="LL3" i="3"/>
  <c r="FN6" i="3"/>
  <c r="AL6" i="3"/>
  <c r="MY8" i="3"/>
  <c r="LZ7" i="3"/>
  <c r="EO7" i="3"/>
  <c r="FQ9" i="3"/>
  <c r="M11" i="3"/>
  <c r="BG8" i="3"/>
  <c r="HN10" i="3"/>
  <c r="ID11" i="3"/>
  <c r="FH9" i="3"/>
  <c r="FX10" i="3"/>
  <c r="GN11" i="3"/>
  <c r="GC12" i="3"/>
  <c r="LQ12" i="3"/>
  <c r="KP6" i="3"/>
  <c r="JZ8" i="3"/>
  <c r="EB9" i="3"/>
  <c r="JG9" i="3"/>
  <c r="AA10" i="3"/>
  <c r="EY10" i="3"/>
  <c r="JR10" i="3"/>
  <c r="K11" i="3"/>
  <c r="CH11" i="3"/>
  <c r="ET11" i="3"/>
  <c r="HF11" i="3"/>
  <c r="JR11" i="3"/>
  <c r="MD11" i="3"/>
  <c r="AL12" i="3"/>
  <c r="CX12" i="3"/>
  <c r="ET12" i="3"/>
  <c r="GP12" i="3"/>
  <c r="IL12" i="3"/>
  <c r="KH12" i="3"/>
  <c r="MD12" i="3"/>
  <c r="V13" i="3"/>
  <c r="BR13" i="3"/>
  <c r="DN13" i="3"/>
  <c r="FJ13" i="3"/>
  <c r="HF13" i="3"/>
  <c r="JB13" i="3"/>
  <c r="KX13" i="3"/>
  <c r="MT13" i="3"/>
  <c r="AL14" i="3"/>
  <c r="CH14" i="3"/>
  <c r="ED14" i="3"/>
  <c r="FZ14" i="3"/>
  <c r="HV14" i="3"/>
  <c r="JR14" i="3"/>
  <c r="LN14" i="3"/>
  <c r="F15" i="3"/>
  <c r="BB15" i="3"/>
  <c r="CX15" i="3"/>
  <c r="ET15" i="3"/>
  <c r="GP15" i="3"/>
  <c r="IL15" i="3"/>
  <c r="KH15" i="3"/>
  <c r="MD15" i="3"/>
  <c r="V16" i="3"/>
  <c r="BR16" i="3"/>
  <c r="GK7" i="3"/>
  <c r="FK9" i="3"/>
  <c r="BC10" i="3"/>
  <c r="KY10" i="3"/>
  <c r="MO1" i="3"/>
  <c r="MB4" i="3"/>
  <c r="J7" i="3"/>
  <c r="FJ6" i="3"/>
  <c r="AQ9" i="3"/>
  <c r="BC8" i="3"/>
  <c r="IG7" i="3"/>
  <c r="HM9" i="3"/>
  <c r="BI11" i="3"/>
  <c r="KX8" i="3"/>
  <c r="HS10" i="3"/>
  <c r="II11" i="3"/>
  <c r="FN9" i="3"/>
  <c r="GD10" i="3"/>
  <c r="GT11" i="3"/>
  <c r="GG12" i="3"/>
  <c r="LU12" i="3"/>
  <c r="MG6" i="3"/>
  <c r="KP8" i="3"/>
  <c r="EJ9" i="3"/>
  <c r="JL9" i="3"/>
  <c r="AF10" i="3"/>
  <c r="FD10" i="3"/>
  <c r="JW10" i="3"/>
  <c r="P11" i="3"/>
  <c r="CM11" i="3"/>
  <c r="EY11" i="3"/>
  <c r="HK11" i="3"/>
  <c r="JW11" i="3"/>
  <c r="MI11" i="3"/>
  <c r="AQ12" i="3"/>
  <c r="DB12" i="3"/>
  <c r="EX12" i="3"/>
  <c r="GT12" i="3"/>
  <c r="IP12" i="3"/>
  <c r="KL12" i="3"/>
  <c r="MH12" i="3"/>
  <c r="Z13" i="3"/>
  <c r="BV13" i="3"/>
  <c r="DR13" i="3"/>
  <c r="FN13" i="3"/>
  <c r="HJ13" i="3"/>
  <c r="JF13" i="3"/>
  <c r="LB13" i="3"/>
  <c r="MX13" i="3"/>
  <c r="AP14" i="3"/>
  <c r="CL14" i="3"/>
  <c r="EH14" i="3"/>
  <c r="GD14" i="3"/>
  <c r="HZ14" i="3"/>
  <c r="JV14" i="3"/>
  <c r="LR14" i="3"/>
  <c r="J15" i="3"/>
  <c r="BF15" i="3"/>
  <c r="DB15" i="3"/>
  <c r="EX15" i="3"/>
  <c r="GT15" i="3"/>
  <c r="IP15" i="3"/>
  <c r="KL15" i="3"/>
  <c r="MH15" i="3"/>
  <c r="Z16" i="3"/>
  <c r="BV16" i="3"/>
  <c r="KT7" i="3"/>
  <c r="GF9" i="3"/>
  <c r="BX10" i="3"/>
  <c r="LT10" i="3"/>
  <c r="HL11" i="3"/>
  <c r="NB11" i="3"/>
  <c r="DP12" i="3"/>
  <c r="HH12" i="3"/>
  <c r="KZ12" i="3"/>
  <c r="AN13" i="3"/>
  <c r="DA13" i="3"/>
  <c r="FM13" i="3"/>
  <c r="HY13" i="3"/>
  <c r="KK13" i="3"/>
  <c r="MW13" i="3"/>
  <c r="BE14" i="3"/>
  <c r="DQ14" i="3"/>
  <c r="GC14" i="3"/>
  <c r="IO14" i="3"/>
  <c r="LA14" i="3"/>
  <c r="I15" i="3"/>
  <c r="BU15" i="3"/>
  <c r="EG15" i="3"/>
  <c r="JI9" i="3"/>
  <c r="ER9" i="3"/>
  <c r="DF12" i="3"/>
  <c r="LF13" i="3"/>
  <c r="FB15" i="3"/>
  <c r="IH11" i="3"/>
  <c r="DG13" i="3"/>
  <c r="DW14" i="3"/>
  <c r="EM15" i="3"/>
  <c r="AE16" i="3"/>
  <c r="MZ9" i="3"/>
  <c r="BX12" i="3"/>
  <c r="C13" i="3"/>
  <c r="GZ13" i="3"/>
  <c r="AF14" i="3"/>
  <c r="HP14" i="3"/>
  <c r="AV15" i="3"/>
  <c r="IF15" i="3"/>
  <c r="BL16" i="3"/>
  <c r="HH16" i="3"/>
  <c r="MB16" i="3"/>
  <c r="CF17" i="3"/>
  <c r="GF17" i="3"/>
  <c r="LH17" i="3"/>
  <c r="AZ18" i="3"/>
  <c r="CV18" i="3"/>
  <c r="ER18" i="3"/>
  <c r="GN18" i="3"/>
  <c r="AD9" i="3"/>
  <c r="HG10" i="3"/>
  <c r="KU11" i="3"/>
  <c r="FP12" i="3"/>
  <c r="MZ12" i="3"/>
  <c r="EJ13" i="3"/>
  <c r="JH13" i="3"/>
  <c r="AB14" i="3"/>
  <c r="EZ14" i="3"/>
  <c r="JX14" i="3"/>
  <c r="AR15" i="3"/>
  <c r="FP15" i="3"/>
  <c r="KN15" i="3"/>
  <c r="BH16" i="3"/>
  <c r="EX16" i="3"/>
  <c r="HJ16" i="3"/>
  <c r="JV16" i="3"/>
  <c r="MH16" i="3"/>
  <c r="AP17" i="3"/>
  <c r="DB17" i="3"/>
  <c r="FN17" i="3"/>
  <c r="HZ17" i="3"/>
  <c r="KL17" i="3"/>
  <c r="MX17" i="3"/>
  <c r="BF18" i="3"/>
  <c r="DR18" i="3"/>
  <c r="GD18" i="3"/>
  <c r="IH18" i="3"/>
  <c r="KD18" i="3"/>
  <c r="LZ18" i="3"/>
  <c r="R19" i="3"/>
  <c r="BN19" i="3"/>
  <c r="DJ19" i="3"/>
  <c r="FF19" i="3"/>
  <c r="HB19" i="3"/>
  <c r="IX19" i="3"/>
  <c r="KT19" i="3"/>
  <c r="MP19" i="3"/>
  <c r="AH20" i="3"/>
  <c r="CD20" i="3"/>
  <c r="DZ20" i="3"/>
  <c r="FV20" i="3"/>
  <c r="HR20" i="3"/>
  <c r="JN20" i="3"/>
  <c r="LJ20" i="3"/>
  <c r="B21" i="3"/>
  <c r="AX21" i="3"/>
  <c r="CT21" i="3"/>
  <c r="EP21" i="3"/>
  <c r="GL21" i="3"/>
  <c r="IH21" i="3"/>
  <c r="KD21" i="3"/>
  <c r="LZ21" i="3"/>
  <c r="R22" i="3"/>
  <c r="BN22" i="3"/>
  <c r="DJ22" i="3"/>
  <c r="FF22" i="3"/>
  <c r="FF9" i="3"/>
  <c r="KT10" i="3"/>
  <c r="MP11" i="3"/>
  <c r="GY12" i="3"/>
  <c r="AE13" i="3"/>
  <c r="FG13" i="3"/>
  <c r="KE13" i="3"/>
  <c r="AY14" i="3"/>
  <c r="FW14" i="3"/>
  <c r="KU14" i="3"/>
  <c r="BO15" i="3"/>
  <c r="GM15" i="3"/>
  <c r="LK15" i="3"/>
  <c r="CE16" i="3"/>
  <c r="FJ16" i="3"/>
  <c r="HV16" i="3"/>
  <c r="KH16" i="3"/>
  <c r="MT16" i="3"/>
  <c r="BB17" i="3"/>
  <c r="DN17" i="3"/>
  <c r="FZ17" i="3"/>
  <c r="IL17" i="3"/>
  <c r="KX17" i="3"/>
  <c r="F18" i="3"/>
  <c r="BR18" i="3"/>
  <c r="ED18" i="3"/>
  <c r="GP18" i="3"/>
  <c r="IQ18" i="3"/>
  <c r="KM18" i="3"/>
  <c r="MI18" i="3"/>
  <c r="AA19" i="3"/>
  <c r="BW19" i="3"/>
  <c r="DS19" i="3"/>
  <c r="FO19" i="3"/>
  <c r="HK19" i="3"/>
  <c r="JG19" i="3"/>
  <c r="LC19" i="3"/>
  <c r="MY19" i="3"/>
  <c r="AQ20" i="3"/>
  <c r="CM20" i="3"/>
  <c r="EI20" i="3"/>
  <c r="GE20" i="3"/>
  <c r="IA20" i="3"/>
  <c r="JW20" i="3"/>
  <c r="LS20" i="3"/>
  <c r="K21" i="3"/>
  <c r="BG21" i="3"/>
  <c r="DC21" i="3"/>
  <c r="EY21" i="3"/>
  <c r="GU21" i="3"/>
  <c r="IQ21" i="3"/>
  <c r="KM21" i="3"/>
  <c r="MI21" i="3"/>
  <c r="AA22" i="3"/>
  <c r="BW22" i="3"/>
  <c r="DS22" i="3"/>
  <c r="FO22" i="3"/>
  <c r="LJ10" i="3"/>
  <c r="HD12" i="3"/>
  <c r="FK13" i="3"/>
  <c r="BC14" i="3"/>
  <c r="KY14" i="3"/>
  <c r="GQ15" i="3"/>
  <c r="CI16" i="3"/>
  <c r="HW16" i="3"/>
  <c r="MU16" i="3"/>
  <c r="DO17" i="3"/>
  <c r="IM17" i="3"/>
  <c r="G18" i="3"/>
  <c r="EE18" i="3"/>
  <c r="IR18" i="3"/>
  <c r="MJ18" i="3"/>
  <c r="BX19" i="3"/>
  <c r="FP19" i="3"/>
  <c r="JH19" i="3"/>
  <c r="MZ19" i="3"/>
  <c r="CN20" i="3"/>
  <c r="GF20" i="3"/>
  <c r="JX20" i="3"/>
  <c r="L21" i="3"/>
  <c r="DD21" i="3"/>
  <c r="GV21" i="3"/>
  <c r="KN21" i="3"/>
  <c r="AB22" i="3"/>
  <c r="DT22" i="3"/>
  <c r="GP22" i="3"/>
  <c r="IL22" i="3"/>
  <c r="KH22" i="3"/>
  <c r="MD22" i="3"/>
  <c r="V23" i="3"/>
  <c r="BR23" i="3"/>
  <c r="DN23" i="3"/>
  <c r="FJ23" i="3"/>
  <c r="HF23" i="3"/>
  <c r="JB23" i="3"/>
  <c r="KX23" i="3"/>
  <c r="MT23" i="3"/>
  <c r="AL24" i="3"/>
  <c r="CH24" i="3"/>
  <c r="ED24" i="3"/>
  <c r="FZ24" i="3"/>
  <c r="HV24" i="3"/>
  <c r="JR24" i="3"/>
  <c r="LN24" i="3"/>
  <c r="F25" i="3"/>
  <c r="BB25" i="3"/>
  <c r="CX25" i="3"/>
  <c r="ET25" i="3"/>
  <c r="GP25" i="3"/>
  <c r="IL25" i="3"/>
  <c r="KH25" i="3"/>
  <c r="MD25" i="3"/>
  <c r="V26" i="3"/>
  <c r="BR26" i="3"/>
  <c r="DN26" i="3"/>
  <c r="FJ26" i="3"/>
  <c r="HF26" i="3"/>
  <c r="JB26" i="3"/>
  <c r="KX26" i="3"/>
  <c r="MT26" i="3"/>
  <c r="AL27" i="3"/>
  <c r="CH27" i="3"/>
  <c r="ED27" i="3"/>
  <c r="FZ27" i="3"/>
  <c r="HV27" i="3"/>
  <c r="JR27" i="3"/>
  <c r="LN27" i="3"/>
  <c r="F28" i="3"/>
  <c r="BB28" i="3"/>
  <c r="CX28" i="3"/>
  <c r="ET28" i="3"/>
  <c r="GP28" i="3"/>
  <c r="IL28" i="3"/>
  <c r="DE11" i="3"/>
  <c r="JR9" i="3"/>
  <c r="FB12" i="3"/>
  <c r="NB13" i="3"/>
  <c r="GX15" i="3"/>
  <c r="MQ11" i="3"/>
  <c r="FH13" i="3"/>
  <c r="FX14" i="3"/>
  <c r="GN15" i="3"/>
  <c r="CF16" i="3"/>
  <c r="HB10" i="3"/>
  <c r="CI12" i="3"/>
  <c r="K13" i="3"/>
  <c r="HE13" i="3"/>
  <c r="AK14" i="3"/>
  <c r="HU14" i="3"/>
  <c r="BA15" i="3"/>
  <c r="IK15" i="3"/>
  <c r="BQ16" i="3"/>
  <c r="HL16" i="3"/>
  <c r="MN16" i="3"/>
  <c r="CJ17" i="3"/>
  <c r="HD17" i="3"/>
  <c r="LL17" i="3"/>
  <c r="BD18" i="3"/>
  <c r="CZ18" i="3"/>
  <c r="EV18" i="3"/>
  <c r="GR18" i="3"/>
  <c r="CP9" i="3"/>
  <c r="IX10" i="3"/>
  <c r="LP11" i="3"/>
  <c r="GF12" i="3"/>
  <c r="L13" i="3"/>
  <c r="EU13" i="3"/>
  <c r="JS13" i="3"/>
  <c r="AM14" i="3"/>
  <c r="FK14" i="3"/>
  <c r="KI14" i="3"/>
  <c r="BC15" i="3"/>
  <c r="GA15" i="3"/>
  <c r="KY15" i="3"/>
  <c r="BS16" i="3"/>
  <c r="FC16" i="3"/>
  <c r="HO16" i="3"/>
  <c r="KA16" i="3"/>
  <c r="MM16" i="3"/>
  <c r="AU17" i="3"/>
  <c r="DG17" i="3"/>
  <c r="FS17" i="3"/>
  <c r="IE17" i="3"/>
  <c r="KQ17" i="3"/>
  <c r="NC17" i="3"/>
  <c r="BK18" i="3"/>
  <c r="DW18" i="3"/>
  <c r="GI18" i="3"/>
  <c r="IL18" i="3"/>
  <c r="KH18" i="3"/>
  <c r="MD18" i="3"/>
  <c r="V19" i="3"/>
  <c r="BR19" i="3"/>
  <c r="DN19" i="3"/>
  <c r="FJ19" i="3"/>
  <c r="HF19" i="3"/>
  <c r="JB19" i="3"/>
  <c r="KX19" i="3"/>
  <c r="MT19" i="3"/>
  <c r="AL20" i="3"/>
  <c r="CH20" i="3"/>
  <c r="ED20" i="3"/>
  <c r="FZ20" i="3"/>
  <c r="HV20" i="3"/>
  <c r="JR20" i="3"/>
  <c r="LN20" i="3"/>
  <c r="F21" i="3"/>
  <c r="BB21" i="3"/>
  <c r="CX21" i="3"/>
  <c r="ET21" i="3"/>
  <c r="GP21" i="3"/>
  <c r="IL21" i="3"/>
  <c r="KH21" i="3"/>
  <c r="MD21" i="3"/>
  <c r="V22" i="3"/>
  <c r="BR22" i="3"/>
  <c r="DN22" i="3"/>
  <c r="FJ22" i="3"/>
  <c r="GV9" i="3"/>
  <c r="MJ10" i="3"/>
  <c r="G12" i="3"/>
  <c r="HO12" i="3"/>
  <c r="AS13" i="3"/>
  <c r="FQ13" i="3"/>
  <c r="KO13" i="3"/>
  <c r="BI14" i="3"/>
  <c r="GG14" i="3"/>
  <c r="LE14" i="3"/>
  <c r="BY15" i="3"/>
  <c r="GW15" i="3"/>
  <c r="LU15" i="3"/>
  <c r="CO16" i="3"/>
  <c r="FO16" i="3"/>
  <c r="IA16" i="3"/>
  <c r="KM16" i="3"/>
  <c r="MY16" i="3"/>
  <c r="BG17" i="3"/>
  <c r="DS17" i="3"/>
  <c r="GE17" i="3"/>
  <c r="IQ17" i="3"/>
  <c r="LC17" i="3"/>
  <c r="K18" i="3"/>
  <c r="BW18" i="3"/>
  <c r="EI18" i="3"/>
  <c r="GU18" i="3"/>
  <c r="IU18" i="3"/>
  <c r="KQ18" i="3"/>
  <c r="MM18" i="3"/>
  <c r="AE19" i="3"/>
  <c r="CA19" i="3"/>
  <c r="DW19" i="3"/>
  <c r="FS19" i="3"/>
  <c r="HO19" i="3"/>
  <c r="JK19" i="3"/>
  <c r="LG19" i="3"/>
  <c r="NC19" i="3"/>
  <c r="AU20" i="3"/>
  <c r="CQ20" i="3"/>
  <c r="EM20" i="3"/>
  <c r="GI20" i="3"/>
  <c r="IE20" i="3"/>
  <c r="KA20" i="3"/>
  <c r="LW20" i="3"/>
  <c r="O21" i="3"/>
  <c r="BK21" i="3"/>
  <c r="DG21" i="3"/>
  <c r="FC21" i="3"/>
  <c r="GY21" i="3"/>
  <c r="IU21" i="3"/>
  <c r="KQ21" i="3"/>
  <c r="MM21" i="3"/>
  <c r="AE22" i="3"/>
  <c r="CA22" i="3"/>
  <c r="DW22" i="3"/>
  <c r="FS22" i="3"/>
  <c r="AM11" i="3"/>
  <c r="IJ12" i="3"/>
  <c r="GF13" i="3"/>
  <c r="BX14" i="3"/>
  <c r="LT14" i="3"/>
  <c r="HL15" i="3"/>
  <c r="DA16" i="3"/>
  <c r="IH16" i="3"/>
  <c r="B17" i="3"/>
  <c r="DZ17" i="3"/>
  <c r="IX17" i="3"/>
  <c r="R18" i="3"/>
  <c r="EP18" i="3"/>
  <c r="IZ18" i="3"/>
  <c r="MR18" i="3"/>
  <c r="CF19" i="3"/>
  <c r="FX19" i="3"/>
  <c r="JP19" i="3"/>
  <c r="D20" i="3"/>
  <c r="CV20" i="3"/>
  <c r="GN20" i="3"/>
  <c r="KF20" i="3"/>
  <c r="T21" i="3"/>
  <c r="DL21" i="3"/>
  <c r="HD21" i="3"/>
  <c r="KV21" i="3"/>
  <c r="AJ22" i="3"/>
  <c r="EB22" i="3"/>
  <c r="GT22" i="3"/>
  <c r="IP22" i="3"/>
  <c r="KL22" i="3"/>
  <c r="MH22" i="3"/>
  <c r="Z23" i="3"/>
  <c r="BV23" i="3"/>
  <c r="DR23" i="3"/>
  <c r="FN23" i="3"/>
  <c r="HJ23" i="3"/>
  <c r="JF23" i="3"/>
  <c r="LB23" i="3"/>
  <c r="MX23" i="3"/>
  <c r="AP24" i="3"/>
  <c r="CL24" i="3"/>
  <c r="EH24" i="3"/>
  <c r="GD24" i="3"/>
  <c r="HZ24" i="3"/>
  <c r="JV24" i="3"/>
  <c r="LR24" i="3"/>
  <c r="J25" i="3"/>
  <c r="BF25" i="3"/>
  <c r="DB25" i="3"/>
  <c r="EX25" i="3"/>
  <c r="GT25" i="3"/>
  <c r="IP25" i="3"/>
  <c r="KL25" i="3"/>
  <c r="MH25" i="3"/>
  <c r="Z26" i="3"/>
  <c r="BV26" i="3"/>
  <c r="DR26" i="3"/>
  <c r="FN26" i="3"/>
  <c r="HJ26" i="3"/>
  <c r="JF26" i="3"/>
  <c r="LB26" i="3"/>
  <c r="MX26" i="3"/>
  <c r="AP27" i="3"/>
  <c r="CL27" i="3"/>
  <c r="EH27" i="3"/>
  <c r="GD27" i="3"/>
  <c r="HZ27" i="3"/>
  <c r="JV27" i="3"/>
  <c r="LR27" i="3"/>
  <c r="J28" i="3"/>
  <c r="BF28" i="3"/>
  <c r="DB28" i="3"/>
  <c r="EX28" i="3"/>
  <c r="GT28" i="3"/>
  <c r="AV9" i="3"/>
  <c r="AL10" i="3"/>
  <c r="GX12" i="3"/>
  <c r="AT14" i="3"/>
  <c r="IT15" i="3"/>
  <c r="H12" i="3"/>
  <c r="FS13" i="3"/>
  <c r="GI14" i="3"/>
  <c r="GS15" i="3"/>
  <c r="CK16" i="3"/>
  <c r="HW10" i="3"/>
  <c r="EI12" i="3"/>
  <c r="BA13" i="3"/>
  <c r="IK13" i="3"/>
  <c r="BQ14" i="3"/>
  <c r="JA14" i="3"/>
  <c r="CG15" i="3"/>
  <c r="JQ15" i="3"/>
  <c r="CV16" i="3"/>
  <c r="IJ16" i="3"/>
  <c r="MR16" i="3"/>
  <c r="CN17" i="3"/>
  <c r="HP17" i="3"/>
  <c r="LP17" i="3"/>
  <c r="BH18" i="3"/>
  <c r="DD18" i="3"/>
  <c r="EZ18" i="3"/>
  <c r="GV18" i="3"/>
  <c r="EZ9" i="3"/>
  <c r="KN10" i="3"/>
  <c r="ML11" i="3"/>
  <c r="GV12" i="3"/>
  <c r="AB13" i="3"/>
  <c r="FE13" i="3"/>
  <c r="KC13" i="3"/>
  <c r="AW14" i="3"/>
  <c r="FU14" i="3"/>
  <c r="KS14" i="3"/>
  <c r="BM15" i="3"/>
  <c r="GK15" i="3"/>
  <c r="LI15" i="3"/>
  <c r="CC16" i="3"/>
  <c r="FI16" i="3"/>
  <c r="HU16" i="3"/>
  <c r="KG16" i="3"/>
  <c r="MS16" i="3"/>
  <c r="BA17" i="3"/>
  <c r="DM17" i="3"/>
  <c r="FY17" i="3"/>
  <c r="IK17" i="3"/>
  <c r="KW17" i="3"/>
  <c r="E18" i="3"/>
  <c r="BQ18" i="3"/>
  <c r="EC18" i="3"/>
  <c r="GO18" i="3"/>
  <c r="IP18" i="3"/>
  <c r="KL18" i="3"/>
  <c r="MH18" i="3"/>
  <c r="Z19" i="3"/>
  <c r="BV19" i="3"/>
  <c r="DR19" i="3"/>
  <c r="FN19" i="3"/>
  <c r="HJ19" i="3"/>
  <c r="JF19" i="3"/>
  <c r="LB19" i="3"/>
  <c r="MX19" i="3"/>
  <c r="AP20" i="3"/>
  <c r="CL20" i="3"/>
  <c r="EH20" i="3"/>
  <c r="GD20" i="3"/>
  <c r="HZ20" i="3"/>
  <c r="JV20" i="3"/>
  <c r="LR20" i="3"/>
  <c r="J21" i="3"/>
  <c r="BF21" i="3"/>
  <c r="DB21" i="3"/>
  <c r="EX21" i="3"/>
  <c r="GT21" i="3"/>
  <c r="IP21" i="3"/>
  <c r="KL21" i="3"/>
  <c r="MH21" i="3"/>
  <c r="Z22" i="3"/>
  <c r="BV22" i="3"/>
  <c r="DR22" i="3"/>
  <c r="FN22" i="3"/>
  <c r="IM9" i="3"/>
  <c r="W11" i="3"/>
  <c r="AB12" i="3"/>
  <c r="IE12" i="3"/>
  <c r="BD13" i="3"/>
  <c r="GB13" i="3"/>
  <c r="KZ13" i="3"/>
  <c r="BT14" i="3"/>
  <c r="GR14" i="3"/>
  <c r="LP14" i="3"/>
  <c r="CJ15" i="3"/>
  <c r="HH15" i="3"/>
  <c r="MF15" i="3"/>
  <c r="CX16" i="3"/>
  <c r="FU16" i="3"/>
  <c r="IG16" i="3"/>
  <c r="KS16" i="3"/>
  <c r="A17" i="3"/>
  <c r="BM17" i="3"/>
  <c r="DY17" i="3"/>
  <c r="GK17" i="3"/>
  <c r="IW17" i="3"/>
  <c r="LI17" i="3"/>
  <c r="Q18" i="3"/>
  <c r="CC18" i="3"/>
  <c r="EO18" i="3"/>
  <c r="HA18" i="3"/>
  <c r="IY18" i="3"/>
  <c r="KU18" i="3"/>
  <c r="MQ18" i="3"/>
  <c r="AI19" i="3"/>
  <c r="CE19" i="3"/>
  <c r="EA19" i="3"/>
  <c r="FW19" i="3"/>
  <c r="HS19" i="3"/>
  <c r="JO19" i="3"/>
  <c r="LK19" i="3"/>
  <c r="C20" i="3"/>
  <c r="AY20" i="3"/>
  <c r="CU20" i="3"/>
  <c r="EQ20" i="3"/>
  <c r="GM20" i="3"/>
  <c r="II20" i="3"/>
  <c r="KE20" i="3"/>
  <c r="MA20" i="3"/>
  <c r="S21" i="3"/>
  <c r="BO21" i="3"/>
  <c r="DK21" i="3"/>
  <c r="FG21" i="3"/>
  <c r="HC21" i="3"/>
  <c r="IY21" i="3"/>
  <c r="KU21" i="3"/>
  <c r="MQ21" i="3"/>
  <c r="AI22" i="3"/>
  <c r="CE22" i="3"/>
  <c r="EA22" i="3"/>
  <c r="LU5" i="3"/>
  <c r="DT11" i="3"/>
  <c r="JP12" i="3"/>
  <c r="HA13" i="3"/>
  <c r="CS14" i="3"/>
  <c r="MO14" i="3"/>
  <c r="IG15" i="3"/>
  <c r="DQ16" i="3"/>
  <c r="IS16" i="3"/>
  <c r="M17" i="3"/>
  <c r="EK17" i="3"/>
  <c r="JI17" i="3"/>
  <c r="AC18" i="3"/>
  <c r="FA18" i="3"/>
  <c r="JH18" i="3"/>
  <c r="MZ18" i="3"/>
  <c r="CN19" i="3"/>
  <c r="GF19" i="3"/>
  <c r="JX19" i="3"/>
  <c r="L20" i="3"/>
  <c r="DD20" i="3"/>
  <c r="GV20" i="3"/>
  <c r="KN20" i="3"/>
  <c r="AB21" i="3"/>
  <c r="DT21" i="3"/>
  <c r="HL21" i="3"/>
  <c r="LD21" i="3"/>
  <c r="AR22" i="3"/>
  <c r="EJ22" i="3"/>
  <c r="GX22" i="3"/>
  <c r="IT22" i="3"/>
  <c r="KP22" i="3"/>
  <c r="ML22" i="3"/>
  <c r="AD23" i="3"/>
  <c r="BZ23" i="3"/>
  <c r="DV23" i="3"/>
  <c r="FR23" i="3"/>
  <c r="HN23" i="3"/>
  <c r="JJ23" i="3"/>
  <c r="LF23" i="3"/>
  <c r="NB23" i="3"/>
  <c r="AT24" i="3"/>
  <c r="CP24" i="3"/>
  <c r="EL24" i="3"/>
  <c r="GH24" i="3"/>
  <c r="ID24" i="3"/>
  <c r="JZ24" i="3"/>
  <c r="LV24" i="3"/>
  <c r="N25" i="3"/>
  <c r="BJ25" i="3"/>
  <c r="DF25" i="3"/>
  <c r="FB25" i="3"/>
  <c r="GX25" i="3"/>
  <c r="IT25" i="3"/>
  <c r="KP25" i="3"/>
  <c r="ML25" i="3"/>
  <c r="AD26" i="3"/>
  <c r="BZ26" i="3"/>
  <c r="DV26" i="3"/>
  <c r="FR26" i="3"/>
  <c r="HN26" i="3"/>
  <c r="JJ26" i="3"/>
  <c r="LF26" i="3"/>
  <c r="NB26" i="3"/>
  <c r="AT27" i="3"/>
  <c r="CP27" i="3"/>
  <c r="EL27" i="3"/>
  <c r="GH27" i="3"/>
  <c r="ID27" i="3"/>
  <c r="JZ27" i="3"/>
  <c r="LV27" i="3"/>
  <c r="N28" i="3"/>
  <c r="BJ28" i="3"/>
  <c r="DF28" i="3"/>
  <c r="FB28" i="3"/>
  <c r="GX28" i="3"/>
  <c r="JZ10" i="3"/>
  <c r="FJ10" i="3"/>
  <c r="IT12" i="3"/>
  <c r="CP14" i="3"/>
  <c r="KP15" i="3"/>
  <c r="DH12" i="3"/>
  <c r="HT13" i="3"/>
  <c r="IJ14" i="3"/>
  <c r="GY15" i="3"/>
  <c r="CQ16" i="3"/>
  <c r="IR10" i="3"/>
  <c r="FO12" i="3"/>
  <c r="BW13" i="3"/>
  <c r="JG13" i="3"/>
  <c r="CM14" i="3"/>
  <c r="JW14" i="3"/>
  <c r="DC15" i="3"/>
  <c r="KM15" i="3"/>
  <c r="DL16" i="3"/>
  <c r="IV16" i="3"/>
  <c r="MV16" i="3"/>
  <c r="DL17" i="3"/>
  <c r="HT17" i="3"/>
  <c r="LT17" i="3"/>
  <c r="BL18" i="3"/>
  <c r="DH18" i="3"/>
  <c r="FD18" i="3"/>
  <c r="GZ18" i="3"/>
  <c r="GQ9" i="3"/>
  <c r="ME10" i="3"/>
  <c r="C12" i="3"/>
  <c r="HL12" i="3"/>
  <c r="AR13" i="3"/>
  <c r="FP13" i="3"/>
  <c r="KN13" i="3"/>
  <c r="BH14" i="3"/>
  <c r="GF14" i="3"/>
  <c r="LD14" i="3"/>
  <c r="BX15" i="3"/>
  <c r="GV15" i="3"/>
  <c r="LT15" i="3"/>
  <c r="CN16" i="3"/>
  <c r="FN16" i="3"/>
  <c r="HZ16" i="3"/>
  <c r="KL16" i="3"/>
  <c r="MX16" i="3"/>
  <c r="BF17" i="3"/>
  <c r="DR17" i="3"/>
  <c r="GD17" i="3"/>
  <c r="IP17" i="3"/>
  <c r="LB17" i="3"/>
  <c r="J18" i="3"/>
  <c r="BV18" i="3"/>
  <c r="EH18" i="3"/>
  <c r="GT18" i="3"/>
  <c r="IT18" i="3"/>
  <c r="KP18" i="3"/>
  <c r="ML18" i="3"/>
  <c r="AD19" i="3"/>
  <c r="BZ19" i="3"/>
  <c r="DV19" i="3"/>
  <c r="FR19" i="3"/>
  <c r="HN19" i="3"/>
  <c r="JJ19" i="3"/>
  <c r="LF19" i="3"/>
  <c r="NB19" i="3"/>
  <c r="AT20" i="3"/>
  <c r="CP20" i="3"/>
  <c r="EL20" i="3"/>
  <c r="GH20" i="3"/>
  <c r="ID20" i="3"/>
  <c r="JZ20" i="3"/>
  <c r="LV20" i="3"/>
  <c r="N21" i="3"/>
  <c r="BJ21" i="3"/>
  <c r="DF21" i="3"/>
  <c r="FB21" i="3"/>
  <c r="GX21" i="3"/>
  <c r="IT21" i="3"/>
  <c r="KP21" i="3"/>
  <c r="ML21" i="3"/>
  <c r="AD22" i="3"/>
  <c r="BZ22" i="3"/>
  <c r="DV22" i="3"/>
  <c r="FR22" i="3"/>
  <c r="KD9" i="3"/>
  <c r="BN11" i="3"/>
  <c r="AX12" i="3"/>
  <c r="IU12" i="3"/>
  <c r="BO13" i="3"/>
  <c r="GM13" i="3"/>
  <c r="LK13" i="3"/>
  <c r="CE14" i="3"/>
  <c r="HC14" i="3"/>
  <c r="MA14" i="3"/>
  <c r="CU15" i="3"/>
  <c r="HS15" i="3"/>
  <c r="MQ15" i="3"/>
  <c r="DF16" i="3"/>
  <c r="FZ16" i="3"/>
  <c r="IL16" i="3"/>
  <c r="KX16" i="3"/>
  <c r="F17" i="3"/>
  <c r="BR17" i="3"/>
  <c r="ED17" i="3"/>
  <c r="GP17" i="3"/>
  <c r="JB17" i="3"/>
  <c r="LN17" i="3"/>
  <c r="V18" i="3"/>
  <c r="CH18" i="3"/>
  <c r="ET18" i="3"/>
  <c r="HF18" i="3"/>
  <c r="JC18" i="3"/>
  <c r="KY18" i="3"/>
  <c r="MU18" i="3"/>
  <c r="AM19" i="3"/>
  <c r="CI19" i="3"/>
  <c r="EE19" i="3"/>
  <c r="GA19" i="3"/>
  <c r="HW19" i="3"/>
  <c r="JS19" i="3"/>
  <c r="LO19" i="3"/>
  <c r="G20" i="3"/>
  <c r="BC20" i="3"/>
  <c r="CY20" i="3"/>
  <c r="EU20" i="3"/>
  <c r="GQ20" i="3"/>
  <c r="IM20" i="3"/>
  <c r="KI20" i="3"/>
  <c r="ME20" i="3"/>
  <c r="W21" i="3"/>
  <c r="BS21" i="3"/>
  <c r="DO21" i="3"/>
  <c r="FK21" i="3"/>
  <c r="HG21" i="3"/>
  <c r="JC21" i="3"/>
  <c r="KY21" i="3"/>
  <c r="MU21" i="3"/>
  <c r="AM22" i="3"/>
  <c r="CI22" i="3"/>
  <c r="EE22" i="3"/>
  <c r="IO7" i="3"/>
  <c r="HB11" i="3"/>
  <c r="KV12" i="3"/>
  <c r="HW13" i="3"/>
  <c r="DO14" i="3"/>
  <c r="G15" i="3"/>
  <c r="JC15" i="3"/>
  <c r="EE16" i="3"/>
  <c r="JC16" i="3"/>
  <c r="W17" i="3"/>
  <c r="EU17" i="3"/>
  <c r="JS17" i="3"/>
  <c r="AM18" i="3"/>
  <c r="FK18" i="3"/>
  <c r="JP18" i="3"/>
  <c r="D19" i="3"/>
  <c r="CV19" i="3"/>
  <c r="GN19" i="3"/>
  <c r="KF19" i="3"/>
  <c r="T20" i="3"/>
  <c r="DL20" i="3"/>
  <c r="HD20" i="3"/>
  <c r="KV20" i="3"/>
  <c r="AJ21" i="3"/>
  <c r="EB21" i="3"/>
  <c r="HT21" i="3"/>
  <c r="LL21" i="3"/>
  <c r="AZ22" i="3"/>
  <c r="ER22" i="3"/>
  <c r="HB22" i="3"/>
  <c r="IX22" i="3"/>
  <c r="KT22" i="3"/>
  <c r="MP22" i="3"/>
  <c r="AH23" i="3"/>
  <c r="CD23" i="3"/>
  <c r="DZ23" i="3"/>
  <c r="FV23" i="3"/>
  <c r="HR23" i="3"/>
  <c r="JN23" i="3"/>
  <c r="LJ23" i="3"/>
  <c r="B24" i="3"/>
  <c r="AX24" i="3"/>
  <c r="CT24" i="3"/>
  <c r="EP24" i="3"/>
  <c r="GL24" i="3"/>
  <c r="IH24" i="3"/>
  <c r="KD24" i="3"/>
  <c r="LZ24" i="3"/>
  <c r="R25" i="3"/>
  <c r="BN25" i="3"/>
  <c r="DJ25" i="3"/>
  <c r="FF25" i="3"/>
  <c r="HB25" i="3"/>
  <c r="IX25" i="3"/>
  <c r="KT25" i="3"/>
  <c r="MP25" i="3"/>
  <c r="AH26" i="3"/>
  <c r="CD26" i="3"/>
  <c r="DZ26" i="3"/>
  <c r="FV26" i="3"/>
  <c r="HR26" i="3"/>
  <c r="JN26" i="3"/>
  <c r="LJ26" i="3"/>
  <c r="B27" i="3"/>
  <c r="AX27" i="3"/>
  <c r="CT27" i="3"/>
  <c r="EP27" i="3"/>
  <c r="GL27" i="3"/>
  <c r="IH27" i="3"/>
  <c r="KD27" i="3"/>
  <c r="LZ27" i="3"/>
  <c r="R28" i="3"/>
  <c r="BN28" i="3"/>
  <c r="DJ28" i="3"/>
  <c r="FF28" i="3"/>
  <c r="HB28" i="3"/>
  <c r="AI6" i="3"/>
  <c r="KB10" i="3"/>
  <c r="KP12" i="3"/>
  <c r="EL14" i="3"/>
  <c r="ML15" i="3"/>
  <c r="DX12" i="3"/>
  <c r="IE13" i="3"/>
  <c r="IU14" i="3"/>
  <c r="IZ15" i="3"/>
  <c r="BA4" i="3"/>
  <c r="CT11" i="3"/>
  <c r="FW12" i="3"/>
  <c r="CB13" i="3"/>
  <c r="JL13" i="3"/>
  <c r="CR14" i="3"/>
  <c r="KB14" i="3"/>
  <c r="DH15" i="3"/>
  <c r="KR15" i="3"/>
  <c r="DP16" i="3"/>
  <c r="IZ16" i="3"/>
  <c r="MZ16" i="3"/>
  <c r="DX17" i="3"/>
  <c r="HX17" i="3"/>
  <c r="MR17" i="3"/>
  <c r="BP18" i="3"/>
  <c r="DL18" i="3"/>
  <c r="FH18" i="3"/>
  <c r="HD18" i="3"/>
  <c r="IH9" i="3"/>
  <c r="R11" i="3"/>
  <c r="X12" i="3"/>
  <c r="IB12" i="3"/>
  <c r="BC13" i="3"/>
  <c r="GA13" i="3"/>
  <c r="KY13" i="3"/>
  <c r="BS14" i="3"/>
  <c r="GQ14" i="3"/>
  <c r="LO14" i="3"/>
  <c r="CI15" i="3"/>
  <c r="HG15" i="3"/>
  <c r="ME15" i="3"/>
  <c r="CW16" i="3"/>
  <c r="FS16" i="3"/>
  <c r="IE16" i="3"/>
  <c r="KQ16" i="3"/>
  <c r="NC16" i="3"/>
  <c r="BK17" i="3"/>
  <c r="DW17" i="3"/>
  <c r="GI17" i="3"/>
  <c r="IU17" i="3"/>
  <c r="LG17" i="3"/>
  <c r="O18" i="3"/>
  <c r="CA18" i="3"/>
  <c r="EM18" i="3"/>
  <c r="GY18" i="3"/>
  <c r="IX18" i="3"/>
  <c r="KT18" i="3"/>
  <c r="MP18" i="3"/>
  <c r="AH19" i="3"/>
  <c r="CD19" i="3"/>
  <c r="DZ19" i="3"/>
  <c r="FV19" i="3"/>
  <c r="HR19" i="3"/>
  <c r="JN19" i="3"/>
  <c r="LJ19" i="3"/>
  <c r="B20" i="3"/>
  <c r="AX20" i="3"/>
  <c r="CT20" i="3"/>
  <c r="EP20" i="3"/>
  <c r="GL20" i="3"/>
  <c r="IH20" i="3"/>
  <c r="KD20" i="3"/>
  <c r="LZ20" i="3"/>
  <c r="R21" i="3"/>
  <c r="BN21" i="3"/>
  <c r="DJ21" i="3"/>
  <c r="FF21" i="3"/>
  <c r="HB21" i="3"/>
  <c r="IX21" i="3"/>
  <c r="KT21" i="3"/>
  <c r="MP21" i="3"/>
  <c r="AH22" i="3"/>
  <c r="CD22" i="3"/>
  <c r="DZ22" i="3"/>
  <c r="AA5" i="3"/>
  <c r="LT9" i="3"/>
  <c r="DD11" i="3"/>
  <c r="BS12" i="3"/>
  <c r="JK12" i="3"/>
  <c r="BY13" i="3"/>
  <c r="GW13" i="3"/>
  <c r="LU13" i="3"/>
  <c r="CO14" i="3"/>
  <c r="HM14" i="3"/>
  <c r="MK14" i="3"/>
  <c r="DE15" i="3"/>
  <c r="IC15" i="3"/>
  <c r="NA15" i="3"/>
  <c r="DN16" i="3"/>
  <c r="GE16" i="3"/>
  <c r="IQ16" i="3"/>
  <c r="LC16" i="3"/>
  <c r="K17" i="3"/>
  <c r="BW17" i="3"/>
  <c r="EI17" i="3"/>
  <c r="GU17" i="3"/>
  <c r="JG17" i="3"/>
  <c r="LS17" i="3"/>
  <c r="AA18" i="3"/>
  <c r="CM18" i="3"/>
  <c r="EY18" i="3"/>
  <c r="HK18" i="3"/>
  <c r="JG18" i="3"/>
  <c r="LC18" i="3"/>
  <c r="MY18" i="3"/>
  <c r="AQ19" i="3"/>
  <c r="CM19" i="3"/>
  <c r="EI19" i="3"/>
  <c r="GE19" i="3"/>
  <c r="IA19" i="3"/>
  <c r="JW19" i="3"/>
  <c r="LS19" i="3"/>
  <c r="K20" i="3"/>
  <c r="BG20" i="3"/>
  <c r="DC20" i="3"/>
  <c r="EY20" i="3"/>
  <c r="GU20" i="3"/>
  <c r="IQ20" i="3"/>
  <c r="KM20" i="3"/>
  <c r="MI20" i="3"/>
  <c r="AA21" i="3"/>
  <c r="BW21" i="3"/>
  <c r="DS21" i="3"/>
  <c r="FO21" i="3"/>
  <c r="HK21" i="3"/>
  <c r="JG21" i="3"/>
  <c r="LC21" i="3"/>
  <c r="MY21" i="3"/>
  <c r="AQ22" i="3"/>
  <c r="CM22" i="3"/>
  <c r="EI22" i="3"/>
  <c r="JN8" i="3"/>
  <c r="JO11" i="3"/>
  <c r="MB12" i="3"/>
  <c r="IR13" i="3"/>
  <c r="EJ14" i="3"/>
  <c r="AB15" i="3"/>
  <c r="JX15" i="3"/>
  <c r="EP16" i="3"/>
  <c r="JN16" i="3"/>
  <c r="AH17" i="3"/>
  <c r="FF17" i="3"/>
  <c r="KD17" i="3"/>
  <c r="AX18" i="3"/>
  <c r="FV18" i="3"/>
  <c r="JX18" i="3"/>
  <c r="L19" i="3"/>
  <c r="DD19" i="3"/>
  <c r="GV19" i="3"/>
  <c r="KN19" i="3"/>
  <c r="AB20" i="3"/>
  <c r="DT20" i="3"/>
  <c r="HL20" i="3"/>
  <c r="LD20" i="3"/>
  <c r="AR21" i="3"/>
  <c r="EJ21" i="3"/>
  <c r="IB21" i="3"/>
  <c r="LT21" i="3"/>
  <c r="BH22" i="3"/>
  <c r="EZ22" i="3"/>
  <c r="HF22" i="3"/>
  <c r="JB22" i="3"/>
  <c r="KX22" i="3"/>
  <c r="MT22" i="3"/>
  <c r="AL23" i="3"/>
  <c r="CH23" i="3"/>
  <c r="ED23" i="3"/>
  <c r="FZ23" i="3"/>
  <c r="HV23" i="3"/>
  <c r="JR23" i="3"/>
  <c r="LN23" i="3"/>
  <c r="F24" i="3"/>
  <c r="BB24" i="3"/>
  <c r="CX24" i="3"/>
  <c r="ET24" i="3"/>
  <c r="GP24" i="3"/>
  <c r="IL24" i="3"/>
  <c r="KH24" i="3"/>
  <c r="MD24" i="3"/>
  <c r="V25" i="3"/>
  <c r="BR25" i="3"/>
  <c r="DN25" i="3"/>
  <c r="FJ25" i="3"/>
  <c r="HF25" i="3"/>
  <c r="JB25" i="3"/>
  <c r="KX25" i="3"/>
  <c r="MT25" i="3"/>
  <c r="AL26" i="3"/>
  <c r="CH26" i="3"/>
  <c r="ED26" i="3"/>
  <c r="FZ26" i="3"/>
  <c r="HV26" i="3"/>
  <c r="JR26" i="3"/>
  <c r="LN26" i="3"/>
  <c r="F27" i="3"/>
  <c r="BB27" i="3"/>
  <c r="CX27" i="3"/>
  <c r="ET27" i="3"/>
  <c r="GP27" i="3"/>
  <c r="IL27" i="3"/>
  <c r="KH27" i="3"/>
  <c r="MD27" i="3"/>
  <c r="V28" i="3"/>
  <c r="BR28" i="3"/>
  <c r="DN28" i="3"/>
  <c r="FJ28" i="3"/>
  <c r="HF28" i="3"/>
  <c r="R2" i="3"/>
  <c r="HT9" i="3"/>
  <c r="V11" i="3"/>
  <c r="ML12" i="3"/>
  <c r="GH14" i="3"/>
  <c r="AD16" i="3"/>
  <c r="GZ12" i="3"/>
  <c r="KF13" i="3"/>
  <c r="KV14" i="3"/>
  <c r="JE15" i="3"/>
  <c r="JQ5" i="3"/>
  <c r="DO11" i="3"/>
  <c r="GE12" i="3"/>
  <c r="CG13" i="3"/>
  <c r="JQ13" i="3"/>
  <c r="CW14" i="3"/>
  <c r="KG14" i="3"/>
  <c r="DM15" i="3"/>
  <c r="KW15" i="3"/>
  <c r="DT16" i="3"/>
  <c r="JD16" i="3"/>
  <c r="T17" i="3"/>
  <c r="EB17" i="3"/>
  <c r="IB17" i="3"/>
  <c r="ND17" i="3"/>
  <c r="ND35" i="3" s="1"/>
  <c r="BT18" i="3"/>
  <c r="DP18" i="3"/>
  <c r="FL18" i="3"/>
  <c r="HH18" i="3"/>
  <c r="JX9" i="3"/>
  <c r="BH11" i="3"/>
  <c r="AT12" i="3"/>
  <c r="IR12" i="3"/>
  <c r="BM13" i="3"/>
  <c r="GK13" i="3"/>
  <c r="LI13" i="3"/>
  <c r="CC14" i="3"/>
  <c r="HA14" i="3"/>
  <c r="LY14" i="3"/>
  <c r="CS15" i="3"/>
  <c r="HQ15" i="3"/>
  <c r="MO15" i="3"/>
  <c r="DE16" i="3"/>
  <c r="FY16" i="3"/>
  <c r="IK16" i="3"/>
  <c r="KW16" i="3"/>
  <c r="E17" i="3"/>
  <c r="BQ17" i="3"/>
  <c r="EC17" i="3"/>
  <c r="GO17" i="3"/>
  <c r="JA17" i="3"/>
  <c r="LM17" i="3"/>
  <c r="U18" i="3"/>
  <c r="CG18" i="3"/>
  <c r="ES18" i="3"/>
  <c r="HE18" i="3"/>
  <c r="JB18" i="3"/>
  <c r="KX18" i="3"/>
  <c r="MT18" i="3"/>
  <c r="AL19" i="3"/>
  <c r="CH19" i="3"/>
  <c r="ED19" i="3"/>
  <c r="FZ19" i="3"/>
  <c r="HV19" i="3"/>
  <c r="JR19" i="3"/>
  <c r="LN19" i="3"/>
  <c r="F20" i="3"/>
  <c r="BB20" i="3"/>
  <c r="CX20" i="3"/>
  <c r="ET20" i="3"/>
  <c r="GP20" i="3"/>
  <c r="IL20" i="3"/>
  <c r="KH20" i="3"/>
  <c r="MD20" i="3"/>
  <c r="V21" i="3"/>
  <c r="BR21" i="3"/>
  <c r="DN21" i="3"/>
  <c r="FJ21" i="3"/>
  <c r="HF21" i="3"/>
  <c r="JB21" i="3"/>
  <c r="KX21" i="3"/>
  <c r="MT21" i="3"/>
  <c r="AL22" i="3"/>
  <c r="CH22" i="3"/>
  <c r="ED22" i="3"/>
  <c r="GC6" i="3"/>
  <c r="G10" i="3"/>
  <c r="EU11" i="3"/>
  <c r="CN12" i="3"/>
  <c r="KA12" i="3"/>
  <c r="CJ13" i="3"/>
  <c r="HH13" i="3"/>
  <c r="MF13" i="3"/>
  <c r="CZ14" i="3"/>
  <c r="HX14" i="3"/>
  <c r="MV14" i="3"/>
  <c r="DP15" i="3"/>
  <c r="IN15" i="3"/>
  <c r="H16" i="3"/>
  <c r="DV16" i="3"/>
  <c r="GK16" i="3"/>
  <c r="IW16" i="3"/>
  <c r="LI16" i="3"/>
  <c r="Q17" i="3"/>
  <c r="CC17" i="3"/>
  <c r="EO17" i="3"/>
  <c r="HA17" i="3"/>
  <c r="JM17" i="3"/>
  <c r="LY17" i="3"/>
  <c r="AG18" i="3"/>
  <c r="CS18" i="3"/>
  <c r="FE18" i="3"/>
  <c r="HO18" i="3"/>
  <c r="JK18" i="3"/>
  <c r="LG18" i="3"/>
  <c r="NC18" i="3"/>
  <c r="AU19" i="3"/>
  <c r="CQ19" i="3"/>
  <c r="EM19" i="3"/>
  <c r="GI19" i="3"/>
  <c r="IE19" i="3"/>
  <c r="KA19" i="3"/>
  <c r="LW19" i="3"/>
  <c r="O20" i="3"/>
  <c r="BK20" i="3"/>
  <c r="DG20" i="3"/>
  <c r="FC20" i="3"/>
  <c r="GY20" i="3"/>
  <c r="IU20" i="3"/>
  <c r="KQ20" i="3"/>
  <c r="MM20" i="3"/>
  <c r="AE21" i="3"/>
  <c r="CA21" i="3"/>
  <c r="DW21" i="3"/>
  <c r="FS21" i="3"/>
  <c r="HO21" i="3"/>
  <c r="JK21" i="3"/>
  <c r="LG21" i="3"/>
  <c r="NC21" i="3"/>
  <c r="AU22" i="3"/>
  <c r="CQ22" i="3"/>
  <c r="EM22" i="3"/>
  <c r="BJ9" i="3"/>
  <c r="LF11" i="3"/>
  <c r="D13" i="3"/>
  <c r="JM13" i="3"/>
  <c r="FE14" i="3"/>
  <c r="AW15" i="3"/>
  <c r="KS15" i="3"/>
  <c r="FA16" i="3"/>
  <c r="JY16" i="3"/>
  <c r="AS17" i="3"/>
  <c r="FQ17" i="3"/>
  <c r="KO17" i="3"/>
  <c r="BI18" i="3"/>
  <c r="GG18" i="3"/>
  <c r="KF18" i="3"/>
  <c r="T19" i="3"/>
  <c r="DL19" i="3"/>
  <c r="HD19" i="3"/>
  <c r="KV19" i="3"/>
  <c r="AJ20" i="3"/>
  <c r="EB20" i="3"/>
  <c r="HT20" i="3"/>
  <c r="LL20" i="3"/>
  <c r="AZ21" i="3"/>
  <c r="ER21" i="3"/>
  <c r="IJ21" i="3"/>
  <c r="MB21" i="3"/>
  <c r="BP22" i="3"/>
  <c r="FH22" i="3"/>
  <c r="HJ22" i="3"/>
  <c r="JF22" i="3"/>
  <c r="LB22" i="3"/>
  <c r="MX22" i="3"/>
  <c r="AP23" i="3"/>
  <c r="CL23" i="3"/>
  <c r="EH23" i="3"/>
  <c r="GD23" i="3"/>
  <c r="HZ23" i="3"/>
  <c r="JV23" i="3"/>
  <c r="LR23" i="3"/>
  <c r="J24" i="3"/>
  <c r="BF24" i="3"/>
  <c r="DB24" i="3"/>
  <c r="EX24" i="3"/>
  <c r="GT24" i="3"/>
  <c r="IP24" i="3"/>
  <c r="KL24" i="3"/>
  <c r="MH24" i="3"/>
  <c r="Z25" i="3"/>
  <c r="BV25" i="3"/>
  <c r="DR25" i="3"/>
  <c r="FN25" i="3"/>
  <c r="HJ25" i="3"/>
  <c r="JF25" i="3"/>
  <c r="LB25" i="3"/>
  <c r="MX25" i="3"/>
  <c r="AP26" i="3"/>
  <c r="CL26" i="3"/>
  <c r="EH26" i="3"/>
  <c r="GD26" i="3"/>
  <c r="HZ26" i="3"/>
  <c r="JV26" i="3"/>
  <c r="LR26" i="3"/>
  <c r="J27" i="3"/>
  <c r="BF27" i="3"/>
  <c r="DB27" i="3"/>
  <c r="EX27" i="3"/>
  <c r="GT27" i="3"/>
  <c r="IP27" i="3"/>
  <c r="KL27" i="3"/>
  <c r="MH27" i="3"/>
  <c r="Z28" i="3"/>
  <c r="BV28" i="3"/>
  <c r="DR28" i="3"/>
  <c r="FN28" i="3"/>
  <c r="HJ28" i="3"/>
  <c r="MR5" i="3"/>
  <c r="IJ10" i="3"/>
  <c r="CR11" i="3"/>
  <c r="AD13" i="3"/>
  <c r="ID14" i="3"/>
  <c r="BZ16" i="3"/>
  <c r="HP12" i="3"/>
  <c r="KQ13" i="3"/>
  <c r="LG14" i="3"/>
  <c r="JK15" i="3"/>
  <c r="CU6" i="3"/>
  <c r="EJ11" i="3"/>
  <c r="IA12" i="3"/>
  <c r="DM13" i="3"/>
  <c r="KW13" i="3"/>
  <c r="EC14" i="3"/>
  <c r="LM14" i="3"/>
  <c r="ES15" i="3"/>
  <c r="MC15" i="3"/>
  <c r="ER16" i="3"/>
  <c r="JH16" i="3"/>
  <c r="AF17" i="3"/>
  <c r="EF17" i="3"/>
  <c r="IZ17" i="3"/>
  <c r="D18" i="3"/>
  <c r="BX18" i="3"/>
  <c r="DT18" i="3"/>
  <c r="FP18" i="3"/>
  <c r="HP4" i="3"/>
  <c r="LO9" i="3"/>
  <c r="CY11" i="3"/>
  <c r="BO12" i="3"/>
  <c r="JH12" i="3"/>
  <c r="BX13" i="3"/>
  <c r="GV13" i="3"/>
  <c r="LT13" i="3"/>
  <c r="CN14" i="3"/>
  <c r="HL14" i="3"/>
  <c r="MJ14" i="3"/>
  <c r="DD15" i="3"/>
  <c r="IB15" i="3"/>
  <c r="MZ15" i="3"/>
  <c r="DM16" i="3"/>
  <c r="GD16" i="3"/>
  <c r="IP16" i="3"/>
  <c r="LB16" i="3"/>
  <c r="J17" i="3"/>
  <c r="BV17" i="3"/>
  <c r="EH17" i="3"/>
  <c r="GT17" i="3"/>
  <c r="JF17" i="3"/>
  <c r="LR17" i="3"/>
  <c r="Z18" i="3"/>
  <c r="CL18" i="3"/>
  <c r="EX18" i="3"/>
  <c r="HJ18" i="3"/>
  <c r="JF18" i="3"/>
  <c r="LB18" i="3"/>
  <c r="MX18" i="3"/>
  <c r="AP19" i="3"/>
  <c r="CL19" i="3"/>
  <c r="EH19" i="3"/>
  <c r="GD19" i="3"/>
  <c r="HZ19" i="3"/>
  <c r="JV19" i="3"/>
  <c r="LR19" i="3"/>
  <c r="J20" i="3"/>
  <c r="BF20" i="3"/>
  <c r="DB20" i="3"/>
  <c r="EX20" i="3"/>
  <c r="GT20" i="3"/>
  <c r="IP20" i="3"/>
  <c r="KL20" i="3"/>
  <c r="MH20" i="3"/>
  <c r="Z21" i="3"/>
  <c r="BV21" i="3"/>
  <c r="DR21" i="3"/>
  <c r="FN21" i="3"/>
  <c r="HJ21" i="3"/>
  <c r="JF21" i="3"/>
  <c r="LB21" i="3"/>
  <c r="MX21" i="3"/>
  <c r="AP22" i="3"/>
  <c r="CL22" i="3"/>
  <c r="EH22" i="3"/>
  <c r="FB7" i="3"/>
  <c r="AX10" i="3"/>
  <c r="GL11" i="3"/>
  <c r="DG12" i="3"/>
  <c r="KQ12" i="3"/>
  <c r="CU13" i="3"/>
  <c r="HS13" i="3"/>
  <c r="MQ13" i="3"/>
  <c r="DK14" i="3"/>
  <c r="II14" i="3"/>
  <c r="C15" i="3"/>
  <c r="EA15" i="3"/>
  <c r="IY15" i="3"/>
  <c r="S16" i="3"/>
  <c r="ED16" i="3"/>
  <c r="GP16" i="3"/>
  <c r="GP34" i="3" s="1"/>
  <c r="GP5" i="22" s="1"/>
  <c r="JB16" i="3"/>
  <c r="LN16" i="3"/>
  <c r="V17" i="3"/>
  <c r="CH17" i="3"/>
  <c r="ET17" i="3"/>
  <c r="HF17" i="3"/>
  <c r="JR17" i="3"/>
  <c r="MD17" i="3"/>
  <c r="AL18" i="3"/>
  <c r="CX18" i="3"/>
  <c r="FJ18" i="3"/>
  <c r="HS18" i="3"/>
  <c r="JO18" i="3"/>
  <c r="LK18" i="3"/>
  <c r="C19" i="3"/>
  <c r="AY19" i="3"/>
  <c r="CU19" i="3"/>
  <c r="EQ19" i="3"/>
  <c r="GM19" i="3"/>
  <c r="II19" i="3"/>
  <c r="KE19" i="3"/>
  <c r="MA19" i="3"/>
  <c r="S20" i="3"/>
  <c r="BO20" i="3"/>
  <c r="DK20" i="3"/>
  <c r="FG20" i="3"/>
  <c r="HC20" i="3"/>
  <c r="IY20" i="3"/>
  <c r="KU20" i="3"/>
  <c r="MQ20" i="3"/>
  <c r="AI21" i="3"/>
  <c r="CE21" i="3"/>
  <c r="EA21" i="3"/>
  <c r="FW21" i="3"/>
  <c r="HS21" i="3"/>
  <c r="JO21" i="3"/>
  <c r="LK21" i="3"/>
  <c r="C22" i="3"/>
  <c r="AY22" i="3"/>
  <c r="CU22" i="3"/>
  <c r="EQ22" i="3"/>
  <c r="FV9" i="3"/>
  <c r="MV11" i="3"/>
  <c r="AJ13" i="3"/>
  <c r="KI13" i="3"/>
  <c r="GA14" i="3"/>
  <c r="BS15" i="3"/>
  <c r="LO15" i="3"/>
  <c r="FK16" i="3"/>
  <c r="KI16" i="3"/>
  <c r="BC17" i="3"/>
  <c r="GA17" i="3"/>
  <c r="KY17" i="3"/>
  <c r="BS18" i="3"/>
  <c r="GQ18" i="3"/>
  <c r="KN18" i="3"/>
  <c r="AB19" i="3"/>
  <c r="DT19" i="3"/>
  <c r="HL19" i="3"/>
  <c r="LD19" i="3"/>
  <c r="AR20" i="3"/>
  <c r="EJ20" i="3"/>
  <c r="IB20" i="3"/>
  <c r="LT20" i="3"/>
  <c r="BH21" i="3"/>
  <c r="EZ21" i="3"/>
  <c r="IR21" i="3"/>
  <c r="MJ21" i="3"/>
  <c r="BX22" i="3"/>
  <c r="FP22" i="3"/>
  <c r="HN22" i="3"/>
  <c r="JJ22" i="3"/>
  <c r="LF22" i="3"/>
  <c r="NB22" i="3"/>
  <c r="AT23" i="3"/>
  <c r="CP23" i="3"/>
  <c r="EL23" i="3"/>
  <c r="GH23" i="3"/>
  <c r="ID23" i="3"/>
  <c r="JZ23" i="3"/>
  <c r="LV23" i="3"/>
  <c r="N24" i="3"/>
  <c r="BJ24" i="3"/>
  <c r="DF24" i="3"/>
  <c r="FB24" i="3"/>
  <c r="GX24" i="3"/>
  <c r="IT24" i="3"/>
  <c r="KP24" i="3"/>
  <c r="ML24" i="3"/>
  <c r="AD25" i="3"/>
  <c r="BZ25" i="3"/>
  <c r="DV25" i="3"/>
  <c r="FR25" i="3"/>
  <c r="HN25" i="3"/>
  <c r="JJ25" i="3"/>
  <c r="LF25" i="3"/>
  <c r="NB25" i="3"/>
  <c r="AT26" i="3"/>
  <c r="CP26" i="3"/>
  <c r="EL26" i="3"/>
  <c r="GH26" i="3"/>
  <c r="ID26" i="3"/>
  <c r="JZ26" i="3"/>
  <c r="LV26" i="3"/>
  <c r="N27" i="3"/>
  <c r="BJ27" i="3"/>
  <c r="DF27" i="3"/>
  <c r="FB27" i="3"/>
  <c r="GX27" i="3"/>
  <c r="IT27" i="3"/>
  <c r="KP27" i="3"/>
  <c r="ML27" i="3"/>
  <c r="AD28" i="3"/>
  <c r="BZ28" i="3"/>
  <c r="DV28" i="3"/>
  <c r="FR28" i="3"/>
  <c r="HN28" i="3"/>
  <c r="FS7" i="3"/>
  <c r="IZ11" i="3"/>
  <c r="FD11" i="3"/>
  <c r="BZ13" i="3"/>
  <c r="JZ14" i="3"/>
  <c r="AY8" i="3"/>
  <c r="KR12" i="3"/>
  <c r="MR13" i="3"/>
  <c r="D15" i="3"/>
  <c r="LL15" i="3"/>
  <c r="V9" i="3"/>
  <c r="KT11" i="3"/>
  <c r="JG12" i="3"/>
  <c r="EI13" i="3"/>
  <c r="LS13" i="3"/>
  <c r="EY14" i="3"/>
  <c r="MI14" i="3"/>
  <c r="FO15" i="3"/>
  <c r="MY15" i="3"/>
  <c r="FH16" i="3"/>
  <c r="KF16" i="3"/>
  <c r="AJ17" i="3"/>
  <c r="EJ17" i="3"/>
  <c r="JL17" i="3"/>
  <c r="H18" i="3"/>
  <c r="CB18" i="3"/>
  <c r="DX18" i="3"/>
  <c r="FT18" i="3"/>
  <c r="EL6" i="3"/>
  <c r="B10" i="3"/>
  <c r="EP11" i="3"/>
  <c r="CJ12" i="3"/>
  <c r="JX12" i="3"/>
  <c r="CI13" i="3"/>
  <c r="HG13" i="3"/>
  <c r="ME13" i="3"/>
  <c r="CY14" i="3"/>
  <c r="HW14" i="3"/>
  <c r="MU14" i="3"/>
  <c r="DO15" i="3"/>
  <c r="IM15" i="3"/>
  <c r="G16" i="3"/>
  <c r="DU16" i="3"/>
  <c r="GI16" i="3"/>
  <c r="IU16" i="3"/>
  <c r="LG16" i="3"/>
  <c r="O17" i="3"/>
  <c r="CA17" i="3"/>
  <c r="EM17" i="3"/>
  <c r="GY17" i="3"/>
  <c r="JK17" i="3"/>
  <c r="LW17" i="3"/>
  <c r="AE18" i="3"/>
  <c r="CQ18" i="3"/>
  <c r="FC18" i="3"/>
  <c r="HN18" i="3"/>
  <c r="JJ18" i="3"/>
  <c r="LF18" i="3"/>
  <c r="NB18" i="3"/>
  <c r="AT19" i="3"/>
  <c r="CP19" i="3"/>
  <c r="EL19" i="3"/>
  <c r="GH19" i="3"/>
  <c r="ID19" i="3"/>
  <c r="JZ19" i="3"/>
  <c r="LV19" i="3"/>
  <c r="N20" i="3"/>
  <c r="BJ20" i="3"/>
  <c r="DF20" i="3"/>
  <c r="FB20" i="3"/>
  <c r="GX20" i="3"/>
  <c r="IT20" i="3"/>
  <c r="KP20" i="3"/>
  <c r="ML20" i="3"/>
  <c r="AD21" i="3"/>
  <c r="BZ21" i="3"/>
  <c r="DV21" i="3"/>
  <c r="FR21" i="3"/>
  <c r="HN21" i="3"/>
  <c r="JJ21" i="3"/>
  <c r="LF21" i="3"/>
  <c r="NB21" i="3"/>
  <c r="AT22" i="3"/>
  <c r="CP22" i="3"/>
  <c r="EL22" i="3"/>
  <c r="W8" i="3"/>
  <c r="CN10" i="3"/>
  <c r="IB11" i="3"/>
  <c r="DW12" i="3"/>
  <c r="LG12" i="3"/>
  <c r="DE13" i="3"/>
  <c r="IC13" i="3"/>
  <c r="NA13" i="3"/>
  <c r="DU14" i="3"/>
  <c r="IS14" i="3"/>
  <c r="M15" i="3"/>
  <c r="EK15" i="3"/>
  <c r="JI15" i="3"/>
  <c r="AC16" i="3"/>
  <c r="EI16" i="3"/>
  <c r="GU16" i="3"/>
  <c r="JG16" i="3"/>
  <c r="LS16" i="3"/>
  <c r="AA17" i="3"/>
  <c r="CM17" i="3"/>
  <c r="EY17" i="3"/>
  <c r="HK17" i="3"/>
  <c r="JW17" i="3"/>
  <c r="MI17" i="3"/>
  <c r="AQ18" i="3"/>
  <c r="DC18" i="3"/>
  <c r="FO18" i="3"/>
  <c r="HW18" i="3"/>
  <c r="JS18" i="3"/>
  <c r="LO18" i="3"/>
  <c r="G19" i="3"/>
  <c r="BC19" i="3"/>
  <c r="CY19" i="3"/>
  <c r="EU19" i="3"/>
  <c r="GQ19" i="3"/>
  <c r="IM19" i="3"/>
  <c r="KI19" i="3"/>
  <c r="ME19" i="3"/>
  <c r="W20" i="3"/>
  <c r="BS20" i="3"/>
  <c r="DO20" i="3"/>
  <c r="FK20" i="3"/>
  <c r="HG20" i="3"/>
  <c r="JC20" i="3"/>
  <c r="KY20" i="3"/>
  <c r="MU20" i="3"/>
  <c r="AM21" i="3"/>
  <c r="CI21" i="3"/>
  <c r="EE21" i="3"/>
  <c r="GA21" i="3"/>
  <c r="HW21" i="3"/>
  <c r="JS21" i="3"/>
  <c r="LO21" i="3"/>
  <c r="G22" i="3"/>
  <c r="BC22" i="3"/>
  <c r="CY22" i="3"/>
  <c r="EU22" i="3"/>
  <c r="JC9" i="3"/>
  <c r="AI12" i="3"/>
  <c r="BH13" i="3"/>
  <c r="LD13" i="3"/>
  <c r="GV14" i="3"/>
  <c r="CN15" i="3"/>
  <c r="MJ15" i="3"/>
  <c r="FV16" i="3"/>
  <c r="KT16" i="3"/>
  <c r="BN17" i="3"/>
  <c r="GL17" i="3"/>
  <c r="LJ17" i="3"/>
  <c r="CD18" i="3"/>
  <c r="HB18" i="3"/>
  <c r="KV18" i="3"/>
  <c r="AJ19" i="3"/>
  <c r="EB19" i="3"/>
  <c r="HT19" i="3"/>
  <c r="LL19" i="3"/>
  <c r="AZ20" i="3"/>
  <c r="ER20" i="3"/>
  <c r="IJ20" i="3"/>
  <c r="MB20" i="3"/>
  <c r="BP21" i="3"/>
  <c r="FH21" i="3"/>
  <c r="IZ21" i="3"/>
  <c r="MR21" i="3"/>
  <c r="CF22" i="3"/>
  <c r="FV22" i="3"/>
  <c r="HR22" i="3"/>
  <c r="JN22" i="3"/>
  <c r="LJ22" i="3"/>
  <c r="B23" i="3"/>
  <c r="AX23" i="3"/>
  <c r="CT23" i="3"/>
  <c r="EP23" i="3"/>
  <c r="GL23" i="3"/>
  <c r="IH23" i="3"/>
  <c r="KD23" i="3"/>
  <c r="LZ23" i="3"/>
  <c r="R24" i="3"/>
  <c r="BN24" i="3"/>
  <c r="DJ24" i="3"/>
  <c r="FF24" i="3"/>
  <c r="HB24" i="3"/>
  <c r="IX24" i="3"/>
  <c r="KT24" i="3"/>
  <c r="MP24" i="3"/>
  <c r="AH25" i="3"/>
  <c r="CD25" i="3"/>
  <c r="DZ25" i="3"/>
  <c r="FV25" i="3"/>
  <c r="HR25" i="3"/>
  <c r="JN25" i="3"/>
  <c r="LJ25" i="3"/>
  <c r="B26" i="3"/>
  <c r="AX26" i="3"/>
  <c r="CT26" i="3"/>
  <c r="EP26" i="3"/>
  <c r="GL26" i="3"/>
  <c r="IH26" i="3"/>
  <c r="KD26" i="3"/>
  <c r="LZ26" i="3"/>
  <c r="R27" i="3"/>
  <c r="BN27" i="3"/>
  <c r="DJ27" i="3"/>
  <c r="FF27" i="3"/>
  <c r="HB27" i="3"/>
  <c r="IX27" i="3"/>
  <c r="KT27" i="3"/>
  <c r="MP27" i="3"/>
  <c r="AH28" i="3"/>
  <c r="CD28" i="3"/>
  <c r="DZ28" i="3"/>
  <c r="FV28" i="3"/>
  <c r="HR28" i="3"/>
  <c r="KH6" i="3"/>
  <c r="HM12" i="3"/>
  <c r="HP11" i="3"/>
  <c r="DV13" i="3"/>
  <c r="LV14" i="3"/>
  <c r="HB9" i="3"/>
  <c r="LH12" i="3"/>
  <c r="NC13" i="3"/>
  <c r="O15" i="3"/>
  <c r="LQ15" i="3"/>
  <c r="BB9" i="3"/>
  <c r="LD11" i="3"/>
  <c r="JO12" i="3"/>
  <c r="EN13" i="3"/>
  <c r="LX13" i="3"/>
  <c r="FD14" i="3"/>
  <c r="MN14" i="3"/>
  <c r="FT15" i="3"/>
  <c r="ND15" i="3"/>
  <c r="FL16" i="3"/>
  <c r="KR16" i="3"/>
  <c r="AN17" i="3"/>
  <c r="FH17" i="3"/>
  <c r="JP17" i="3"/>
  <c r="L18" i="3"/>
  <c r="CF18" i="3"/>
  <c r="EB18" i="3"/>
  <c r="FX18" i="3"/>
  <c r="DK7" i="3"/>
  <c r="AR10" i="3"/>
  <c r="GF11" i="3"/>
  <c r="DD12" i="3"/>
  <c r="KN12" i="3"/>
  <c r="CS13" i="3"/>
  <c r="HQ13" i="3"/>
  <c r="MO13" i="3"/>
  <c r="DI14" i="3"/>
  <c r="IG14" i="3"/>
  <c r="A15" i="3"/>
  <c r="DY15" i="3"/>
  <c r="IW15" i="3"/>
  <c r="Q16" i="3"/>
  <c r="EC16" i="3"/>
  <c r="GO16" i="3"/>
  <c r="JA16" i="3"/>
  <c r="LM16" i="3"/>
  <c r="U17" i="3"/>
  <c r="CG17" i="3"/>
  <c r="ES17" i="3"/>
  <c r="HE17" i="3"/>
  <c r="JQ17" i="3"/>
  <c r="MC17" i="3"/>
  <c r="AK18" i="3"/>
  <c r="CW18" i="3"/>
  <c r="FI18" i="3"/>
  <c r="HR18" i="3"/>
  <c r="JN18" i="3"/>
  <c r="LJ18" i="3"/>
  <c r="B19" i="3"/>
  <c r="AX19" i="3"/>
  <c r="CT19" i="3"/>
  <c r="EP19" i="3"/>
  <c r="GL19" i="3"/>
  <c r="IH19" i="3"/>
  <c r="KD19" i="3"/>
  <c r="LZ19" i="3"/>
  <c r="R20" i="3"/>
  <c r="BN20" i="3"/>
  <c r="DJ20" i="3"/>
  <c r="FF20" i="3"/>
  <c r="HB20" i="3"/>
  <c r="IX20" i="3"/>
  <c r="KT20" i="3"/>
  <c r="MP20" i="3"/>
  <c r="AH21" i="3"/>
  <c r="CD21" i="3"/>
  <c r="DZ21" i="3"/>
  <c r="FV21" i="3"/>
  <c r="HR21" i="3"/>
  <c r="JN21" i="3"/>
  <c r="LJ21" i="3"/>
  <c r="B22" i="3"/>
  <c r="AX22" i="3"/>
  <c r="CT22" i="3"/>
  <c r="EP22" i="3"/>
  <c r="HL8" i="3"/>
  <c r="EE10" i="3"/>
  <c r="JH11" i="3"/>
  <c r="EM12" i="3"/>
  <c r="LW12" i="3"/>
  <c r="DP13" i="3"/>
  <c r="IN13" i="3"/>
  <c r="H14" i="3"/>
  <c r="EF14" i="3"/>
  <c r="JD14" i="3"/>
  <c r="X15" i="3"/>
  <c r="EV15" i="3"/>
  <c r="JT15" i="3"/>
  <c r="AN16" i="3"/>
  <c r="EO16" i="3"/>
  <c r="HA16" i="3"/>
  <c r="JM16" i="3"/>
  <c r="LY16" i="3"/>
  <c r="AG17" i="3"/>
  <c r="CS17" i="3"/>
  <c r="FE17" i="3"/>
  <c r="HQ17" i="3"/>
  <c r="KC17" i="3"/>
  <c r="MO17" i="3"/>
  <c r="AW18" i="3"/>
  <c r="DI18" i="3"/>
  <c r="FU18" i="3"/>
  <c r="IA18" i="3"/>
  <c r="JW18" i="3"/>
  <c r="LS18" i="3"/>
  <c r="K19" i="3"/>
  <c r="BG19" i="3"/>
  <c r="DC19" i="3"/>
  <c r="EY19" i="3"/>
  <c r="GU19" i="3"/>
  <c r="IQ19" i="3"/>
  <c r="KM19" i="3"/>
  <c r="MI19" i="3"/>
  <c r="AA20" i="3"/>
  <c r="BW20" i="3"/>
  <c r="DS20" i="3"/>
  <c r="FO20" i="3"/>
  <c r="HK20" i="3"/>
  <c r="JG20" i="3"/>
  <c r="LC20" i="3"/>
  <c r="MY20" i="3"/>
  <c r="AQ21" i="3"/>
  <c r="CM21" i="3"/>
  <c r="EI21" i="3"/>
  <c r="GE21" i="3"/>
  <c r="IA21" i="3"/>
  <c r="JW21" i="3"/>
  <c r="LS21" i="3"/>
  <c r="K22" i="3"/>
  <c r="BG22" i="3"/>
  <c r="DC22" i="3"/>
  <c r="EY22" i="3"/>
  <c r="MJ9" i="3"/>
  <c r="BZ12" i="3"/>
  <c r="CC13" i="3"/>
  <c r="LY13" i="3"/>
  <c r="HQ14" i="3"/>
  <c r="DI15" i="3"/>
  <c r="A16" i="3"/>
  <c r="GG16" i="3"/>
  <c r="LE16" i="3"/>
  <c r="BY17" i="3"/>
  <c r="GW17" i="3"/>
  <c r="LU17" i="3"/>
  <c r="CO18" i="3"/>
  <c r="HL18" i="3"/>
  <c r="LD18" i="3"/>
  <c r="AR19" i="3"/>
  <c r="EJ19" i="3"/>
  <c r="IB19" i="3"/>
  <c r="LT19" i="3"/>
  <c r="BH20" i="3"/>
  <c r="EZ20" i="3"/>
  <c r="IR20" i="3"/>
  <c r="MJ20" i="3"/>
  <c r="BX21" i="3"/>
  <c r="FP21" i="3"/>
  <c r="JH21" i="3"/>
  <c r="MZ21" i="3"/>
  <c r="CN22" i="3"/>
  <c r="FZ22" i="3"/>
  <c r="HV22" i="3"/>
  <c r="JR22" i="3"/>
  <c r="LN22" i="3"/>
  <c r="F23" i="3"/>
  <c r="BB23" i="3"/>
  <c r="CX23" i="3"/>
  <c r="ET23" i="3"/>
  <c r="GP23" i="3"/>
  <c r="IL23" i="3"/>
  <c r="KH23" i="3"/>
  <c r="MD23" i="3"/>
  <c r="V24" i="3"/>
  <c r="BR24" i="3"/>
  <c r="DN24" i="3"/>
  <c r="FJ24" i="3"/>
  <c r="HF24" i="3"/>
  <c r="JB24" i="3"/>
  <c r="KX24" i="3"/>
  <c r="MT24" i="3"/>
  <c r="AL25" i="3"/>
  <c r="CH25" i="3"/>
  <c r="ED25" i="3"/>
  <c r="FZ25" i="3"/>
  <c r="HV25" i="3"/>
  <c r="JR25" i="3"/>
  <c r="LN25" i="3"/>
  <c r="F26" i="3"/>
  <c r="BB26" i="3"/>
  <c r="CX26" i="3"/>
  <c r="ET26" i="3"/>
  <c r="GP26" i="3"/>
  <c r="IL26" i="3"/>
  <c r="KH26" i="3"/>
  <c r="MD26" i="3"/>
  <c r="V27" i="3"/>
  <c r="BR27" i="3"/>
  <c r="DN27" i="3"/>
  <c r="FJ27" i="3"/>
  <c r="HF27" i="3"/>
  <c r="JB27" i="3"/>
  <c r="KX27" i="3"/>
  <c r="MT27" i="3"/>
  <c r="AL28" i="3"/>
  <c r="CH28" i="3"/>
  <c r="ED28" i="3"/>
  <c r="FZ28" i="3"/>
  <c r="HV28" i="3"/>
  <c r="CM9" i="3"/>
  <c r="NA12" i="3"/>
  <c r="KB11" i="3"/>
  <c r="FR13" i="3"/>
  <c r="N15" i="3"/>
  <c r="CT10" i="3"/>
  <c r="AF13" i="3"/>
  <c r="AZ14" i="3"/>
  <c r="BP15" i="3"/>
  <c r="LW15" i="3"/>
  <c r="CH9" i="3"/>
  <c r="LO11" i="3"/>
  <c r="JW12" i="3"/>
  <c r="ES13" i="3"/>
  <c r="MC13" i="3"/>
  <c r="FI14" i="3"/>
  <c r="MS14" i="3"/>
  <c r="FY15" i="3"/>
  <c r="E16" i="3"/>
  <c r="FP16" i="3"/>
  <c r="KV16" i="3"/>
  <c r="AR17" i="3"/>
  <c r="FT17" i="3"/>
  <c r="JT17" i="3"/>
  <c r="AJ18" i="3"/>
  <c r="CJ18" i="3"/>
  <c r="EF18" i="3"/>
  <c r="GB18" i="3"/>
  <c r="MY7" i="3"/>
  <c r="CI10" i="3"/>
  <c r="HW11" i="3"/>
  <c r="DT12" i="3"/>
  <c r="LD12" i="3"/>
  <c r="DD13" i="3"/>
  <c r="IB13" i="3"/>
  <c r="MZ13" i="3"/>
  <c r="DT14" i="3"/>
  <c r="IR14" i="3"/>
  <c r="L15" i="3"/>
  <c r="EJ15" i="3"/>
  <c r="JH15" i="3"/>
  <c r="AB16" i="3"/>
  <c r="EH16" i="3"/>
  <c r="GT16" i="3"/>
  <c r="JF16" i="3"/>
  <c r="LR16" i="3"/>
  <c r="Z17" i="3"/>
  <c r="CL17" i="3"/>
  <c r="EX17" i="3"/>
  <c r="HJ17" i="3"/>
  <c r="JV17" i="3"/>
  <c r="MH17" i="3"/>
  <c r="AP18" i="3"/>
  <c r="DB18" i="3"/>
  <c r="FN18" i="3"/>
  <c r="HV18" i="3"/>
  <c r="JR18" i="3"/>
  <c r="LN18" i="3"/>
  <c r="F19" i="3"/>
  <c r="BB19" i="3"/>
  <c r="CX19" i="3"/>
  <c r="ET19" i="3"/>
  <c r="GP19" i="3"/>
  <c r="IL19" i="3"/>
  <c r="KH19" i="3"/>
  <c r="MD19" i="3"/>
  <c r="V20" i="3"/>
  <c r="BR20" i="3"/>
  <c r="DN20" i="3"/>
  <c r="FJ20" i="3"/>
  <c r="HF20" i="3"/>
  <c r="JB20" i="3"/>
  <c r="KX20" i="3"/>
  <c r="MT20" i="3"/>
  <c r="AL21" i="3"/>
  <c r="CH21" i="3"/>
  <c r="ED21" i="3"/>
  <c r="FZ21" i="3"/>
  <c r="HV21" i="3"/>
  <c r="JR21" i="3"/>
  <c r="LN21" i="3"/>
  <c r="F22" i="3"/>
  <c r="BB22" i="3"/>
  <c r="CX22" i="3"/>
  <c r="ET22" i="3"/>
  <c r="MD8" i="3"/>
  <c r="FV10" i="3"/>
  <c r="KD11" i="3"/>
  <c r="FC12" i="3"/>
  <c r="MM12" i="3"/>
  <c r="EA13" i="3"/>
  <c r="IY13" i="3"/>
  <c r="S14" i="3"/>
  <c r="EQ14" i="3"/>
  <c r="JO14" i="3"/>
  <c r="AI15" i="3"/>
  <c r="FG15" i="3"/>
  <c r="KE15" i="3"/>
  <c r="AY16" i="3"/>
  <c r="ET16" i="3"/>
  <c r="HF16" i="3"/>
  <c r="JR16" i="3"/>
  <c r="MD16" i="3"/>
  <c r="AL17" i="3"/>
  <c r="CX17" i="3"/>
  <c r="FJ17" i="3"/>
  <c r="HV17" i="3"/>
  <c r="KH17" i="3"/>
  <c r="MT17" i="3"/>
  <c r="BB18" i="3"/>
  <c r="DN18" i="3"/>
  <c r="FZ18" i="3"/>
  <c r="IE18" i="3"/>
  <c r="KA18" i="3"/>
  <c r="LW18" i="3"/>
  <c r="O19" i="3"/>
  <c r="BK19" i="3"/>
  <c r="DG19" i="3"/>
  <c r="FC19" i="3"/>
  <c r="GY19" i="3"/>
  <c r="IU19" i="3"/>
  <c r="KQ19" i="3"/>
  <c r="MM19" i="3"/>
  <c r="AE20" i="3"/>
  <c r="CA20" i="3"/>
  <c r="DW20" i="3"/>
  <c r="FS20" i="3"/>
  <c r="HO20" i="3"/>
  <c r="JK20" i="3"/>
  <c r="LG20" i="3"/>
  <c r="NC20" i="3"/>
  <c r="AU21" i="3"/>
  <c r="CQ21" i="3"/>
  <c r="EM21" i="3"/>
  <c r="GI21" i="3"/>
  <c r="IE21" i="3"/>
  <c r="KA21" i="3"/>
  <c r="LW21" i="3"/>
  <c r="O22" i="3"/>
  <c r="BK22" i="3"/>
  <c r="DG22" i="3"/>
  <c r="FC22" i="3"/>
  <c r="BN10" i="3"/>
  <c r="DL12" i="3"/>
  <c r="CY13" i="3"/>
  <c r="MU13" i="3"/>
  <c r="IM14" i="3"/>
  <c r="EE15" i="3"/>
  <c r="W16" i="3"/>
  <c r="GQ16" i="3"/>
  <c r="LO16" i="3"/>
  <c r="CI17" i="3"/>
  <c r="HG17" i="3"/>
  <c r="ME17" i="3"/>
  <c r="CY18" i="3"/>
  <c r="HT18" i="3"/>
  <c r="LL18" i="3"/>
  <c r="AZ19" i="3"/>
  <c r="ER19" i="3"/>
  <c r="IJ19" i="3"/>
  <c r="MB19" i="3"/>
  <c r="BP20" i="3"/>
  <c r="FH20" i="3"/>
  <c r="IZ20" i="3"/>
  <c r="MR20" i="3"/>
  <c r="CF21" i="3"/>
  <c r="FX21" i="3"/>
  <c r="JP21" i="3"/>
  <c r="D22" i="3"/>
  <c r="CV22" i="3"/>
  <c r="LN7" i="3"/>
  <c r="LF8" i="3"/>
  <c r="AV12" i="3"/>
  <c r="JJ13" i="3"/>
  <c r="DF15" i="3"/>
  <c r="GQ11" i="3"/>
  <c r="CV13" i="3"/>
  <c r="DL14" i="3"/>
  <c r="EB15" i="3"/>
  <c r="Y16" i="3"/>
  <c r="ME9" i="3"/>
  <c r="BN12" i="3"/>
  <c r="MY12" i="3"/>
  <c r="GU13" i="3"/>
  <c r="AA14" i="3"/>
  <c r="HK14" i="3"/>
  <c r="AQ15" i="3"/>
  <c r="IA15" i="3"/>
  <c r="BG16" i="3"/>
  <c r="HD16" i="3"/>
  <c r="LD16" i="3"/>
  <c r="CB17" i="3"/>
  <c r="GB17" i="3"/>
  <c r="KV17" i="3"/>
  <c r="AV18" i="3"/>
  <c r="CR18" i="3"/>
  <c r="EN18" i="3"/>
  <c r="GJ18" i="3"/>
  <c r="LV8" i="3"/>
  <c r="FP10" i="3"/>
  <c r="JZ11" i="3"/>
  <c r="EZ12" i="3"/>
  <c r="MJ12" i="3"/>
  <c r="DY13" i="3"/>
  <c r="IW13" i="3"/>
  <c r="Q14" i="3"/>
  <c r="EO14" i="3"/>
  <c r="JM14" i="3"/>
  <c r="AG15" i="3"/>
  <c r="FE15" i="3"/>
  <c r="KC15" i="3"/>
  <c r="AW16" i="3"/>
  <c r="ES16" i="3"/>
  <c r="HE16" i="3"/>
  <c r="JQ16" i="3"/>
  <c r="MC16" i="3"/>
  <c r="AK17" i="3"/>
  <c r="CW17" i="3"/>
  <c r="FI17" i="3"/>
  <c r="HU17" i="3"/>
  <c r="KG17" i="3"/>
  <c r="MS17" i="3"/>
  <c r="BA18" i="3"/>
  <c r="DM18" i="3"/>
  <c r="FY18" i="3"/>
  <c r="ID18" i="3"/>
  <c r="JZ18" i="3"/>
  <c r="LV18" i="3"/>
  <c r="N19" i="3"/>
  <c r="BJ19" i="3"/>
  <c r="DF19" i="3"/>
  <c r="FB19" i="3"/>
  <c r="GX19" i="3"/>
  <c r="IT19" i="3"/>
  <c r="KP19" i="3"/>
  <c r="ML19" i="3"/>
  <c r="AD20" i="3"/>
  <c r="BZ20" i="3"/>
  <c r="DV20" i="3"/>
  <c r="FR20" i="3"/>
  <c r="HN20" i="3"/>
  <c r="JJ20" i="3"/>
  <c r="LF20" i="3"/>
  <c r="NB20" i="3"/>
  <c r="AT21" i="3"/>
  <c r="CP21" i="3"/>
  <c r="EL21" i="3"/>
  <c r="GH21" i="3"/>
  <c r="ID21" i="3"/>
  <c r="JZ21" i="3"/>
  <c r="LV21" i="3"/>
  <c r="N22" i="3"/>
  <c r="BJ22" i="3"/>
  <c r="DF22" i="3"/>
  <c r="FB22" i="3"/>
  <c r="CX9" i="3"/>
  <c r="JC10" i="3"/>
  <c r="LT11" i="3"/>
  <c r="GI12" i="3"/>
  <c r="O13" i="3"/>
  <c r="EV13" i="3"/>
  <c r="JT13" i="3"/>
  <c r="AN14" i="3"/>
  <c r="FL14" i="3"/>
  <c r="KJ14" i="3"/>
  <c r="BD15" i="3"/>
  <c r="GB15" i="3"/>
  <c r="KZ15" i="3"/>
  <c r="BT16" i="3"/>
  <c r="FE16" i="3"/>
  <c r="HQ16" i="3"/>
  <c r="KC16" i="3"/>
  <c r="MO16" i="3"/>
  <c r="AW17" i="3"/>
  <c r="DI17" i="3"/>
  <c r="FU17" i="3"/>
  <c r="IG17" i="3"/>
  <c r="KS17" i="3"/>
  <c r="A18" i="3"/>
  <c r="BM18" i="3"/>
  <c r="DY18" i="3"/>
  <c r="GK18" i="3"/>
  <c r="IM18" i="3"/>
  <c r="KI18" i="3"/>
  <c r="ME18" i="3"/>
  <c r="W19" i="3"/>
  <c r="BS19" i="3"/>
  <c r="DO19" i="3"/>
  <c r="FK19" i="3"/>
  <c r="HG19" i="3"/>
  <c r="JC19" i="3"/>
  <c r="KY19" i="3"/>
  <c r="MU19" i="3"/>
  <c r="AM20" i="3"/>
  <c r="CI20" i="3"/>
  <c r="EE20" i="3"/>
  <c r="GA20" i="3"/>
  <c r="HW20" i="3"/>
  <c r="JS20" i="3"/>
  <c r="LO20" i="3"/>
  <c r="G21" i="3"/>
  <c r="BC21" i="3"/>
  <c r="CY21" i="3"/>
  <c r="EU21" i="3"/>
  <c r="GQ21" i="3"/>
  <c r="IM21" i="3"/>
  <c r="KI21" i="3"/>
  <c r="ME21" i="3"/>
  <c r="W22" i="3"/>
  <c r="BS22" i="3"/>
  <c r="DO22" i="3"/>
  <c r="FK22" i="3"/>
  <c r="IB10" i="3"/>
  <c r="FX12" i="3"/>
  <c r="EO13" i="3"/>
  <c r="AG14" i="3"/>
  <c r="KC14" i="3"/>
  <c r="FU15" i="3"/>
  <c r="BM16" i="3"/>
  <c r="HM16" i="3"/>
  <c r="MK16" i="3"/>
  <c r="DE17" i="3"/>
  <c r="IC17" i="3"/>
  <c r="NA17" i="3"/>
  <c r="DU18" i="3"/>
  <c r="IJ18" i="3"/>
  <c r="MB18" i="3"/>
  <c r="BP19" i="3"/>
  <c r="FH19" i="3"/>
  <c r="IZ19" i="3"/>
  <c r="MR19" i="3"/>
  <c r="CF20" i="3"/>
  <c r="FX20" i="3"/>
  <c r="JP20" i="3"/>
  <c r="D21" i="3"/>
  <c r="CV21" i="3"/>
  <c r="GN21" i="3"/>
  <c r="KF21" i="3"/>
  <c r="T22" i="3"/>
  <c r="DL22" i="3"/>
  <c r="GL22" i="3"/>
  <c r="IH22" i="3"/>
  <c r="KD22" i="3"/>
  <c r="LZ22" i="3"/>
  <c r="R23" i="3"/>
  <c r="BN23" i="3"/>
  <c r="DJ23" i="3"/>
  <c r="FF23" i="3"/>
  <c r="HB23" i="3"/>
  <c r="IX23" i="3"/>
  <c r="KT23" i="3"/>
  <c r="MP23" i="3"/>
  <c r="AH24" i="3"/>
  <c r="CD24" i="3"/>
  <c r="DZ24" i="3"/>
  <c r="FV24" i="3"/>
  <c r="HR24" i="3"/>
  <c r="JN24" i="3"/>
  <c r="LJ24" i="3"/>
  <c r="B25" i="3"/>
  <c r="AX25" i="3"/>
  <c r="CT25" i="3"/>
  <c r="EP25" i="3"/>
  <c r="GL25" i="3"/>
  <c r="IH25" i="3"/>
  <c r="KD25" i="3"/>
  <c r="LZ25" i="3"/>
  <c r="R26" i="3"/>
  <c r="BN26" i="3"/>
  <c r="DJ26" i="3"/>
  <c r="FF26" i="3"/>
  <c r="HB26" i="3"/>
  <c r="IX26" i="3"/>
  <c r="KT26" i="3"/>
  <c r="MP26" i="3"/>
  <c r="AH27" i="3"/>
  <c r="CD27" i="3"/>
  <c r="DZ27" i="3"/>
  <c r="FV27" i="3"/>
  <c r="HR27" i="3"/>
  <c r="JN27" i="3"/>
  <c r="LJ27" i="3"/>
  <c r="B28" i="3"/>
  <c r="AX28" i="3"/>
  <c r="CT28" i="3"/>
  <c r="EP28" i="3"/>
  <c r="GL28" i="3"/>
  <c r="IH28" i="3"/>
  <c r="BK14" i="3"/>
  <c r="GN16" i="3"/>
  <c r="EJ12" i="3"/>
  <c r="GY16" i="3"/>
  <c r="HZ18" i="3"/>
  <c r="BV20" i="3"/>
  <c r="JV21" i="3"/>
  <c r="JI13" i="3"/>
  <c r="AQ17" i="3"/>
  <c r="S19" i="3"/>
  <c r="HS20" i="3"/>
  <c r="BO22" i="3"/>
  <c r="CT17" i="3"/>
  <c r="JH20" i="3"/>
  <c r="JZ22" i="3"/>
  <c r="GX23" i="3"/>
  <c r="DV24" i="3"/>
  <c r="AT25" i="3"/>
  <c r="LV25" i="3"/>
  <c r="IT26" i="3"/>
  <c r="FR27" i="3"/>
  <c r="CP28" i="3"/>
  <c r="JJ28" i="3"/>
  <c r="LF28" i="3"/>
  <c r="NB28" i="3"/>
  <c r="AT29" i="3"/>
  <c r="CP29" i="3"/>
  <c r="EL29" i="3"/>
  <c r="GH29" i="3"/>
  <c r="ID29" i="3"/>
  <c r="JZ29" i="3"/>
  <c r="LV29" i="3"/>
  <c r="N30" i="3"/>
  <c r="BJ30" i="3"/>
  <c r="DF30" i="3"/>
  <c r="FB30" i="3"/>
  <c r="GX30" i="3"/>
  <c r="IT30" i="3"/>
  <c r="KP30" i="3"/>
  <c r="ML30" i="3"/>
  <c r="AD31" i="3"/>
  <c r="BZ31" i="3"/>
  <c r="DV31" i="3"/>
  <c r="FR31" i="3"/>
  <c r="HN31" i="3"/>
  <c r="JJ31" i="3"/>
  <c r="LF31" i="3"/>
  <c r="NB31" i="3"/>
  <c r="AT32" i="3"/>
  <c r="CP32" i="3"/>
  <c r="EL32" i="3"/>
  <c r="GH32" i="3"/>
  <c r="ID32" i="3"/>
  <c r="JZ32" i="3"/>
  <c r="LV32" i="3"/>
  <c r="N33" i="3"/>
  <c r="BJ33" i="3"/>
  <c r="DF33" i="3"/>
  <c r="FB33" i="3"/>
  <c r="BS10" i="3"/>
  <c r="DO12" i="3"/>
  <c r="CZ13" i="3"/>
  <c r="MV13" i="3"/>
  <c r="IN14" i="3"/>
  <c r="EF15" i="3"/>
  <c r="X16" i="3"/>
  <c r="GS16" i="3"/>
  <c r="LQ16" i="3"/>
  <c r="CK17" i="3"/>
  <c r="HI17" i="3"/>
  <c r="MG17" i="3"/>
  <c r="DA18" i="3"/>
  <c r="HU18" i="3"/>
  <c r="LM18" i="3"/>
  <c r="BA19" i="3"/>
  <c r="ES19" i="3"/>
  <c r="IK19" i="3"/>
  <c r="MC19" i="3"/>
  <c r="BQ20" i="3"/>
  <c r="FI20" i="3"/>
  <c r="JA20" i="3"/>
  <c r="MS20" i="3"/>
  <c r="CG21" i="3"/>
  <c r="FY21" i="3"/>
  <c r="JQ21" i="3"/>
  <c r="E22" i="3"/>
  <c r="CW22" i="3"/>
  <c r="GE22" i="3"/>
  <c r="IA22" i="3"/>
  <c r="JW22" i="3"/>
  <c r="LS22" i="3"/>
  <c r="K23" i="3"/>
  <c r="BG23" i="3"/>
  <c r="DC23" i="3"/>
  <c r="EY23" i="3"/>
  <c r="GU23" i="3"/>
  <c r="IQ23" i="3"/>
  <c r="KM23" i="3"/>
  <c r="MI23" i="3"/>
  <c r="AA24" i="3"/>
  <c r="BW24" i="3"/>
  <c r="DS24" i="3"/>
  <c r="FO24" i="3"/>
  <c r="HK24" i="3"/>
  <c r="JG24" i="3"/>
  <c r="LC24" i="3"/>
  <c r="MY24" i="3"/>
  <c r="AQ25" i="3"/>
  <c r="CM25" i="3"/>
  <c r="EI25" i="3"/>
  <c r="GE25" i="3"/>
  <c r="IA25" i="3"/>
  <c r="JW25" i="3"/>
  <c r="LS25" i="3"/>
  <c r="K26" i="3"/>
  <c r="BG26" i="3"/>
  <c r="DC26" i="3"/>
  <c r="EY26" i="3"/>
  <c r="GU26" i="3"/>
  <c r="IQ26" i="3"/>
  <c r="KM26" i="3"/>
  <c r="MI26" i="3"/>
  <c r="AA27" i="3"/>
  <c r="BW27" i="3"/>
  <c r="DS27" i="3"/>
  <c r="FO27" i="3"/>
  <c r="HK27" i="3"/>
  <c r="JG27" i="3"/>
  <c r="LC27" i="3"/>
  <c r="MY27" i="3"/>
  <c r="AQ28" i="3"/>
  <c r="CM28" i="3"/>
  <c r="EI28" i="3"/>
  <c r="GE28" i="3"/>
  <c r="IA28" i="3"/>
  <c r="JW28" i="3"/>
  <c r="LS28" i="3"/>
  <c r="K29" i="3"/>
  <c r="BG29" i="3"/>
  <c r="DC29" i="3"/>
  <c r="EY29" i="3"/>
  <c r="GU29" i="3"/>
  <c r="IQ29" i="3"/>
  <c r="KM29" i="3"/>
  <c r="MI29" i="3"/>
  <c r="AA30" i="3"/>
  <c r="BW30" i="3"/>
  <c r="DS30" i="3"/>
  <c r="FO30" i="3"/>
  <c r="HK30" i="3"/>
  <c r="JG30" i="3"/>
  <c r="LC30" i="3"/>
  <c r="MY30" i="3"/>
  <c r="AQ31" i="3"/>
  <c r="CM31" i="3"/>
  <c r="EI31" i="3"/>
  <c r="GE31" i="3"/>
  <c r="IA31" i="3"/>
  <c r="JW31" i="3"/>
  <c r="LS31" i="3"/>
  <c r="K32" i="3"/>
  <c r="BG32" i="3"/>
  <c r="DC32" i="3"/>
  <c r="EY32" i="3"/>
  <c r="GU32" i="3"/>
  <c r="IQ32" i="3"/>
  <c r="KM32" i="3"/>
  <c r="MI32" i="3"/>
  <c r="AA33" i="3"/>
  <c r="BW33" i="3"/>
  <c r="DS33" i="3"/>
  <c r="FO33" i="3"/>
  <c r="HK33" i="3"/>
  <c r="CA15" i="3"/>
  <c r="KZ16" i="3"/>
  <c r="LT12" i="3"/>
  <c r="JK16" i="3"/>
  <c r="JV18" i="3"/>
  <c r="DR20" i="3"/>
  <c r="LR21" i="3"/>
  <c r="AC14" i="3"/>
  <c r="DC17" i="3"/>
  <c r="BO19" i="3"/>
  <c r="JO20" i="3"/>
  <c r="DK22" i="3"/>
  <c r="HR17" i="3"/>
  <c r="MZ20" i="3"/>
  <c r="LR22" i="3"/>
  <c r="IP23" i="3"/>
  <c r="FN24" i="3"/>
  <c r="CL25" i="3"/>
  <c r="J26" i="3"/>
  <c r="KL26" i="3"/>
  <c r="HJ27" i="3"/>
  <c r="EH28" i="3"/>
  <c r="JN28" i="3"/>
  <c r="LJ28" i="3"/>
  <c r="B29" i="3"/>
  <c r="AX29" i="3"/>
  <c r="CT29" i="3"/>
  <c r="EP29" i="3"/>
  <c r="GL29" i="3"/>
  <c r="IH29" i="3"/>
  <c r="KD29" i="3"/>
  <c r="LZ29" i="3"/>
  <c r="R30" i="3"/>
  <c r="BN30" i="3"/>
  <c r="DJ30" i="3"/>
  <c r="FF30" i="3"/>
  <c r="HB30" i="3"/>
  <c r="IX30" i="3"/>
  <c r="KT30" i="3"/>
  <c r="MP30" i="3"/>
  <c r="AH31" i="3"/>
  <c r="CD31" i="3"/>
  <c r="DZ31" i="3"/>
  <c r="FV31" i="3"/>
  <c r="HR31" i="3"/>
  <c r="JN31" i="3"/>
  <c r="LJ31" i="3"/>
  <c r="B32" i="3"/>
  <c r="AX32" i="3"/>
  <c r="CT32" i="3"/>
  <c r="EP32" i="3"/>
  <c r="GL32" i="3"/>
  <c r="IH32" i="3"/>
  <c r="KD32" i="3"/>
  <c r="LZ32" i="3"/>
  <c r="R33" i="3"/>
  <c r="BN33" i="3"/>
  <c r="DJ33" i="3"/>
  <c r="FF33" i="3"/>
  <c r="EZ10" i="3"/>
  <c r="EU12" i="3"/>
  <c r="DU13" i="3"/>
  <c r="M14" i="3"/>
  <c r="JI14" i="3"/>
  <c r="FA15" i="3"/>
  <c r="AS16" i="3"/>
  <c r="HC16" i="3"/>
  <c r="MA16" i="3"/>
  <c r="CU17" i="3"/>
  <c r="HS17" i="3"/>
  <c r="MQ17" i="3"/>
  <c r="DK18" i="3"/>
  <c r="IC18" i="3"/>
  <c r="LU18" i="3"/>
  <c r="BI19" i="3"/>
  <c r="FA19" i="3"/>
  <c r="IS19" i="3"/>
  <c r="MK19" i="3"/>
  <c r="BY20" i="3"/>
  <c r="FQ20" i="3"/>
  <c r="JI20" i="3"/>
  <c r="NA20" i="3"/>
  <c r="CO21" i="3"/>
  <c r="GG21" i="3"/>
  <c r="JY21" i="3"/>
  <c r="M22" i="3"/>
  <c r="DE22" i="3"/>
  <c r="GI22" i="3"/>
  <c r="IE22" i="3"/>
  <c r="KA22" i="3"/>
  <c r="LW22" i="3"/>
  <c r="O23" i="3"/>
  <c r="BK23" i="3"/>
  <c r="DG23" i="3"/>
  <c r="FC23" i="3"/>
  <c r="GY23" i="3"/>
  <c r="IU23" i="3"/>
  <c r="KQ23" i="3"/>
  <c r="MM23" i="3"/>
  <c r="AE24" i="3"/>
  <c r="CA24" i="3"/>
  <c r="DW24" i="3"/>
  <c r="FS24" i="3"/>
  <c r="HO24" i="3"/>
  <c r="JK24" i="3"/>
  <c r="LG24" i="3"/>
  <c r="NC24" i="3"/>
  <c r="AU25" i="3"/>
  <c r="CQ25" i="3"/>
  <c r="EM25" i="3"/>
  <c r="GI25" i="3"/>
  <c r="IE25" i="3"/>
  <c r="KA25" i="3"/>
  <c r="LW25" i="3"/>
  <c r="O26" i="3"/>
  <c r="BK26" i="3"/>
  <c r="DG26" i="3"/>
  <c r="FC26" i="3"/>
  <c r="GY26" i="3"/>
  <c r="IU26" i="3"/>
  <c r="KQ26" i="3"/>
  <c r="MM26" i="3"/>
  <c r="AE27" i="3"/>
  <c r="CA27" i="3"/>
  <c r="DW27" i="3"/>
  <c r="FS27" i="3"/>
  <c r="HO27" i="3"/>
  <c r="JK27" i="3"/>
  <c r="LG27" i="3"/>
  <c r="NC27" i="3"/>
  <c r="AU28" i="3"/>
  <c r="CQ28" i="3"/>
  <c r="EM28" i="3"/>
  <c r="GI28" i="3"/>
  <c r="IE28" i="3"/>
  <c r="KA28" i="3"/>
  <c r="LW28" i="3"/>
  <c r="O29" i="3"/>
  <c r="BK29" i="3"/>
  <c r="DG29" i="3"/>
  <c r="FC29" i="3"/>
  <c r="GY29" i="3"/>
  <c r="IU29" i="3"/>
  <c r="KQ29" i="3"/>
  <c r="MM29" i="3"/>
  <c r="AE30" i="3"/>
  <c r="CA30" i="3"/>
  <c r="DW30" i="3"/>
  <c r="FS30" i="3"/>
  <c r="HO30" i="3"/>
  <c r="JK30" i="3"/>
  <c r="LG30" i="3"/>
  <c r="NC30" i="3"/>
  <c r="AU31" i="3"/>
  <c r="CQ31" i="3"/>
  <c r="EM31" i="3"/>
  <c r="GI31" i="3"/>
  <c r="IE31" i="3"/>
  <c r="KA31" i="3"/>
  <c r="LW31" i="3"/>
  <c r="O32" i="3"/>
  <c r="BK32" i="3"/>
  <c r="DG32" i="3"/>
  <c r="FC32" i="3"/>
  <c r="GY32" i="3"/>
  <c r="IU32" i="3"/>
  <c r="KQ32" i="3"/>
  <c r="MM32" i="3"/>
  <c r="AE33" i="3"/>
  <c r="CA33" i="3"/>
  <c r="DW33" i="3"/>
  <c r="FS33" i="3"/>
  <c r="HO33" i="3"/>
  <c r="T16" i="3"/>
  <c r="BP17" i="3"/>
  <c r="DO13" i="3"/>
  <c r="LW16" i="3"/>
  <c r="LR18" i="3"/>
  <c r="FN20" i="3"/>
  <c r="J22" i="3"/>
  <c r="FA14" i="3"/>
  <c r="FO17" i="3"/>
  <c r="DK19" i="3"/>
  <c r="LK20" i="3"/>
  <c r="FG22" i="3"/>
  <c r="MP17" i="3"/>
  <c r="CN21" i="3"/>
  <c r="LV22" i="3"/>
  <c r="IT23" i="3"/>
  <c r="FR24" i="3"/>
  <c r="CP25" i="3"/>
  <c r="N26" i="3"/>
  <c r="KP26" i="3"/>
  <c r="HN27" i="3"/>
  <c r="EL28" i="3"/>
  <c r="JR28" i="3"/>
  <c r="LN28" i="3"/>
  <c r="F29" i="3"/>
  <c r="BB29" i="3"/>
  <c r="CX29" i="3"/>
  <c r="ET29" i="3"/>
  <c r="GP29" i="3"/>
  <c r="IL29" i="3"/>
  <c r="KH29" i="3"/>
  <c r="MD29" i="3"/>
  <c r="V30" i="3"/>
  <c r="BR30" i="3"/>
  <c r="DN30" i="3"/>
  <c r="FJ30" i="3"/>
  <c r="HF30" i="3"/>
  <c r="JB30" i="3"/>
  <c r="KX30" i="3"/>
  <c r="MT30" i="3"/>
  <c r="AL31" i="3"/>
  <c r="CH31" i="3"/>
  <c r="ED31" i="3"/>
  <c r="FZ31" i="3"/>
  <c r="HV31" i="3"/>
  <c r="JR31" i="3"/>
  <c r="LN31" i="3"/>
  <c r="F32" i="3"/>
  <c r="BB32" i="3"/>
  <c r="CX32" i="3"/>
  <c r="ET32" i="3"/>
  <c r="GP32" i="3"/>
  <c r="IL32" i="3"/>
  <c r="KH32" i="3"/>
  <c r="MD32" i="3"/>
  <c r="V33" i="3"/>
  <c r="BR33" i="3"/>
  <c r="DN33" i="3"/>
  <c r="FJ33" i="3"/>
  <c r="IH10" i="3"/>
  <c r="GA12" i="3"/>
  <c r="EQ13" i="3"/>
  <c r="AI14" i="3"/>
  <c r="KE14" i="3"/>
  <c r="FW15" i="3"/>
  <c r="BO16" i="3"/>
  <c r="HN16" i="3"/>
  <c r="ML16" i="3"/>
  <c r="DF17" i="3"/>
  <c r="ID17" i="3"/>
  <c r="NB17" i="3"/>
  <c r="DV18" i="3"/>
  <c r="IK18" i="3"/>
  <c r="MC18" i="3"/>
  <c r="BQ19" i="3"/>
  <c r="FI19" i="3"/>
  <c r="JA19" i="3"/>
  <c r="MS19" i="3"/>
  <c r="CG20" i="3"/>
  <c r="FY20" i="3"/>
  <c r="JQ20" i="3"/>
  <c r="E21" i="3"/>
  <c r="CW21" i="3"/>
  <c r="GO21" i="3"/>
  <c r="KG21" i="3"/>
  <c r="U22" i="3"/>
  <c r="DM22" i="3"/>
  <c r="GM22" i="3"/>
  <c r="II22" i="3"/>
  <c r="KE22" i="3"/>
  <c r="MA22" i="3"/>
  <c r="S23" i="3"/>
  <c r="BO23" i="3"/>
  <c r="DK23" i="3"/>
  <c r="FG23" i="3"/>
  <c r="HC23" i="3"/>
  <c r="IY23" i="3"/>
  <c r="KU23" i="3"/>
  <c r="MQ23" i="3"/>
  <c r="AI24" i="3"/>
  <c r="CE24" i="3"/>
  <c r="EA24" i="3"/>
  <c r="FW24" i="3"/>
  <c r="HS24" i="3"/>
  <c r="JO24" i="3"/>
  <c r="LK24" i="3"/>
  <c r="C25" i="3"/>
  <c r="AY25" i="3"/>
  <c r="CU25" i="3"/>
  <c r="EQ25" i="3"/>
  <c r="GM25" i="3"/>
  <c r="II25" i="3"/>
  <c r="KE25" i="3"/>
  <c r="MA25" i="3"/>
  <c r="S26" i="3"/>
  <c r="BO26" i="3"/>
  <c r="DK26" i="3"/>
  <c r="FG26" i="3"/>
  <c r="HC26" i="3"/>
  <c r="IY26" i="3"/>
  <c r="KU26" i="3"/>
  <c r="MQ26" i="3"/>
  <c r="AI27" i="3"/>
  <c r="CE27" i="3"/>
  <c r="EA27" i="3"/>
  <c r="FW27" i="3"/>
  <c r="HS27" i="3"/>
  <c r="JO27" i="3"/>
  <c r="LK27" i="3"/>
  <c r="C28" i="3"/>
  <c r="AY28" i="3"/>
  <c r="CU28" i="3"/>
  <c r="EQ28" i="3"/>
  <c r="GM28" i="3"/>
  <c r="II28" i="3"/>
  <c r="KE28" i="3"/>
  <c r="MA28" i="3"/>
  <c r="S29" i="3"/>
  <c r="BO29" i="3"/>
  <c r="DK29" i="3"/>
  <c r="FG29" i="3"/>
  <c r="HC29" i="3"/>
  <c r="IY29" i="3"/>
  <c r="KU29" i="3"/>
  <c r="MQ29" i="3"/>
  <c r="AI30" i="3"/>
  <c r="CE30" i="3"/>
  <c r="EA30" i="3"/>
  <c r="FW30" i="3"/>
  <c r="HS30" i="3"/>
  <c r="JO30" i="3"/>
  <c r="LK30" i="3"/>
  <c r="C31" i="3"/>
  <c r="AY31" i="3"/>
  <c r="CU31" i="3"/>
  <c r="EQ31" i="3"/>
  <c r="GM31" i="3"/>
  <c r="II31" i="3"/>
  <c r="KE31" i="3"/>
  <c r="MA31" i="3"/>
  <c r="S32" i="3"/>
  <c r="BO32" i="3"/>
  <c r="DK32" i="3"/>
  <c r="FG32" i="3"/>
  <c r="HC32" i="3"/>
  <c r="IY32" i="3"/>
  <c r="KU32" i="3"/>
  <c r="MQ32" i="3"/>
  <c r="AI33" i="3"/>
  <c r="CE33" i="3"/>
  <c r="LJ9" i="3"/>
  <c r="FX17" i="3"/>
  <c r="IM13" i="3"/>
  <c r="AE17" i="3"/>
  <c r="J19" i="3"/>
  <c r="HJ20" i="3"/>
  <c r="BF22" i="3"/>
  <c r="JY14" i="3"/>
  <c r="IA17" i="3"/>
  <c r="FG19" i="3"/>
  <c r="C21" i="3"/>
  <c r="EU10" i="3"/>
  <c r="DJ18" i="3"/>
  <c r="GF21" i="3"/>
  <c r="J23" i="3"/>
  <c r="KL23" i="3"/>
  <c r="HJ24" i="3"/>
  <c r="EH25" i="3"/>
  <c r="BF26" i="3"/>
  <c r="MH26" i="3"/>
  <c r="JF27" i="3"/>
  <c r="GD28" i="3"/>
  <c r="JV28" i="3"/>
  <c r="LR28" i="3"/>
  <c r="J29" i="3"/>
  <c r="BF29" i="3"/>
  <c r="DB29" i="3"/>
  <c r="EX29" i="3"/>
  <c r="GT29" i="3"/>
  <c r="IP29" i="3"/>
  <c r="KL29" i="3"/>
  <c r="MH29" i="3"/>
  <c r="Z30" i="3"/>
  <c r="BV30" i="3"/>
  <c r="DR30" i="3"/>
  <c r="FN30" i="3"/>
  <c r="HJ30" i="3"/>
  <c r="JF30" i="3"/>
  <c r="LB30" i="3"/>
  <c r="MX30" i="3"/>
  <c r="AP31" i="3"/>
  <c r="CL31" i="3"/>
  <c r="EH31" i="3"/>
  <c r="GD31" i="3"/>
  <c r="HZ31" i="3"/>
  <c r="JV31" i="3"/>
  <c r="LR31" i="3"/>
  <c r="J32" i="3"/>
  <c r="BF32" i="3"/>
  <c r="DB32" i="3"/>
  <c r="EX32" i="3"/>
  <c r="GT32" i="3"/>
  <c r="IP32" i="3"/>
  <c r="KL32" i="3"/>
  <c r="MH32" i="3"/>
  <c r="Z33" i="3"/>
  <c r="BV33" i="3"/>
  <c r="DR33" i="3"/>
  <c r="FN33" i="3"/>
  <c r="LO10" i="3"/>
  <c r="HG12" i="3"/>
  <c r="FL13" i="3"/>
  <c r="BD14" i="3"/>
  <c r="KZ14" i="3"/>
  <c r="GR15" i="3"/>
  <c r="CJ16" i="3"/>
  <c r="HY16" i="3"/>
  <c r="MW16" i="3"/>
  <c r="DQ17" i="3"/>
  <c r="IO17" i="3"/>
  <c r="I18" i="3"/>
  <c r="EG18" i="3"/>
  <c r="IS18" i="3"/>
  <c r="MK18" i="3"/>
  <c r="BY19" i="3"/>
  <c r="FQ19" i="3"/>
  <c r="JI19" i="3"/>
  <c r="NA19" i="3"/>
  <c r="CO20" i="3"/>
  <c r="GG20" i="3"/>
  <c r="JY20" i="3"/>
  <c r="M21" i="3"/>
  <c r="DE21" i="3"/>
  <c r="GW21" i="3"/>
  <c r="KO21" i="3"/>
  <c r="AC22" i="3"/>
  <c r="DU22" i="3"/>
  <c r="GQ22" i="3"/>
  <c r="IM22" i="3"/>
  <c r="KI22" i="3"/>
  <c r="ME22" i="3"/>
  <c r="W23" i="3"/>
  <c r="BS23" i="3"/>
  <c r="DO23" i="3"/>
  <c r="FK23" i="3"/>
  <c r="HG23" i="3"/>
  <c r="JC23" i="3"/>
  <c r="KY23" i="3"/>
  <c r="MU23" i="3"/>
  <c r="AM24" i="3"/>
  <c r="CI24" i="3"/>
  <c r="EE24" i="3"/>
  <c r="GA24" i="3"/>
  <c r="HW24" i="3"/>
  <c r="JS24" i="3"/>
  <c r="LO24" i="3"/>
  <c r="G25" i="3"/>
  <c r="BC25" i="3"/>
  <c r="CY25" i="3"/>
  <c r="EU25" i="3"/>
  <c r="GQ25" i="3"/>
  <c r="IM25" i="3"/>
  <c r="KI25" i="3"/>
  <c r="ME25" i="3"/>
  <c r="W26" i="3"/>
  <c r="BS26" i="3"/>
  <c r="DO26" i="3"/>
  <c r="FK26" i="3"/>
  <c r="HG26" i="3"/>
  <c r="JC26" i="3"/>
  <c r="KY26" i="3"/>
  <c r="MU26" i="3"/>
  <c r="AM27" i="3"/>
  <c r="CI27" i="3"/>
  <c r="EE27" i="3"/>
  <c r="GA27" i="3"/>
  <c r="HW27" i="3"/>
  <c r="JS27" i="3"/>
  <c r="LO27" i="3"/>
  <c r="G28" i="3"/>
  <c r="BC28" i="3"/>
  <c r="CY28" i="3"/>
  <c r="EU28" i="3"/>
  <c r="GQ28" i="3"/>
  <c r="IM28" i="3"/>
  <c r="KI28" i="3"/>
  <c r="ME28" i="3"/>
  <c r="W29" i="3"/>
  <c r="BS29" i="3"/>
  <c r="DO29" i="3"/>
  <c r="FK29" i="3"/>
  <c r="HG29" i="3"/>
  <c r="JC29" i="3"/>
  <c r="KY29" i="3"/>
  <c r="MU29" i="3"/>
  <c r="AM30" i="3"/>
  <c r="CI30" i="3"/>
  <c r="EE30" i="3"/>
  <c r="GA30" i="3"/>
  <c r="HW30" i="3"/>
  <c r="JS30" i="3"/>
  <c r="LO30" i="3"/>
  <c r="G31" i="3"/>
  <c r="BC31" i="3"/>
  <c r="CY31" i="3"/>
  <c r="EU31" i="3"/>
  <c r="GQ31" i="3"/>
  <c r="IM31" i="3"/>
  <c r="KI31" i="3"/>
  <c r="ME31" i="3"/>
  <c r="W32" i="3"/>
  <c r="BS32" i="3"/>
  <c r="DO32" i="3"/>
  <c r="FK32" i="3"/>
  <c r="HG32" i="3"/>
  <c r="JC32" i="3"/>
  <c r="KY32" i="3"/>
  <c r="MU32" i="3"/>
  <c r="AM33" i="3"/>
  <c r="CI33" i="3"/>
  <c r="W12" i="3"/>
  <c r="JX17" i="3"/>
  <c r="G14" i="3"/>
  <c r="CQ17" i="3"/>
  <c r="BF19" i="3"/>
  <c r="JF20" i="3"/>
  <c r="DB22" i="3"/>
  <c r="AS15" i="3"/>
  <c r="KM17" i="3"/>
  <c r="HC19" i="3"/>
  <c r="AY21" i="3"/>
  <c r="ER12" i="3"/>
  <c r="IB18" i="3"/>
  <c r="JX21" i="3"/>
  <c r="N23" i="3"/>
  <c r="KP23" i="3"/>
  <c r="HN24" i="3"/>
  <c r="EL25" i="3"/>
  <c r="BJ26" i="3"/>
  <c r="ML26" i="3"/>
  <c r="JJ27" i="3"/>
  <c r="GH28" i="3"/>
  <c r="JZ28" i="3"/>
  <c r="LV28" i="3"/>
  <c r="N29" i="3"/>
  <c r="BJ29" i="3"/>
  <c r="DF29" i="3"/>
  <c r="FB29" i="3"/>
  <c r="GX29" i="3"/>
  <c r="IT29" i="3"/>
  <c r="KP29" i="3"/>
  <c r="ML29" i="3"/>
  <c r="AD30" i="3"/>
  <c r="BZ30" i="3"/>
  <c r="DV30" i="3"/>
  <c r="FR30" i="3"/>
  <c r="HN30" i="3"/>
  <c r="JJ30" i="3"/>
  <c r="LF30" i="3"/>
  <c r="NB30" i="3"/>
  <c r="AT31" i="3"/>
  <c r="CP31" i="3"/>
  <c r="EL31" i="3"/>
  <c r="GH31" i="3"/>
  <c r="ID31" i="3"/>
  <c r="JZ31" i="3"/>
  <c r="LV31" i="3"/>
  <c r="N32" i="3"/>
  <c r="BJ32" i="3"/>
  <c r="DF32" i="3"/>
  <c r="FB32" i="3"/>
  <c r="GX32" i="3"/>
  <c r="IT32" i="3"/>
  <c r="KP32" i="3"/>
  <c r="ML32" i="3"/>
  <c r="AD33" i="3"/>
  <c r="BZ33" i="3"/>
  <c r="DV33" i="3"/>
  <c r="FR33" i="3"/>
  <c r="AR11" i="3"/>
  <c r="IM12" i="3"/>
  <c r="GG13" i="3"/>
  <c r="BY14" i="3"/>
  <c r="LU14" i="3"/>
  <c r="HM15" i="3"/>
  <c r="DB16" i="3"/>
  <c r="II16" i="3"/>
  <c r="C17" i="3"/>
  <c r="EA17" i="3"/>
  <c r="IY17" i="3"/>
  <c r="S18" i="3"/>
  <c r="EQ18" i="3"/>
  <c r="JA18" i="3"/>
  <c r="MS18" i="3"/>
  <c r="CG19" i="3"/>
  <c r="FY19" i="3"/>
  <c r="JQ19" i="3"/>
  <c r="E20" i="3"/>
  <c r="CW20" i="3"/>
  <c r="GO20" i="3"/>
  <c r="KG20" i="3"/>
  <c r="U21" i="3"/>
  <c r="DM21" i="3"/>
  <c r="HE21" i="3"/>
  <c r="KW21" i="3"/>
  <c r="AK22" i="3"/>
  <c r="EC22" i="3"/>
  <c r="GU22" i="3"/>
  <c r="IQ22" i="3"/>
  <c r="KM22" i="3"/>
  <c r="MI22" i="3"/>
  <c r="AA23" i="3"/>
  <c r="BW23" i="3"/>
  <c r="DS23" i="3"/>
  <c r="FO23" i="3"/>
  <c r="HK23" i="3"/>
  <c r="JG23" i="3"/>
  <c r="LC23" i="3"/>
  <c r="MY23" i="3"/>
  <c r="AQ24" i="3"/>
  <c r="CM24" i="3"/>
  <c r="EI24" i="3"/>
  <c r="GE24" i="3"/>
  <c r="IA24" i="3"/>
  <c r="JW24" i="3"/>
  <c r="LS24" i="3"/>
  <c r="K25" i="3"/>
  <c r="BG25" i="3"/>
  <c r="DC25" i="3"/>
  <c r="EY25" i="3"/>
  <c r="GU25" i="3"/>
  <c r="IQ25" i="3"/>
  <c r="KM25" i="3"/>
  <c r="MI25" i="3"/>
  <c r="AA26" i="3"/>
  <c r="BW26" i="3"/>
  <c r="DS26" i="3"/>
  <c r="FO26" i="3"/>
  <c r="HK26" i="3"/>
  <c r="JG26" i="3"/>
  <c r="LC26" i="3"/>
  <c r="MY26" i="3"/>
  <c r="AQ27" i="3"/>
  <c r="CM27" i="3"/>
  <c r="EI27" i="3"/>
  <c r="GE27" i="3"/>
  <c r="IA27" i="3"/>
  <c r="JW27" i="3"/>
  <c r="LS27" i="3"/>
  <c r="K28" i="3"/>
  <c r="BG28" i="3"/>
  <c r="DC28" i="3"/>
  <c r="EY28" i="3"/>
  <c r="GU28" i="3"/>
  <c r="IQ28" i="3"/>
  <c r="KM28" i="3"/>
  <c r="MI28" i="3"/>
  <c r="AA29" i="3"/>
  <c r="BW29" i="3"/>
  <c r="DS29" i="3"/>
  <c r="FO29" i="3"/>
  <c r="HK29" i="3"/>
  <c r="JG29" i="3"/>
  <c r="LC29" i="3"/>
  <c r="MY29" i="3"/>
  <c r="AQ30" i="3"/>
  <c r="CM30" i="3"/>
  <c r="EI30" i="3"/>
  <c r="GE30" i="3"/>
  <c r="IA30" i="3"/>
  <c r="JW30" i="3"/>
  <c r="LS30" i="3"/>
  <c r="K31" i="3"/>
  <c r="BG31" i="3"/>
  <c r="DC31" i="3"/>
  <c r="EY31" i="3"/>
  <c r="GU31" i="3"/>
  <c r="IQ31" i="3"/>
  <c r="KM31" i="3"/>
  <c r="MI31" i="3"/>
  <c r="AA32" i="3"/>
  <c r="BW32" i="3"/>
  <c r="DS32" i="3"/>
  <c r="FO32" i="3"/>
  <c r="HK32" i="3"/>
  <c r="JG32" i="3"/>
  <c r="LC32" i="3"/>
  <c r="MY32" i="3"/>
  <c r="AQ33" i="3"/>
  <c r="CM33" i="3"/>
  <c r="EG8" i="3"/>
  <c r="LS12" i="3"/>
  <c r="AR18" i="3"/>
  <c r="EE14" i="3"/>
  <c r="FC17" i="3"/>
  <c r="DB19" i="3"/>
  <c r="LB20" i="3"/>
  <c r="EX22" i="3"/>
  <c r="FQ15" i="3"/>
  <c r="MY17" i="3"/>
  <c r="IY19" i="3"/>
  <c r="CU21" i="3"/>
  <c r="DT13" i="3"/>
  <c r="LT18" i="3"/>
  <c r="L22" i="3"/>
  <c r="BF23" i="3"/>
  <c r="MH23" i="3"/>
  <c r="JF24" i="3"/>
  <c r="GD25" i="3"/>
  <c r="DB26" i="3"/>
  <c r="Z27" i="3"/>
  <c r="LB27" i="3"/>
  <c r="HZ28" i="3"/>
  <c r="KD28" i="3"/>
  <c r="LZ28" i="3"/>
  <c r="R29" i="3"/>
  <c r="BN29" i="3"/>
  <c r="DJ29" i="3"/>
  <c r="FF29" i="3"/>
  <c r="HB29" i="3"/>
  <c r="IX29" i="3"/>
  <c r="KT29" i="3"/>
  <c r="MP29" i="3"/>
  <c r="AH30" i="3"/>
  <c r="CD30" i="3"/>
  <c r="DZ30" i="3"/>
  <c r="FV30" i="3"/>
  <c r="HR30" i="3"/>
  <c r="JN30" i="3"/>
  <c r="LJ30" i="3"/>
  <c r="B31" i="3"/>
  <c r="AX31" i="3"/>
  <c r="CT31" i="3"/>
  <c r="EP31" i="3"/>
  <c r="GL31" i="3"/>
  <c r="IH31" i="3"/>
  <c r="KD31" i="3"/>
  <c r="LZ31" i="3"/>
  <c r="R32" i="3"/>
  <c r="BN32" i="3"/>
  <c r="DJ32" i="3"/>
  <c r="FF32" i="3"/>
  <c r="HB32" i="3"/>
  <c r="IX32" i="3"/>
  <c r="KT32" i="3"/>
  <c r="MP32" i="3"/>
  <c r="AH33" i="3"/>
  <c r="CD33" i="3"/>
  <c r="DZ33" i="3"/>
  <c r="N6" i="3"/>
  <c r="DZ11" i="3"/>
  <c r="JS12" i="3"/>
  <c r="HC13" i="3"/>
  <c r="CU14" i="3"/>
  <c r="MQ14" i="3"/>
  <c r="II15" i="3"/>
  <c r="DR16" i="3"/>
  <c r="IT16" i="3"/>
  <c r="N17" i="3"/>
  <c r="EL17" i="3"/>
  <c r="JJ17" i="3"/>
  <c r="AD18" i="3"/>
  <c r="FB18" i="3"/>
  <c r="JI18" i="3"/>
  <c r="NA18" i="3"/>
  <c r="CO19" i="3"/>
  <c r="GG19" i="3"/>
  <c r="JY19" i="3"/>
  <c r="M20" i="3"/>
  <c r="DE20" i="3"/>
  <c r="GW20" i="3"/>
  <c r="KO20" i="3"/>
  <c r="AC21" i="3"/>
  <c r="DU21" i="3"/>
  <c r="HM21" i="3"/>
  <c r="LE21" i="3"/>
  <c r="AS22" i="3"/>
  <c r="EK22" i="3"/>
  <c r="GY22" i="3"/>
  <c r="IU22" i="3"/>
  <c r="KQ22" i="3"/>
  <c r="MM22" i="3"/>
  <c r="AE23" i="3"/>
  <c r="CA23" i="3"/>
  <c r="DW23" i="3"/>
  <c r="FS23" i="3"/>
  <c r="HO23" i="3"/>
  <c r="JK23" i="3"/>
  <c r="LG23" i="3"/>
  <c r="NC23" i="3"/>
  <c r="AU24" i="3"/>
  <c r="CQ24" i="3"/>
  <c r="EM24" i="3"/>
  <c r="GI24" i="3"/>
  <c r="IE24" i="3"/>
  <c r="KA24" i="3"/>
  <c r="LW24" i="3"/>
  <c r="O25" i="3"/>
  <c r="BK25" i="3"/>
  <c r="DG25" i="3"/>
  <c r="FC25" i="3"/>
  <c r="GY25" i="3"/>
  <c r="IU25" i="3"/>
  <c r="KQ25" i="3"/>
  <c r="MM25" i="3"/>
  <c r="AE26" i="3"/>
  <c r="CA26" i="3"/>
  <c r="DW26" i="3"/>
  <c r="FS26" i="3"/>
  <c r="HO26" i="3"/>
  <c r="JK26" i="3"/>
  <c r="LG26" i="3"/>
  <c r="NC26" i="3"/>
  <c r="AU27" i="3"/>
  <c r="CQ27" i="3"/>
  <c r="EM27" i="3"/>
  <c r="GI27" i="3"/>
  <c r="IE27" i="3"/>
  <c r="KA27" i="3"/>
  <c r="LW27" i="3"/>
  <c r="O28" i="3"/>
  <c r="BK28" i="3"/>
  <c r="DG28" i="3"/>
  <c r="FC28" i="3"/>
  <c r="GY28" i="3"/>
  <c r="IU28" i="3"/>
  <c r="KQ28" i="3"/>
  <c r="MM28" i="3"/>
  <c r="AE29" i="3"/>
  <c r="CA29" i="3"/>
  <c r="DW29" i="3"/>
  <c r="FS29" i="3"/>
  <c r="HO29" i="3"/>
  <c r="JK29" i="3"/>
  <c r="LG29" i="3"/>
  <c r="NC29" i="3"/>
  <c r="AU30" i="3"/>
  <c r="CQ30" i="3"/>
  <c r="EM30" i="3"/>
  <c r="GI30" i="3"/>
  <c r="IE30" i="3"/>
  <c r="KA30" i="3"/>
  <c r="LW30" i="3"/>
  <c r="O31" i="3"/>
  <c r="BK31" i="3"/>
  <c r="DG31" i="3"/>
  <c r="FC31" i="3"/>
  <c r="GY31" i="3"/>
  <c r="IU31" i="3"/>
  <c r="KQ31" i="3"/>
  <c r="MM31" i="3"/>
  <c r="AE32" i="3"/>
  <c r="CA32" i="3"/>
  <c r="DW32" i="3"/>
  <c r="FS32" i="3"/>
  <c r="HO32" i="3"/>
  <c r="JK32" i="3"/>
  <c r="LG32" i="3"/>
  <c r="NC32" i="3"/>
  <c r="AU33" i="3"/>
  <c r="CQ33" i="3"/>
  <c r="S7" i="3"/>
  <c r="FY13" i="3"/>
  <c r="CN18" i="3"/>
  <c r="JC14" i="3"/>
  <c r="HO17" i="3"/>
  <c r="EX19" i="3"/>
  <c r="MX20" i="3"/>
  <c r="AL9" i="3"/>
  <c r="KO15" i="3"/>
  <c r="BG18" i="3"/>
  <c r="KU19" i="3"/>
  <c r="EQ21" i="3"/>
  <c r="L14" i="3"/>
  <c r="BH19" i="3"/>
  <c r="DD22" i="3"/>
  <c r="BJ23" i="3"/>
  <c r="ML23" i="3"/>
  <c r="JJ24" i="3"/>
  <c r="GH25" i="3"/>
  <c r="DF26" i="3"/>
  <c r="AD27" i="3"/>
  <c r="LF27" i="3"/>
  <c r="ID28" i="3"/>
  <c r="KH28" i="3"/>
  <c r="MD28" i="3"/>
  <c r="V29" i="3"/>
  <c r="BR29" i="3"/>
  <c r="DN29" i="3"/>
  <c r="FJ29" i="3"/>
  <c r="HF29" i="3"/>
  <c r="JB29" i="3"/>
  <c r="KX29" i="3"/>
  <c r="MT29" i="3"/>
  <c r="AL30" i="3"/>
  <c r="CH30" i="3"/>
  <c r="ED30" i="3"/>
  <c r="FZ30" i="3"/>
  <c r="HV30" i="3"/>
  <c r="JR30" i="3"/>
  <c r="LN30" i="3"/>
  <c r="F31" i="3"/>
  <c r="BB31" i="3"/>
  <c r="CX31" i="3"/>
  <c r="ET31" i="3"/>
  <c r="GP31" i="3"/>
  <c r="IL31" i="3"/>
  <c r="KH31" i="3"/>
  <c r="MD31" i="3"/>
  <c r="V32" i="3"/>
  <c r="BR32" i="3"/>
  <c r="DN32" i="3"/>
  <c r="FJ32" i="3"/>
  <c r="HF32" i="3"/>
  <c r="JB32" i="3"/>
  <c r="KX32" i="3"/>
  <c r="MT32" i="3"/>
  <c r="AL33" i="3"/>
  <c r="CH33" i="3"/>
  <c r="ED33" i="3"/>
  <c r="JR7" i="3"/>
  <c r="HG11" i="3"/>
  <c r="KY12" i="3"/>
  <c r="HX13" i="3"/>
  <c r="DP14" i="3"/>
  <c r="H15" i="3"/>
  <c r="JD15" i="3"/>
  <c r="EG16" i="3"/>
  <c r="JE16" i="3"/>
  <c r="Y17" i="3"/>
  <c r="EW17" i="3"/>
  <c r="JU17" i="3"/>
  <c r="AO18" i="3"/>
  <c r="FM18" i="3"/>
  <c r="JQ18" i="3"/>
  <c r="E19" i="3"/>
  <c r="CW19" i="3"/>
  <c r="GO19" i="3"/>
  <c r="KG19" i="3"/>
  <c r="U20" i="3"/>
  <c r="DM20" i="3"/>
  <c r="HE20" i="3"/>
  <c r="KW20" i="3"/>
  <c r="AK21" i="3"/>
  <c r="EC21" i="3"/>
  <c r="HU21" i="3"/>
  <c r="LM21" i="3"/>
  <c r="BA22" i="3"/>
  <c r="ES22" i="3"/>
  <c r="HC22" i="3"/>
  <c r="IY22" i="3"/>
  <c r="KU22" i="3"/>
  <c r="MQ22" i="3"/>
  <c r="AI23" i="3"/>
  <c r="CE23" i="3"/>
  <c r="EA23" i="3"/>
  <c r="FW23" i="3"/>
  <c r="HS23" i="3"/>
  <c r="JO23" i="3"/>
  <c r="LK23" i="3"/>
  <c r="C24" i="3"/>
  <c r="AY24" i="3"/>
  <c r="CU24" i="3"/>
  <c r="EQ24" i="3"/>
  <c r="GM24" i="3"/>
  <c r="II24" i="3"/>
  <c r="KE24" i="3"/>
  <c r="MA24" i="3"/>
  <c r="S25" i="3"/>
  <c r="BO25" i="3"/>
  <c r="DK25" i="3"/>
  <c r="FG25" i="3"/>
  <c r="HC25" i="3"/>
  <c r="IY25" i="3"/>
  <c r="KU25" i="3"/>
  <c r="MQ25" i="3"/>
  <c r="AI26" i="3"/>
  <c r="CE26" i="3"/>
  <c r="EA26" i="3"/>
  <c r="FW26" i="3"/>
  <c r="HS26" i="3"/>
  <c r="JO26" i="3"/>
  <c r="LK26" i="3"/>
  <c r="C27" i="3"/>
  <c r="AY27" i="3"/>
  <c r="CU27" i="3"/>
  <c r="EQ27" i="3"/>
  <c r="GM27" i="3"/>
  <c r="II27" i="3"/>
  <c r="KE27" i="3"/>
  <c r="MA27" i="3"/>
  <c r="S28" i="3"/>
  <c r="BO28" i="3"/>
  <c r="DK28" i="3"/>
  <c r="FG28" i="3"/>
  <c r="HC28" i="3"/>
  <c r="IY28" i="3"/>
  <c r="KU28" i="3"/>
  <c r="MQ28" i="3"/>
  <c r="AI29" i="3"/>
  <c r="CE29" i="3"/>
  <c r="EA29" i="3"/>
  <c r="FW29" i="3"/>
  <c r="HS29" i="3"/>
  <c r="JO29" i="3"/>
  <c r="LK29" i="3"/>
  <c r="C30" i="3"/>
  <c r="AY30" i="3"/>
  <c r="CU30" i="3"/>
  <c r="EQ30" i="3"/>
  <c r="GM30" i="3"/>
  <c r="II30" i="3"/>
  <c r="KE30" i="3"/>
  <c r="MA30" i="3"/>
  <c r="S31" i="3"/>
  <c r="BO31" i="3"/>
  <c r="DK31" i="3"/>
  <c r="FG31" i="3"/>
  <c r="HC31" i="3"/>
  <c r="IY31" i="3"/>
  <c r="KU31" i="3"/>
  <c r="MQ31" i="3"/>
  <c r="AI32" i="3"/>
  <c r="CE32" i="3"/>
  <c r="EA32" i="3"/>
  <c r="FW32" i="3"/>
  <c r="HS32" i="3"/>
  <c r="JO32" i="3"/>
  <c r="LK32" i="3"/>
  <c r="C33" i="3"/>
  <c r="AY33" i="3"/>
  <c r="CU33" i="3"/>
  <c r="EQ33" i="3"/>
  <c r="GM33" i="3"/>
  <c r="HL9" i="3"/>
  <c r="MN11" i="3"/>
  <c r="E14" i="3"/>
  <c r="EJ18" i="3"/>
  <c r="W15" i="3"/>
  <c r="KA17" i="3"/>
  <c r="GT19" i="3"/>
  <c r="AP21" i="3"/>
  <c r="HL10" i="3"/>
  <c r="BI16" i="3"/>
  <c r="DS18" i="3"/>
  <c r="MQ19" i="3"/>
  <c r="GM21" i="3"/>
  <c r="JH14" i="3"/>
  <c r="EZ19" i="3"/>
  <c r="GD22" i="3"/>
  <c r="DB23" i="3"/>
  <c r="Z24" i="3"/>
  <c r="LB24" i="3"/>
  <c r="HZ25" i="3"/>
  <c r="EX26" i="3"/>
  <c r="BV27" i="3"/>
  <c r="MX27" i="3"/>
  <c r="IP28" i="3"/>
  <c r="KL28" i="3"/>
  <c r="MH28" i="3"/>
  <c r="Z29" i="3"/>
  <c r="BV29" i="3"/>
  <c r="DR29" i="3"/>
  <c r="FN29" i="3"/>
  <c r="HJ29" i="3"/>
  <c r="JF29" i="3"/>
  <c r="LB29" i="3"/>
  <c r="MX29" i="3"/>
  <c r="AP30" i="3"/>
  <c r="CL30" i="3"/>
  <c r="EH30" i="3"/>
  <c r="GD30" i="3"/>
  <c r="HZ30" i="3"/>
  <c r="JV30" i="3"/>
  <c r="LR30" i="3"/>
  <c r="J31" i="3"/>
  <c r="BF31" i="3"/>
  <c r="DB31" i="3"/>
  <c r="EX31" i="3"/>
  <c r="GT31" i="3"/>
  <c r="IP31" i="3"/>
  <c r="KL31" i="3"/>
  <c r="MH31" i="3"/>
  <c r="Z32" i="3"/>
  <c r="BV32" i="3"/>
  <c r="DR32" i="3"/>
  <c r="FN32" i="3"/>
  <c r="HJ32" i="3"/>
  <c r="JF32" i="3"/>
  <c r="LB32" i="3"/>
  <c r="MX32" i="3"/>
  <c r="AP33" i="3"/>
  <c r="CL33" i="3"/>
  <c r="EH33" i="3"/>
  <c r="KD8" i="3"/>
  <c r="JS11" i="3"/>
  <c r="ME12" i="3"/>
  <c r="IS13" i="3"/>
  <c r="EK14" i="3"/>
  <c r="AC15" i="3"/>
  <c r="JY15" i="3"/>
  <c r="EQ16" i="3"/>
  <c r="JO16" i="3"/>
  <c r="AI17" i="3"/>
  <c r="FG17" i="3"/>
  <c r="KE17" i="3"/>
  <c r="AY18" i="3"/>
  <c r="FW18" i="3"/>
  <c r="JY18" i="3"/>
  <c r="M19" i="3"/>
  <c r="DE19" i="3"/>
  <c r="GW19" i="3"/>
  <c r="KO19" i="3"/>
  <c r="AC20" i="3"/>
  <c r="DU20" i="3"/>
  <c r="HM20" i="3"/>
  <c r="LE20" i="3"/>
  <c r="AS21" i="3"/>
  <c r="EK21" i="3"/>
  <c r="IC21" i="3"/>
  <c r="LU21" i="3"/>
  <c r="BI22" i="3"/>
  <c r="FA22" i="3"/>
  <c r="HG22" i="3"/>
  <c r="JC22" i="3"/>
  <c r="KY22" i="3"/>
  <c r="MU22" i="3"/>
  <c r="AM23" i="3"/>
  <c r="CI23" i="3"/>
  <c r="EE23" i="3"/>
  <c r="GA23" i="3"/>
  <c r="HW23" i="3"/>
  <c r="JS23" i="3"/>
  <c r="LO23" i="3"/>
  <c r="G24" i="3"/>
  <c r="BC24" i="3"/>
  <c r="CY24" i="3"/>
  <c r="EU24" i="3"/>
  <c r="GQ24" i="3"/>
  <c r="IM24" i="3"/>
  <c r="KI24" i="3"/>
  <c r="ME24" i="3"/>
  <c r="W25" i="3"/>
  <c r="BS25" i="3"/>
  <c r="DO25" i="3"/>
  <c r="FK25" i="3"/>
  <c r="HG25" i="3"/>
  <c r="JC25" i="3"/>
  <c r="KY25" i="3"/>
  <c r="MU25" i="3"/>
  <c r="AM26" i="3"/>
  <c r="CI26" i="3"/>
  <c r="EE26" i="3"/>
  <c r="GA26" i="3"/>
  <c r="HW26" i="3"/>
  <c r="JS26" i="3"/>
  <c r="LO26" i="3"/>
  <c r="G27" i="3"/>
  <c r="BC27" i="3"/>
  <c r="CY27" i="3"/>
  <c r="EU27" i="3"/>
  <c r="GQ27" i="3"/>
  <c r="IM27" i="3"/>
  <c r="KI27" i="3"/>
  <c r="ME27" i="3"/>
  <c r="W28" i="3"/>
  <c r="BS28" i="3"/>
  <c r="DO28" i="3"/>
  <c r="FK28" i="3"/>
  <c r="HG28" i="3"/>
  <c r="JC28" i="3"/>
  <c r="KY28" i="3"/>
  <c r="MU28" i="3"/>
  <c r="AM29" i="3"/>
  <c r="CI29" i="3"/>
  <c r="EE29" i="3"/>
  <c r="GA29" i="3"/>
  <c r="HW29" i="3"/>
  <c r="JS29" i="3"/>
  <c r="LO29" i="3"/>
  <c r="G30" i="3"/>
  <c r="BC30" i="3"/>
  <c r="CY30" i="3"/>
  <c r="EU30" i="3"/>
  <c r="GQ30" i="3"/>
  <c r="IM30" i="3"/>
  <c r="KI30" i="3"/>
  <c r="ME30" i="3"/>
  <c r="W31" i="3"/>
  <c r="BS31" i="3"/>
  <c r="DO31" i="3"/>
  <c r="FK31" i="3"/>
  <c r="HG31" i="3"/>
  <c r="JC31" i="3"/>
  <c r="KY31" i="3"/>
  <c r="MU31" i="3"/>
  <c r="AM32" i="3"/>
  <c r="CI32" i="3"/>
  <c r="EE32" i="3"/>
  <c r="GA32" i="3"/>
  <c r="HW32" i="3"/>
  <c r="JS32" i="3"/>
  <c r="LO32" i="3"/>
  <c r="G33" i="3"/>
  <c r="BC33" i="3"/>
  <c r="CY33" i="3"/>
  <c r="EU33" i="3"/>
  <c r="GQ33" i="3"/>
  <c r="KT9" i="3"/>
  <c r="HN13" i="3"/>
  <c r="GO14" i="3"/>
  <c r="GF18" i="3"/>
  <c r="EU15" i="3"/>
  <c r="MM17" i="3"/>
  <c r="IP19" i="3"/>
  <c r="CL21" i="3"/>
  <c r="KY11" i="3"/>
  <c r="EY16" i="3"/>
  <c r="GE18" i="3"/>
  <c r="AI20" i="3"/>
  <c r="II21" i="3"/>
  <c r="EZ15" i="3"/>
  <c r="IR19" i="3"/>
  <c r="GH22" i="3"/>
  <c r="DF23" i="3"/>
  <c r="AD24" i="3"/>
  <c r="LF24" i="3"/>
  <c r="ID25" i="3"/>
  <c r="FB26" i="3"/>
  <c r="BZ27" i="3"/>
  <c r="NB27" i="3"/>
  <c r="IT28" i="3"/>
  <c r="KP28" i="3"/>
  <c r="ML28" i="3"/>
  <c r="AD29" i="3"/>
  <c r="BZ29" i="3"/>
  <c r="DV29" i="3"/>
  <c r="FR29" i="3"/>
  <c r="HN29" i="3"/>
  <c r="JJ29" i="3"/>
  <c r="LF29" i="3"/>
  <c r="NB29" i="3"/>
  <c r="AT30" i="3"/>
  <c r="CP30" i="3"/>
  <c r="EL30" i="3"/>
  <c r="GH30" i="3"/>
  <c r="ID30" i="3"/>
  <c r="JZ30" i="3"/>
  <c r="LV30" i="3"/>
  <c r="N31" i="3"/>
  <c r="BJ31" i="3"/>
  <c r="DF31" i="3"/>
  <c r="FB31" i="3"/>
  <c r="GX31" i="3"/>
  <c r="IT31" i="3"/>
  <c r="KP31" i="3"/>
  <c r="ML31" i="3"/>
  <c r="AD32" i="3"/>
  <c r="BZ32" i="3"/>
  <c r="DV32" i="3"/>
  <c r="FR32" i="3"/>
  <c r="HN32" i="3"/>
  <c r="JJ32" i="3"/>
  <c r="LF32" i="3"/>
  <c r="NB32" i="3"/>
  <c r="AT33" i="3"/>
  <c r="CP33" i="3"/>
  <c r="EL33" i="3"/>
  <c r="BR9" i="3"/>
  <c r="LJ11" i="3"/>
  <c r="G13" i="3"/>
  <c r="JO13" i="3"/>
  <c r="FG14" i="3"/>
  <c r="AY15" i="3"/>
  <c r="KU15" i="3"/>
  <c r="FB16" i="3"/>
  <c r="JZ16" i="3"/>
  <c r="AT17" i="3"/>
  <c r="FR17" i="3"/>
  <c r="KP17" i="3"/>
  <c r="BJ18" i="3"/>
  <c r="GH18" i="3"/>
  <c r="KG18" i="3"/>
  <c r="U19" i="3"/>
  <c r="DM19" i="3"/>
  <c r="HE19" i="3"/>
  <c r="KW19" i="3"/>
  <c r="AK20" i="3"/>
  <c r="EC20" i="3"/>
  <c r="HU20" i="3"/>
  <c r="LM20" i="3"/>
  <c r="BA21" i="3"/>
  <c r="ES21" i="3"/>
  <c r="IK21" i="3"/>
  <c r="MC21" i="3"/>
  <c r="BQ22" i="3"/>
  <c r="FI22" i="3"/>
  <c r="HK22" i="3"/>
  <c r="JG22" i="3"/>
  <c r="LC22" i="3"/>
  <c r="MY22" i="3"/>
  <c r="AQ23" i="3"/>
  <c r="CM23" i="3"/>
  <c r="EI23" i="3"/>
  <c r="GE23" i="3"/>
  <c r="IA23" i="3"/>
  <c r="JW23" i="3"/>
  <c r="LS23" i="3"/>
  <c r="K24" i="3"/>
  <c r="BG24" i="3"/>
  <c r="DC24" i="3"/>
  <c r="EY24" i="3"/>
  <c r="GU24" i="3"/>
  <c r="IQ24" i="3"/>
  <c r="KM24" i="3"/>
  <c r="MI24" i="3"/>
  <c r="AA25" i="3"/>
  <c r="BW25" i="3"/>
  <c r="DS25" i="3"/>
  <c r="FO25" i="3"/>
  <c r="HK25" i="3"/>
  <c r="JG25" i="3"/>
  <c r="LC25" i="3"/>
  <c r="MY25" i="3"/>
  <c r="AQ26" i="3"/>
  <c r="CM26" i="3"/>
  <c r="EI26" i="3"/>
  <c r="GE26" i="3"/>
  <c r="IA26" i="3"/>
  <c r="JW26" i="3"/>
  <c r="LS26" i="3"/>
  <c r="K27" i="3"/>
  <c r="BG27" i="3"/>
  <c r="DC27" i="3"/>
  <c r="EY27" i="3"/>
  <c r="GU27" i="3"/>
  <c r="IQ27" i="3"/>
  <c r="KM27" i="3"/>
  <c r="MI27" i="3"/>
  <c r="AA28" i="3"/>
  <c r="BW28" i="3"/>
  <c r="DS28" i="3"/>
  <c r="FO28" i="3"/>
  <c r="HK28" i="3"/>
  <c r="JG28" i="3"/>
  <c r="LC28" i="3"/>
  <c r="MY28" i="3"/>
  <c r="AQ29" i="3"/>
  <c r="CM29" i="3"/>
  <c r="EI29" i="3"/>
  <c r="GE29" i="3"/>
  <c r="IA29" i="3"/>
  <c r="JW29" i="3"/>
  <c r="LS29" i="3"/>
  <c r="K30" i="3"/>
  <c r="BG30" i="3"/>
  <c r="DC30" i="3"/>
  <c r="EY30" i="3"/>
  <c r="GU30" i="3"/>
  <c r="IQ30" i="3"/>
  <c r="KM30" i="3"/>
  <c r="MI30" i="3"/>
  <c r="AA31" i="3"/>
  <c r="BW31" i="3"/>
  <c r="DS31" i="3"/>
  <c r="FO31" i="3"/>
  <c r="HK31" i="3"/>
  <c r="JG31" i="3"/>
  <c r="LC31" i="3"/>
  <c r="MY31" i="3"/>
  <c r="AQ32" i="3"/>
  <c r="CM32" i="3"/>
  <c r="EI32" i="3"/>
  <c r="GE32" i="3"/>
  <c r="IA32" i="3"/>
  <c r="JW32" i="3"/>
  <c r="LS32" i="3"/>
  <c r="K33" i="3"/>
  <c r="BJ15" i="3"/>
  <c r="U15" i="3"/>
  <c r="GP8" i="3"/>
  <c r="JS15" i="3"/>
  <c r="AU18" i="3"/>
  <c r="KL19" i="3"/>
  <c r="EH21" i="3"/>
  <c r="FS12" i="3"/>
  <c r="HK16" i="3"/>
  <c r="II18" i="3"/>
  <c r="CE20" i="3"/>
  <c r="KE21" i="3"/>
  <c r="AR16" i="3"/>
  <c r="MJ19" i="3"/>
  <c r="HZ22" i="3"/>
  <c r="EX23" i="3"/>
  <c r="BV24" i="3"/>
  <c r="MX24" i="3"/>
  <c r="JV25" i="3"/>
  <c r="GT26" i="3"/>
  <c r="DR27" i="3"/>
  <c r="AP28" i="3"/>
  <c r="IX28" i="3"/>
  <c r="KT28" i="3"/>
  <c r="MP28" i="3"/>
  <c r="AH29" i="3"/>
  <c r="CD29" i="3"/>
  <c r="DZ29" i="3"/>
  <c r="FV29" i="3"/>
  <c r="HR29" i="3"/>
  <c r="JN29" i="3"/>
  <c r="LJ29" i="3"/>
  <c r="B30" i="3"/>
  <c r="AX30" i="3"/>
  <c r="CT30" i="3"/>
  <c r="EP30" i="3"/>
  <c r="GL30" i="3"/>
  <c r="IH30" i="3"/>
  <c r="KD30" i="3"/>
  <c r="LZ30" i="3"/>
  <c r="R31" i="3"/>
  <c r="BN31" i="3"/>
  <c r="DJ31" i="3"/>
  <c r="FF31" i="3"/>
  <c r="HB31" i="3"/>
  <c r="IX31" i="3"/>
  <c r="KT31" i="3"/>
  <c r="MP31" i="3"/>
  <c r="AH32" i="3"/>
  <c r="CD32" i="3"/>
  <c r="DZ32" i="3"/>
  <c r="FV32" i="3"/>
  <c r="HR32" i="3"/>
  <c r="JN32" i="3"/>
  <c r="LJ32" i="3"/>
  <c r="B33" i="3"/>
  <c r="AX33" i="3"/>
  <c r="CT33" i="3"/>
  <c r="EP33" i="3"/>
  <c r="GA9" i="3"/>
  <c r="MZ11" i="3"/>
  <c r="AM13" i="3"/>
  <c r="KJ13" i="3"/>
  <c r="GB14" i="3"/>
  <c r="BT15" i="3"/>
  <c r="LP15" i="3"/>
  <c r="FM16" i="3"/>
  <c r="KK16" i="3"/>
  <c r="BE17" i="3"/>
  <c r="GC17" i="3"/>
  <c r="LA17" i="3"/>
  <c r="BU18" i="3"/>
  <c r="GS18" i="3"/>
  <c r="KO18" i="3"/>
  <c r="AC19" i="3"/>
  <c r="DU19" i="3"/>
  <c r="HM19" i="3"/>
  <c r="LE19" i="3"/>
  <c r="AS20" i="3"/>
  <c r="EK20" i="3"/>
  <c r="IC20" i="3"/>
  <c r="LU20" i="3"/>
  <c r="BI21" i="3"/>
  <c r="FA21" i="3"/>
  <c r="IS21" i="3"/>
  <c r="MK21" i="3"/>
  <c r="BY22" i="3"/>
  <c r="FQ22" i="3"/>
  <c r="HO22" i="3"/>
  <c r="JK22" i="3"/>
  <c r="LG22" i="3"/>
  <c r="NC22" i="3"/>
  <c r="AU23" i="3"/>
  <c r="CQ23" i="3"/>
  <c r="EM23" i="3"/>
  <c r="GI23" i="3"/>
  <c r="MP10" i="3"/>
  <c r="HE15" i="3"/>
  <c r="DZ10" i="3"/>
  <c r="AM16" i="3"/>
  <c r="DG18" i="3"/>
  <c r="MH19" i="3"/>
  <c r="GD21" i="3"/>
  <c r="NC12" i="3"/>
  <c r="JW16" i="3"/>
  <c r="KE18" i="3"/>
  <c r="EA20" i="3"/>
  <c r="MA21" i="3"/>
  <c r="HB16" i="3"/>
  <c r="BX20" i="3"/>
  <c r="ID22" i="3"/>
  <c r="FB23" i="3"/>
  <c r="BZ24" i="3"/>
  <c r="NB24" i="3"/>
  <c r="JZ25" i="3"/>
  <c r="GX26" i="3"/>
  <c r="DV27" i="3"/>
  <c r="AT28" i="3"/>
  <c r="JB28" i="3"/>
  <c r="KX28" i="3"/>
  <c r="MT28" i="3"/>
  <c r="AL29" i="3"/>
  <c r="CH29" i="3"/>
  <c r="ED29" i="3"/>
  <c r="FZ29" i="3"/>
  <c r="HV29" i="3"/>
  <c r="JR29" i="3"/>
  <c r="LN29" i="3"/>
  <c r="F30" i="3"/>
  <c r="BB30" i="3"/>
  <c r="CX30" i="3"/>
  <c r="ET30" i="3"/>
  <c r="GP30" i="3"/>
  <c r="IL30" i="3"/>
  <c r="KH30" i="3"/>
  <c r="MD30" i="3"/>
  <c r="V31" i="3"/>
  <c r="BR31" i="3"/>
  <c r="DN31" i="3"/>
  <c r="FJ31" i="3"/>
  <c r="HF31" i="3"/>
  <c r="JB31" i="3"/>
  <c r="KX31" i="3"/>
  <c r="MT31" i="3"/>
  <c r="AL32" i="3"/>
  <c r="CH32" i="3"/>
  <c r="ED32" i="3"/>
  <c r="FZ32" i="3"/>
  <c r="HV32" i="3"/>
  <c r="JR32" i="3"/>
  <c r="LN32" i="3"/>
  <c r="F33" i="3"/>
  <c r="BB33" i="3"/>
  <c r="CX33" i="3"/>
  <c r="ET33" i="3"/>
  <c r="JH9" i="3"/>
  <c r="AM12" i="3"/>
  <c r="BI13" i="3"/>
  <c r="LE13" i="3"/>
  <c r="GW14" i="3"/>
  <c r="CO15" i="3"/>
  <c r="MK15" i="3"/>
  <c r="FW16" i="3"/>
  <c r="KU16" i="3"/>
  <c r="BO17" i="3"/>
  <c r="GM17" i="3"/>
  <c r="LK17" i="3"/>
  <c r="CE18" i="3"/>
  <c r="HC18" i="3"/>
  <c r="KW18" i="3"/>
  <c r="AK19" i="3"/>
  <c r="EC19" i="3"/>
  <c r="HU19" i="3"/>
  <c r="LM19" i="3"/>
  <c r="BA20" i="3"/>
  <c r="ES20" i="3"/>
  <c r="IK20" i="3"/>
  <c r="MC20" i="3"/>
  <c r="BQ21" i="3"/>
  <c r="FI21" i="3"/>
  <c r="JA21" i="3"/>
  <c r="MS21" i="3"/>
  <c r="CG22" i="3"/>
  <c r="FW22" i="3"/>
  <c r="HS22" i="3"/>
  <c r="JO22" i="3"/>
  <c r="LK22" i="3"/>
  <c r="C23" i="3"/>
  <c r="AY23" i="3"/>
  <c r="CU23" i="3"/>
  <c r="EQ23" i="3"/>
  <c r="GM23" i="3"/>
  <c r="II23" i="3"/>
  <c r="KE23" i="3"/>
  <c r="MA23" i="3"/>
  <c r="S24" i="3"/>
  <c r="BO24" i="3"/>
  <c r="DK24" i="3"/>
  <c r="FG24" i="3"/>
  <c r="HC24" i="3"/>
  <c r="IY24" i="3"/>
  <c r="KU24" i="3"/>
  <c r="MQ24" i="3"/>
  <c r="AI25" i="3"/>
  <c r="CE25" i="3"/>
  <c r="EA25" i="3"/>
  <c r="FW25" i="3"/>
  <c r="HS25" i="3"/>
  <c r="JO25" i="3"/>
  <c r="LK25" i="3"/>
  <c r="C26" i="3"/>
  <c r="AY26" i="3"/>
  <c r="CU26" i="3"/>
  <c r="EQ26" i="3"/>
  <c r="GM26" i="3"/>
  <c r="II26" i="3"/>
  <c r="KE26" i="3"/>
  <c r="MA26" i="3"/>
  <c r="S27" i="3"/>
  <c r="BO27" i="3"/>
  <c r="DK27" i="3"/>
  <c r="FG27" i="3"/>
  <c r="HC27" i="3"/>
  <c r="IY27" i="3"/>
  <c r="KU27" i="3"/>
  <c r="MQ27" i="3"/>
  <c r="AI28" i="3"/>
  <c r="CE28" i="3"/>
  <c r="EA28" i="3"/>
  <c r="FW28" i="3"/>
  <c r="HS28" i="3"/>
  <c r="JO28" i="3"/>
  <c r="LK28" i="3"/>
  <c r="C29" i="3"/>
  <c r="AY29" i="3"/>
  <c r="CU29" i="3"/>
  <c r="EQ29" i="3"/>
  <c r="GM29" i="3"/>
  <c r="II29" i="3"/>
  <c r="KE29" i="3"/>
  <c r="MA29" i="3"/>
  <c r="S30" i="3"/>
  <c r="BO30" i="3"/>
  <c r="DK30" i="3"/>
  <c r="FG30" i="3"/>
  <c r="HC30" i="3"/>
  <c r="IY30" i="3"/>
  <c r="KU30" i="3"/>
  <c r="MQ30" i="3"/>
  <c r="AI31" i="3"/>
  <c r="CE31" i="3"/>
  <c r="EA31" i="3"/>
  <c r="FW31" i="3"/>
  <c r="HS31" i="3"/>
  <c r="JO31" i="3"/>
  <c r="LK31" i="3"/>
  <c r="C32" i="3"/>
  <c r="AY32" i="3"/>
  <c r="CU32" i="3"/>
  <c r="EQ32" i="3"/>
  <c r="GM32" i="3"/>
  <c r="II32" i="3"/>
  <c r="KE32" i="3"/>
  <c r="MA32" i="3"/>
  <c r="S33" i="3"/>
  <c r="BO33" i="3"/>
  <c r="EK13" i="3"/>
  <c r="IP26" i="3"/>
  <c r="LR29" i="3"/>
  <c r="FN31" i="3"/>
  <c r="J33" i="3"/>
  <c r="LF16" i="3"/>
  <c r="FA20" i="3"/>
  <c r="G23" i="3"/>
  <c r="W24" i="3"/>
  <c r="KY24" i="3"/>
  <c r="HW25" i="3"/>
  <c r="EU26" i="3"/>
  <c r="BS27" i="3"/>
  <c r="MU27" i="3"/>
  <c r="JS28" i="3"/>
  <c r="GQ29" i="3"/>
  <c r="DO30" i="3"/>
  <c r="AM31" i="3"/>
  <c r="LO31" i="3"/>
  <c r="IM32" i="3"/>
  <c r="DK33" i="3"/>
  <c r="GE33" i="3"/>
  <c r="GL10" i="3"/>
  <c r="FH12" i="3"/>
  <c r="EE13" i="3"/>
  <c r="W14" i="3"/>
  <c r="JS14" i="3"/>
  <c r="FK15" i="3"/>
  <c r="BC16" i="3"/>
  <c r="HG16" i="3"/>
  <c r="ME16" i="3"/>
  <c r="GQ10" i="3"/>
  <c r="FK12" i="3"/>
  <c r="EF13" i="3"/>
  <c r="X14" i="3"/>
  <c r="JT14" i="3"/>
  <c r="FL15" i="3"/>
  <c r="BD16" i="3"/>
  <c r="HI16" i="3"/>
  <c r="MG16" i="3"/>
  <c r="DA17" i="3"/>
  <c r="JY17" i="3"/>
  <c r="FQ18" i="3"/>
  <c r="HW17" i="3"/>
  <c r="DO18" i="3"/>
  <c r="LX18" i="3"/>
  <c r="FD19" i="3"/>
  <c r="MN19" i="3"/>
  <c r="FT20" i="3"/>
  <c r="ND20" i="3"/>
  <c r="GJ21" i="3"/>
  <c r="P22" i="3"/>
  <c r="GJ22" i="3"/>
  <c r="KB22" i="3"/>
  <c r="P23" i="3"/>
  <c r="DH23" i="3"/>
  <c r="GZ23" i="3"/>
  <c r="DV17" i="3"/>
  <c r="N18" i="3"/>
  <c r="N36" i="3" s="1"/>
  <c r="N7" i="22" s="1"/>
  <c r="IW18" i="3"/>
  <c r="CC19" i="3"/>
  <c r="JM19" i="3"/>
  <c r="CS20" i="3"/>
  <c r="KC20" i="3"/>
  <c r="DI21" i="3"/>
  <c r="KS21" i="3"/>
  <c r="DY22" i="3"/>
  <c r="IO22" i="3"/>
  <c r="MG22" i="3"/>
  <c r="BU23" i="3"/>
  <c r="FM23" i="3"/>
  <c r="AC17" i="3"/>
  <c r="BE19" i="3"/>
  <c r="BU20" i="3"/>
  <c r="CK21" i="3"/>
  <c r="DA22" i="3"/>
  <c r="LU22" i="3"/>
  <c r="FA23" i="3"/>
  <c r="KZ23" i="3"/>
  <c r="AN24" i="3"/>
  <c r="EF24" i="3"/>
  <c r="HX24" i="3"/>
  <c r="LP24" i="3"/>
  <c r="BD25" i="3"/>
  <c r="EV25" i="3"/>
  <c r="IN25" i="3"/>
  <c r="MF25" i="3"/>
  <c r="BT26" i="3"/>
  <c r="FL26" i="3"/>
  <c r="JD26" i="3"/>
  <c r="MV26" i="3"/>
  <c r="CJ27" i="3"/>
  <c r="GB27" i="3"/>
  <c r="JT27" i="3"/>
  <c r="H28" i="3"/>
  <c r="CZ28" i="3"/>
  <c r="GR28" i="3"/>
  <c r="KJ28" i="3"/>
  <c r="X29" i="3"/>
  <c r="DP29" i="3"/>
  <c r="HH29" i="3"/>
  <c r="KZ29" i="3"/>
  <c r="AN30" i="3"/>
  <c r="EF30" i="3"/>
  <c r="HX30" i="3"/>
  <c r="LP30" i="3"/>
  <c r="BD31" i="3"/>
  <c r="EV31" i="3"/>
  <c r="IN31" i="3"/>
  <c r="MF31" i="3"/>
  <c r="BT32" i="3"/>
  <c r="FL32" i="3"/>
  <c r="JD32" i="3"/>
  <c r="MV32" i="3"/>
  <c r="CJ33" i="3"/>
  <c r="FY33" i="3"/>
  <c r="IF33" i="3"/>
  <c r="KB33" i="3"/>
  <c r="LX33" i="3"/>
  <c r="ML17" i="3"/>
  <c r="FL19" i="3"/>
  <c r="GB20" i="3"/>
  <c r="GR21" i="3"/>
  <c r="GN22" i="3"/>
  <c r="T23" i="3"/>
  <c r="HD23" i="3"/>
  <c r="LY23" i="3"/>
  <c r="BM24" i="3"/>
  <c r="FE24" i="3"/>
  <c r="IW24" i="3"/>
  <c r="MO24" i="3"/>
  <c r="CC25" i="3"/>
  <c r="FU25" i="3"/>
  <c r="JM25" i="3"/>
  <c r="A26" i="3"/>
  <c r="CS26" i="3"/>
  <c r="GK26" i="3"/>
  <c r="KC26" i="3"/>
  <c r="Q27" i="3"/>
  <c r="DI27" i="3"/>
  <c r="HA27" i="3"/>
  <c r="KS27" i="3"/>
  <c r="AG28" i="3"/>
  <c r="DY28" i="3"/>
  <c r="HQ28" i="3"/>
  <c r="LI28" i="3"/>
  <c r="AW29" i="3"/>
  <c r="EO29" i="3"/>
  <c r="IG29" i="3"/>
  <c r="LY29" i="3"/>
  <c r="BM30" i="3"/>
  <c r="FE30" i="3"/>
  <c r="IW30" i="3"/>
  <c r="MO30" i="3"/>
  <c r="CC31" i="3"/>
  <c r="FU31" i="3"/>
  <c r="JM31" i="3"/>
  <c r="A32" i="3"/>
  <c r="CS32" i="3"/>
  <c r="GK32" i="3"/>
  <c r="KC32" i="3"/>
  <c r="Q33" i="3"/>
  <c r="DI33" i="3"/>
  <c r="GP33" i="3"/>
  <c r="IS33" i="3"/>
  <c r="KO33" i="3"/>
  <c r="MK33" i="3"/>
  <c r="JU18" i="3"/>
  <c r="KK19" i="3"/>
  <c r="LA20" i="3"/>
  <c r="LQ21" i="3"/>
  <c r="JA22" i="3"/>
  <c r="CG23" i="3"/>
  <c r="JM23" i="3"/>
  <c r="D24" i="3"/>
  <c r="CV24" i="3"/>
  <c r="GN24" i="3"/>
  <c r="KF24" i="3"/>
  <c r="T25" i="3"/>
  <c r="DL25" i="3"/>
  <c r="HD25" i="3"/>
  <c r="KV25" i="3"/>
  <c r="AJ26" i="3"/>
  <c r="EB26" i="3"/>
  <c r="HT26" i="3"/>
  <c r="LL26" i="3"/>
  <c r="AZ27" i="3"/>
  <c r="ER27" i="3"/>
  <c r="IJ27" i="3"/>
  <c r="MB27" i="3"/>
  <c r="BP28" i="3"/>
  <c r="FH28" i="3"/>
  <c r="IZ28" i="3"/>
  <c r="MR28" i="3"/>
  <c r="CF29" i="3"/>
  <c r="FX29" i="3"/>
  <c r="JP29" i="3"/>
  <c r="D30" i="3"/>
  <c r="CV30" i="3"/>
  <c r="GN30" i="3"/>
  <c r="KF30" i="3"/>
  <c r="T31" i="3"/>
  <c r="DL31" i="3"/>
  <c r="HD31" i="3"/>
  <c r="KV31" i="3"/>
  <c r="AJ32" i="3"/>
  <c r="EB32" i="3"/>
  <c r="HT32" i="3"/>
  <c r="LL32" i="3"/>
  <c r="AZ33" i="3"/>
  <c r="ER33" i="3"/>
  <c r="HM33" i="3"/>
  <c r="JJ33" i="3"/>
  <c r="LF33" i="3"/>
  <c r="NB33" i="3"/>
  <c r="H22" i="3"/>
  <c r="M24" i="3"/>
  <c r="AC25" i="3"/>
  <c r="AS26" i="3"/>
  <c r="BI27" i="3"/>
  <c r="BY28" i="3"/>
  <c r="CO29" i="3"/>
  <c r="DE30" i="3"/>
  <c r="DU31" i="3"/>
  <c r="EK32" i="3"/>
  <c r="FA33" i="3"/>
  <c r="HN17" i="3"/>
  <c r="FL22" i="3"/>
  <c r="BA24" i="3"/>
  <c r="BQ25" i="3"/>
  <c r="CG26" i="3"/>
  <c r="CW27" i="3"/>
  <c r="DM28" i="3"/>
  <c r="EC29" i="3"/>
  <c r="ES30" i="3"/>
  <c r="FI31" i="3"/>
  <c r="FY32" i="3"/>
  <c r="GH33" i="3"/>
  <c r="JD18" i="3"/>
  <c r="IR22" i="3"/>
  <c r="CO24" i="3"/>
  <c r="DE25" i="3"/>
  <c r="DU26" i="3"/>
  <c r="EK27" i="3"/>
  <c r="GR20" i="3"/>
  <c r="HL23" i="3"/>
  <c r="JA24" i="3"/>
  <c r="JQ25" i="3"/>
  <c r="KG26" i="3"/>
  <c r="KW27" i="3"/>
  <c r="LM28" i="3"/>
  <c r="MC29" i="3"/>
  <c r="MS30" i="3"/>
  <c r="E32" i="3"/>
  <c r="U33" i="3"/>
  <c r="KQ33" i="3"/>
  <c r="DU30" i="3"/>
  <c r="NA27" i="3"/>
  <c r="BI32" i="3"/>
  <c r="KO29" i="3"/>
  <c r="JW33" i="3"/>
  <c r="IC31" i="3"/>
  <c r="KE1" i="3"/>
  <c r="CU1" i="3"/>
  <c r="KA1" i="3"/>
  <c r="CQ1" i="3"/>
  <c r="JW1" i="3"/>
  <c r="CM1" i="3"/>
  <c r="JS1" i="3"/>
  <c r="CI1" i="3"/>
  <c r="DU28" i="3"/>
  <c r="MI33" i="3"/>
  <c r="JO1" i="3"/>
  <c r="JK1" i="3"/>
  <c r="CA1" i="3"/>
  <c r="BW1" i="3"/>
  <c r="JC1" i="3"/>
  <c r="EC32" i="3"/>
  <c r="LE28" i="3"/>
  <c r="AE1" i="3"/>
  <c r="GF32" i="3"/>
  <c r="IR23" i="3"/>
  <c r="MK26" i="3"/>
  <c r="HM28" i="3"/>
  <c r="FK1" i="3"/>
  <c r="IR29" i="3"/>
  <c r="DT33" i="3"/>
  <c r="LU26" i="3"/>
  <c r="LK33" i="3"/>
  <c r="AK29" i="3"/>
  <c r="NA23" i="3"/>
  <c r="GO26" i="3"/>
  <c r="IU33" i="3"/>
  <c r="MA1" i="3"/>
  <c r="EE1" i="3"/>
  <c r="BV31" i="3"/>
  <c r="GA25" i="3"/>
  <c r="HW28" i="3"/>
  <c r="DC33" i="3"/>
  <c r="IB14" i="3"/>
  <c r="CO13" i="3"/>
  <c r="IH17" i="3"/>
  <c r="LH19" i="3"/>
  <c r="JL22" i="3"/>
  <c r="AW19" i="3"/>
  <c r="CS22" i="3"/>
  <c r="I20" i="3"/>
  <c r="HH24" i="3"/>
  <c r="BT27" i="3"/>
  <c r="GR29" i="3"/>
  <c r="LP31" i="3"/>
  <c r="JT33" i="3"/>
  <c r="FX23" i="3"/>
  <c r="MO25" i="3"/>
  <c r="KS28" i="3"/>
  <c r="BM31" i="3"/>
  <c r="GF33" i="3"/>
  <c r="BA23" i="3"/>
  <c r="T26" i="3"/>
  <c r="MB28" i="3"/>
  <c r="JP30" i="3"/>
  <c r="KV32" i="3"/>
  <c r="LE23" i="3"/>
  <c r="BY32" i="3"/>
  <c r="BQ29" i="3"/>
  <c r="AC24" i="3"/>
  <c r="HE25" i="3"/>
  <c r="LM32" i="3"/>
  <c r="LK1" i="3"/>
  <c r="KY1" i="3"/>
  <c r="MI16" i="3"/>
  <c r="FN27" i="3"/>
  <c r="J30" i="3"/>
  <c r="HJ31" i="3"/>
  <c r="BF33" i="3"/>
  <c r="BZ17" i="3"/>
  <c r="IS20" i="3"/>
  <c r="BC23" i="3"/>
  <c r="BK24" i="3"/>
  <c r="MM24" i="3"/>
  <c r="JK25" i="3"/>
  <c r="GI26" i="3"/>
  <c r="DG27" i="3"/>
  <c r="AE28" i="3"/>
  <c r="LG28" i="3"/>
  <c r="IE29" i="3"/>
  <c r="FC30" i="3"/>
  <c r="CA31" i="3"/>
  <c r="NC31" i="3"/>
  <c r="KA32" i="3"/>
  <c r="DO33" i="3"/>
  <c r="GI33" i="3"/>
  <c r="JS10" i="3"/>
  <c r="GN12" i="3"/>
  <c r="EZ13" i="3"/>
  <c r="AR14" i="3"/>
  <c r="KN14" i="3"/>
  <c r="GF15" i="3"/>
  <c r="BX16" i="3"/>
  <c r="HR16" i="3"/>
  <c r="MP16" i="3"/>
  <c r="JX10" i="3"/>
  <c r="GQ12" i="3"/>
  <c r="FA13" i="3"/>
  <c r="AS14" i="3"/>
  <c r="KO14" i="3"/>
  <c r="GG15" i="3"/>
  <c r="BY16" i="3"/>
  <c r="HS16" i="3"/>
  <c r="MQ16" i="3"/>
  <c r="DK17" i="3"/>
  <c r="KT17" i="3"/>
  <c r="GL18" i="3"/>
  <c r="IS17" i="3"/>
  <c r="EK18" i="3"/>
  <c r="MN18" i="3"/>
  <c r="FT19" i="3"/>
  <c r="ND19" i="3"/>
  <c r="ND37" i="3" s="1"/>
  <c r="GJ20" i="3"/>
  <c r="P21" i="3"/>
  <c r="GZ21" i="3"/>
  <c r="AF22" i="3"/>
  <c r="GR22" i="3"/>
  <c r="KJ22" i="3"/>
  <c r="X23" i="3"/>
  <c r="DP23" i="3"/>
  <c r="HH23" i="3"/>
  <c r="EQ17" i="3"/>
  <c r="AI18" i="3"/>
  <c r="JM18" i="3"/>
  <c r="CS19" i="3"/>
  <c r="KC19" i="3"/>
  <c r="DI20" i="3"/>
  <c r="KS20" i="3"/>
  <c r="DY21" i="3"/>
  <c r="LI21" i="3"/>
  <c r="EO22" i="3"/>
  <c r="IW22" i="3"/>
  <c r="MO22" i="3"/>
  <c r="CC23" i="3"/>
  <c r="FU23" i="3"/>
  <c r="FB17" i="3"/>
  <c r="CK19" i="3"/>
  <c r="DA20" i="3"/>
  <c r="DQ21" i="3"/>
  <c r="EG22" i="3"/>
  <c r="MK22" i="3"/>
  <c r="FQ23" i="3"/>
  <c r="LH23" i="3"/>
  <c r="AV24" i="3"/>
  <c r="EN24" i="3"/>
  <c r="IF24" i="3"/>
  <c r="LX24" i="3"/>
  <c r="BL25" i="3"/>
  <c r="FD25" i="3"/>
  <c r="IV25" i="3"/>
  <c r="MN25" i="3"/>
  <c r="CB26" i="3"/>
  <c r="FT26" i="3"/>
  <c r="JL26" i="3"/>
  <c r="ND26" i="3"/>
  <c r="CR27" i="3"/>
  <c r="GJ27" i="3"/>
  <c r="KB27" i="3"/>
  <c r="P28" i="3"/>
  <c r="DH28" i="3"/>
  <c r="GZ28" i="3"/>
  <c r="KR28" i="3"/>
  <c r="AF29" i="3"/>
  <c r="DX29" i="3"/>
  <c r="HP29" i="3"/>
  <c r="LH29" i="3"/>
  <c r="AV30" i="3"/>
  <c r="EN30" i="3"/>
  <c r="IF30" i="3"/>
  <c r="LX30" i="3"/>
  <c r="BL31" i="3"/>
  <c r="FD31" i="3"/>
  <c r="IV31" i="3"/>
  <c r="MN31" i="3"/>
  <c r="CB32" i="3"/>
  <c r="FT32" i="3"/>
  <c r="JL32" i="3"/>
  <c r="ND32" i="3"/>
  <c r="CR33" i="3"/>
  <c r="GD33" i="3"/>
  <c r="IJ33" i="3"/>
  <c r="KF33" i="3"/>
  <c r="MB33" i="3"/>
  <c r="BO18" i="3"/>
  <c r="GR19" i="3"/>
  <c r="HH20" i="3"/>
  <c r="HX21" i="3"/>
  <c r="HD22" i="3"/>
  <c r="AJ23" i="3"/>
  <c r="HT23" i="3"/>
  <c r="MG23" i="3"/>
  <c r="BU24" i="3"/>
  <c r="FM24" i="3"/>
  <c r="JE24" i="3"/>
  <c r="MW24" i="3"/>
  <c r="CK25" i="3"/>
  <c r="GC25" i="3"/>
  <c r="JU25" i="3"/>
  <c r="I26" i="3"/>
  <c r="DA26" i="3"/>
  <c r="GS26" i="3"/>
  <c r="KK26" i="3"/>
  <c r="Y27" i="3"/>
  <c r="DQ27" i="3"/>
  <c r="HI27" i="3"/>
  <c r="LA27" i="3"/>
  <c r="AO28" i="3"/>
  <c r="EG28" i="3"/>
  <c r="HY28" i="3"/>
  <c r="LQ28" i="3"/>
  <c r="BE29" i="3"/>
  <c r="EW29" i="3"/>
  <c r="IO29" i="3"/>
  <c r="MG29" i="3"/>
  <c r="BU30" i="3"/>
  <c r="FM30" i="3"/>
  <c r="JE30" i="3"/>
  <c r="MW30" i="3"/>
  <c r="CK31" i="3"/>
  <c r="GC31" i="3"/>
  <c r="JU31" i="3"/>
  <c r="I32" i="3"/>
  <c r="DA32" i="3"/>
  <c r="GS32" i="3"/>
  <c r="KK32" i="3"/>
  <c r="Y33" i="3"/>
  <c r="DQ33" i="3"/>
  <c r="GV33" i="3"/>
  <c r="IW33" i="3"/>
  <c r="KS33" i="3"/>
  <c r="MO33" i="3"/>
  <c r="LA18" i="3"/>
  <c r="LQ19" i="3"/>
  <c r="MG20" i="3"/>
  <c r="MW21" i="3"/>
  <c r="JQ22" i="3"/>
  <c r="CW23" i="3"/>
  <c r="JX23" i="3"/>
  <c r="L24" i="3"/>
  <c r="DD24" i="3"/>
  <c r="GV24" i="3"/>
  <c r="KN24" i="3"/>
  <c r="AB25" i="3"/>
  <c r="DT25" i="3"/>
  <c r="HL25" i="3"/>
  <c r="LD25" i="3"/>
  <c r="AR26" i="3"/>
  <c r="EJ26" i="3"/>
  <c r="IB26" i="3"/>
  <c r="LT26" i="3"/>
  <c r="BH27" i="3"/>
  <c r="EZ27" i="3"/>
  <c r="IR27" i="3"/>
  <c r="MJ27" i="3"/>
  <c r="BX28" i="3"/>
  <c r="FP28" i="3"/>
  <c r="JH28" i="3"/>
  <c r="MZ28" i="3"/>
  <c r="CN29" i="3"/>
  <c r="GF29" i="3"/>
  <c r="JX29" i="3"/>
  <c r="L30" i="3"/>
  <c r="DD30" i="3"/>
  <c r="GV30" i="3"/>
  <c r="KN30" i="3"/>
  <c r="AB31" i="3"/>
  <c r="DT31" i="3"/>
  <c r="HL31" i="3"/>
  <c r="LD31" i="3"/>
  <c r="AR32" i="3"/>
  <c r="EJ32" i="3"/>
  <c r="IB32" i="3"/>
  <c r="LT32" i="3"/>
  <c r="BH33" i="3"/>
  <c r="EZ33" i="3"/>
  <c r="HR33" i="3"/>
  <c r="JN33" i="3"/>
  <c r="LJ33" i="3"/>
  <c r="EG17" i="3"/>
  <c r="EF22" i="3"/>
  <c r="AS24" i="3"/>
  <c r="BI25" i="3"/>
  <c r="BY26" i="3"/>
  <c r="CO27" i="3"/>
  <c r="DE28" i="3"/>
  <c r="DU29" i="3"/>
  <c r="EK30" i="3"/>
  <c r="FA31" i="3"/>
  <c r="FQ32" i="3"/>
  <c r="GC33" i="3"/>
  <c r="GM18" i="3"/>
  <c r="IB22" i="3"/>
  <c r="CG24" i="3"/>
  <c r="CW25" i="3"/>
  <c r="DM26" i="3"/>
  <c r="EC27" i="3"/>
  <c r="ES28" i="3"/>
  <c r="FI29" i="3"/>
  <c r="FY30" i="3"/>
  <c r="GO31" i="3"/>
  <c r="HE32" i="3"/>
  <c r="HD33" i="3"/>
  <c r="X19" i="3"/>
  <c r="LD22" i="3"/>
  <c r="DU24" i="3"/>
  <c r="EK25" i="3"/>
  <c r="FA26" i="3"/>
  <c r="FQ27" i="3"/>
  <c r="LP20" i="3"/>
  <c r="JP23" i="3"/>
  <c r="KG24" i="3"/>
  <c r="KW25" i="3"/>
  <c r="LM26" i="3"/>
  <c r="MC27" i="3"/>
  <c r="MS28" i="3"/>
  <c r="E30" i="3"/>
  <c r="U31" i="3"/>
  <c r="AK32" i="3"/>
  <c r="BA33" i="3"/>
  <c r="LG33" i="3"/>
  <c r="IS30" i="3"/>
  <c r="GG32" i="3"/>
  <c r="BI30" i="3"/>
  <c r="NA31" i="3"/>
  <c r="CE1" i="3"/>
  <c r="JG1" i="3"/>
  <c r="BS1" i="3"/>
  <c r="EK29" i="3"/>
  <c r="AI1" i="3"/>
  <c r="HG1" i="3"/>
  <c r="L33" i="3"/>
  <c r="MS29" i="3"/>
  <c r="ES27" i="3"/>
  <c r="CO32" i="3"/>
  <c r="U1" i="3"/>
  <c r="LT28" i="3"/>
  <c r="GW33" i="3"/>
  <c r="MK27" i="3"/>
  <c r="LM23" i="3"/>
  <c r="CG32" i="3"/>
  <c r="AC26" i="3"/>
  <c r="HE27" i="3"/>
  <c r="FQ33" i="3"/>
  <c r="LW1" i="3"/>
  <c r="AP25" i="3"/>
  <c r="BS30" i="3"/>
  <c r="GL16" i="3"/>
  <c r="GL34" i="3" s="1"/>
  <c r="GL5" i="22" s="1"/>
  <c r="LK16" i="3"/>
  <c r="LX20" i="3"/>
  <c r="MA17" i="3"/>
  <c r="LQ22" i="3"/>
  <c r="DU23" i="3"/>
  <c r="HX25" i="3"/>
  <c r="JD27" i="3"/>
  <c r="X30" i="3"/>
  <c r="BD32" i="3"/>
  <c r="CZ19" i="3"/>
  <c r="EO24" i="3"/>
  <c r="CS27" i="3"/>
  <c r="LI29" i="3"/>
  <c r="MO31" i="3"/>
  <c r="KG33" i="3"/>
  <c r="HU22" i="3"/>
  <c r="D25" i="3"/>
  <c r="KV26" i="3"/>
  <c r="IJ28" i="3"/>
  <c r="FX30" i="3"/>
  <c r="KF31" i="3"/>
  <c r="AJ33" i="3"/>
  <c r="MT33" i="3"/>
  <c r="MK25" i="3"/>
  <c r="BI31" i="3"/>
  <c r="U26" i="3"/>
  <c r="EC33" i="3"/>
  <c r="BY27" i="3"/>
  <c r="JA28" i="3"/>
  <c r="JK33" i="3"/>
  <c r="MK30" i="3"/>
  <c r="DS1" i="3"/>
  <c r="MA18" i="3"/>
  <c r="CL28" i="3"/>
  <c r="BF30" i="3"/>
  <c r="JF31" i="3"/>
  <c r="DB33" i="3"/>
  <c r="GX17" i="3"/>
  <c r="MK20" i="3"/>
  <c r="CY23" i="3"/>
  <c r="BS24" i="3"/>
  <c r="MU24" i="3"/>
  <c r="JS25" i="3"/>
  <c r="GQ26" i="3"/>
  <c r="DO27" i="3"/>
  <c r="AM28" i="3"/>
  <c r="LO28" i="3"/>
  <c r="IM29" i="3"/>
  <c r="FK30" i="3"/>
  <c r="CI31" i="3"/>
  <c r="G32" i="3"/>
  <c r="KI32" i="3"/>
  <c r="EA33" i="3"/>
  <c r="GU33" i="3"/>
  <c r="MZ10" i="3"/>
  <c r="HT12" i="3"/>
  <c r="FU13" i="3"/>
  <c r="BM14" i="3"/>
  <c r="LI14" i="3"/>
  <c r="HA15" i="3"/>
  <c r="CS16" i="3"/>
  <c r="IC16" i="3"/>
  <c r="NA16" i="3"/>
  <c r="B11" i="3"/>
  <c r="HW12" i="3"/>
  <c r="FW13" i="3"/>
  <c r="BO14" i="3"/>
  <c r="LK14" i="3"/>
  <c r="HC15" i="3"/>
  <c r="CT16" i="3"/>
  <c r="CT34" i="3" s="1"/>
  <c r="CT5" i="22" s="1"/>
  <c r="ID16" i="3"/>
  <c r="NB16" i="3"/>
  <c r="R17" i="3"/>
  <c r="LO17" i="3"/>
  <c r="HG18" i="3"/>
  <c r="JN17" i="3"/>
  <c r="FF18" i="3"/>
  <c r="ND18" i="3"/>
  <c r="ND36" i="3" s="1"/>
  <c r="GJ19" i="3"/>
  <c r="P20" i="3"/>
  <c r="GZ20" i="3"/>
  <c r="AF21" i="3"/>
  <c r="HP21" i="3"/>
  <c r="AV22" i="3"/>
  <c r="GZ22" i="3"/>
  <c r="KR22" i="3"/>
  <c r="AF23" i="3"/>
  <c r="DX23" i="3"/>
  <c r="HP23" i="3"/>
  <c r="FM17" i="3"/>
  <c r="BE18" i="3"/>
  <c r="KC18" i="3"/>
  <c r="DI19" i="3"/>
  <c r="KS19" i="3"/>
  <c r="DY20" i="3"/>
  <c r="LI20" i="3"/>
  <c r="EO21" i="3"/>
  <c r="LY21" i="3"/>
  <c r="FE22" i="3"/>
  <c r="JE22" i="3"/>
  <c r="MW22" i="3"/>
  <c r="CK23" i="3"/>
  <c r="GC23" i="3"/>
  <c r="II17" i="3"/>
  <c r="DQ19" i="3"/>
  <c r="EG20" i="3"/>
  <c r="EW21" i="3"/>
  <c r="FM22" i="3"/>
  <c r="NA22" i="3"/>
  <c r="GG23" i="3"/>
  <c r="LP23" i="3"/>
  <c r="BD24" i="3"/>
  <c r="EV24" i="3"/>
  <c r="IN24" i="3"/>
  <c r="MF24" i="3"/>
  <c r="BT25" i="3"/>
  <c r="FL25" i="3"/>
  <c r="JD25" i="3"/>
  <c r="MV25" i="3"/>
  <c r="CJ26" i="3"/>
  <c r="GB26" i="3"/>
  <c r="JT26" i="3"/>
  <c r="H27" i="3"/>
  <c r="CZ27" i="3"/>
  <c r="GR27" i="3"/>
  <c r="KJ27" i="3"/>
  <c r="X28" i="3"/>
  <c r="DP28" i="3"/>
  <c r="HH28" i="3"/>
  <c r="KZ28" i="3"/>
  <c r="AN29" i="3"/>
  <c r="EF29" i="3"/>
  <c r="HX29" i="3"/>
  <c r="LP29" i="3"/>
  <c r="BD30" i="3"/>
  <c r="EV30" i="3"/>
  <c r="IN30" i="3"/>
  <c r="MF30" i="3"/>
  <c r="BT31" i="3"/>
  <c r="FL31" i="3"/>
  <c r="JD31" i="3"/>
  <c r="MV31" i="3"/>
  <c r="CJ32" i="3"/>
  <c r="GB32" i="3"/>
  <c r="JT32" i="3"/>
  <c r="H33" i="3"/>
  <c r="CZ33" i="3"/>
  <c r="GJ33" i="3"/>
  <c r="IN33" i="3"/>
  <c r="KJ33" i="3"/>
  <c r="MF33" i="3"/>
  <c r="EW18" i="3"/>
  <c r="HX19" i="3"/>
  <c r="IN20" i="3"/>
  <c r="JD21" i="3"/>
  <c r="HT22" i="3"/>
  <c r="AZ23" i="3"/>
  <c r="IJ23" i="3"/>
  <c r="MO23" i="3"/>
  <c r="CC24" i="3"/>
  <c r="FU24" i="3"/>
  <c r="JM24" i="3"/>
  <c r="A25" i="3"/>
  <c r="CS25" i="3"/>
  <c r="GK25" i="3"/>
  <c r="KC25" i="3"/>
  <c r="Q26" i="3"/>
  <c r="DI26" i="3"/>
  <c r="HA26" i="3"/>
  <c r="KS26" i="3"/>
  <c r="AG27" i="3"/>
  <c r="DY27" i="3"/>
  <c r="HQ27" i="3"/>
  <c r="LI27" i="3"/>
  <c r="AW28" i="3"/>
  <c r="EO28" i="3"/>
  <c r="IG28" i="3"/>
  <c r="LY28" i="3"/>
  <c r="BM29" i="3"/>
  <c r="FE29" i="3"/>
  <c r="IW29" i="3"/>
  <c r="MO29" i="3"/>
  <c r="CC30" i="3"/>
  <c r="FU30" i="3"/>
  <c r="JM30" i="3"/>
  <c r="A31" i="3"/>
  <c r="CS31" i="3"/>
  <c r="GK31" i="3"/>
  <c r="KC31" i="3"/>
  <c r="Q32" i="3"/>
  <c r="DI32" i="3"/>
  <c r="HA32" i="3"/>
  <c r="KS32" i="3"/>
  <c r="AG33" i="3"/>
  <c r="DY33" i="3"/>
  <c r="HA33" i="3"/>
  <c r="JA33" i="3"/>
  <c r="KW33" i="3"/>
  <c r="MS33" i="3"/>
  <c r="MG18" i="3"/>
  <c r="MW19" i="3"/>
  <c r="I21" i="3"/>
  <c r="Y22" i="3"/>
  <c r="KG22" i="3"/>
  <c r="DM23" i="3"/>
  <c r="KF23" i="3"/>
  <c r="T24" i="3"/>
  <c r="DL24" i="3"/>
  <c r="HD24" i="3"/>
  <c r="KV24" i="3"/>
  <c r="AJ25" i="3"/>
  <c r="EB25" i="3"/>
  <c r="HT25" i="3"/>
  <c r="LL25" i="3"/>
  <c r="AZ26" i="3"/>
  <c r="ER26" i="3"/>
  <c r="IJ26" i="3"/>
  <c r="MB26" i="3"/>
  <c r="BP27" i="3"/>
  <c r="FH27" i="3"/>
  <c r="IZ27" i="3"/>
  <c r="MR27" i="3"/>
  <c r="CF28" i="3"/>
  <c r="FX28" i="3"/>
  <c r="JP28" i="3"/>
  <c r="D29" i="3"/>
  <c r="CV29" i="3"/>
  <c r="GN29" i="3"/>
  <c r="KF29" i="3"/>
  <c r="T30" i="3"/>
  <c r="DL30" i="3"/>
  <c r="HD30" i="3"/>
  <c r="KV30" i="3"/>
  <c r="AJ31" i="3"/>
  <c r="EB31" i="3"/>
  <c r="HT31" i="3"/>
  <c r="LL31" i="3"/>
  <c r="AZ32" i="3"/>
  <c r="ER32" i="3"/>
  <c r="IJ32" i="3"/>
  <c r="MB32" i="3"/>
  <c r="BP33" i="3"/>
  <c r="FH33" i="3"/>
  <c r="HV33" i="3"/>
  <c r="JR33" i="3"/>
  <c r="LN33" i="3"/>
  <c r="DF18" i="3"/>
  <c r="HL22" i="3"/>
  <c r="BY24" i="3"/>
  <c r="CO25" i="3"/>
  <c r="DE26" i="3"/>
  <c r="DU27" i="3"/>
  <c r="EK28" i="3"/>
  <c r="FA29" i="3"/>
  <c r="FQ30" i="3"/>
  <c r="GG31" i="3"/>
  <c r="GW32" i="3"/>
  <c r="GX33" i="3"/>
  <c r="MV18" i="3"/>
  <c r="KN22" i="3"/>
  <c r="DM24" i="3"/>
  <c r="EC25" i="3"/>
  <c r="ES26" i="3"/>
  <c r="FI27" i="3"/>
  <c r="FY28" i="3"/>
  <c r="GO29" i="3"/>
  <c r="HE30" i="3"/>
  <c r="HU31" i="3"/>
  <c r="IK32" i="3"/>
  <c r="HW33" i="3"/>
  <c r="EV19" i="3"/>
  <c r="L23" i="3"/>
  <c r="FA24" i="3"/>
  <c r="FQ25" i="3"/>
  <c r="GG26" i="3"/>
  <c r="GW27" i="3"/>
  <c r="CJ21" i="3"/>
  <c r="KW23" i="3"/>
  <c r="LM24" i="3"/>
  <c r="MC25" i="3"/>
  <c r="MS26" i="3"/>
  <c r="E28" i="3"/>
  <c r="U29" i="3"/>
  <c r="AK30" i="3"/>
  <c r="BA31" i="3"/>
  <c r="BQ32" i="3"/>
  <c r="CG33" i="3"/>
  <c r="LW33" i="3"/>
  <c r="M31" i="3"/>
  <c r="IS28" i="3"/>
  <c r="LE32" i="3"/>
  <c r="GG30" i="3"/>
  <c r="BI28" i="3"/>
  <c r="DU32" i="3"/>
  <c r="IY1" i="3"/>
  <c r="BO1" i="3"/>
  <c r="IU1" i="3"/>
  <c r="BK1" i="3"/>
  <c r="IQ1" i="3"/>
  <c r="BG1" i="3"/>
  <c r="IM1" i="3"/>
  <c r="BC1" i="3"/>
  <c r="AU1" i="3"/>
  <c r="AQ1" i="3"/>
  <c r="HW1" i="3"/>
  <c r="BQ28" i="3"/>
  <c r="NC33" i="3"/>
  <c r="BY31" i="3"/>
  <c r="HS1" i="3"/>
  <c r="HK1" i="3"/>
  <c r="DD33" i="3"/>
  <c r="LM27" i="3"/>
  <c r="EC26" i="3"/>
  <c r="AC28" i="3"/>
  <c r="FO1" i="3"/>
  <c r="AR28" i="3"/>
  <c r="IX33" i="3"/>
  <c r="M30" i="3"/>
  <c r="E27" i="3"/>
  <c r="M25" i="3"/>
  <c r="IK29" i="3"/>
  <c r="HM30" i="3"/>
  <c r="HZ29" i="3"/>
  <c r="MJ13" i="3"/>
  <c r="DZ18" i="3"/>
  <c r="DZ36" i="3" s="1"/>
  <c r="DZ7" i="22" s="1"/>
  <c r="ND22" i="3"/>
  <c r="CC21" i="3"/>
  <c r="AO22" i="3"/>
  <c r="EF25" i="3"/>
  <c r="FL27" i="3"/>
  <c r="CZ29" i="3"/>
  <c r="AN31" i="3"/>
  <c r="BT33" i="3"/>
  <c r="DP20" i="3"/>
  <c r="IG24" i="3"/>
  <c r="A27" i="3"/>
  <c r="HQ29" i="3"/>
  <c r="FE31" i="3"/>
  <c r="CS33" i="3"/>
  <c r="JE21" i="3"/>
  <c r="CV25" i="3"/>
  <c r="EB27" i="3"/>
  <c r="FH29" i="3"/>
  <c r="GN31" i="3"/>
  <c r="HB33" i="3"/>
  <c r="M28" i="3"/>
  <c r="JT21" i="3"/>
  <c r="CW31" i="3"/>
  <c r="KZ19" i="3"/>
  <c r="JQ29" i="3"/>
  <c r="FQ31" i="3"/>
  <c r="LG1" i="3"/>
  <c r="FW20" i="3"/>
  <c r="JF28" i="3"/>
  <c r="DB30" i="3"/>
  <c r="LB31" i="3"/>
  <c r="EX33" i="3"/>
  <c r="LV17" i="3"/>
  <c r="BY21" i="3"/>
  <c r="EU23" i="3"/>
  <c r="DG24" i="3"/>
  <c r="AE25" i="3"/>
  <c r="LG25" i="3"/>
  <c r="IE26" i="3"/>
  <c r="FC27" i="3"/>
  <c r="CA28" i="3"/>
  <c r="NC28" i="3"/>
  <c r="KA29" i="3"/>
  <c r="GY30" i="3"/>
  <c r="DW31" i="3"/>
  <c r="AU32" i="3"/>
  <c r="LW32" i="3"/>
  <c r="EE33" i="3"/>
  <c r="GY33" i="3"/>
  <c r="CD11" i="3"/>
  <c r="IZ12" i="3"/>
  <c r="GQ13" i="3"/>
  <c r="CI14" i="3"/>
  <c r="ME14" i="3"/>
  <c r="HW15" i="3"/>
  <c r="DI16" i="3"/>
  <c r="IM16" i="3"/>
  <c r="G17" i="3"/>
  <c r="CI11" i="3"/>
  <c r="JC12" i="3"/>
  <c r="GR13" i="3"/>
  <c r="CJ14" i="3"/>
  <c r="MF14" i="3"/>
  <c r="HX15" i="3"/>
  <c r="DJ16" i="3"/>
  <c r="IO16" i="3"/>
  <c r="I17" i="3"/>
  <c r="BI17" i="3"/>
  <c r="MK17" i="3"/>
  <c r="HX18" i="3"/>
  <c r="KI17" i="3"/>
  <c r="GA18" i="3"/>
  <c r="P19" i="3"/>
  <c r="GZ19" i="3"/>
  <c r="AF20" i="3"/>
  <c r="HP20" i="3"/>
  <c r="AV21" i="3"/>
  <c r="IF21" i="3"/>
  <c r="BL22" i="3"/>
  <c r="HH22" i="3"/>
  <c r="KZ22" i="3"/>
  <c r="AN23" i="3"/>
  <c r="EF23" i="3"/>
  <c r="HX23" i="3"/>
  <c r="GH17" i="3"/>
  <c r="BZ18" i="3"/>
  <c r="KS18" i="3"/>
  <c r="DY19" i="3"/>
  <c r="LI19" i="3"/>
  <c r="EO20" i="3"/>
  <c r="LY20" i="3"/>
  <c r="FE21" i="3"/>
  <c r="MO21" i="3"/>
  <c r="FU22" i="3"/>
  <c r="JM22" i="3"/>
  <c r="A23" i="3"/>
  <c r="CS23" i="3"/>
  <c r="GK23" i="3"/>
  <c r="LQ17" i="3"/>
  <c r="EW19" i="3"/>
  <c r="FM20" i="3"/>
  <c r="GC21" i="3"/>
  <c r="GG22" i="3"/>
  <c r="M23" i="3"/>
  <c r="GW23" i="3"/>
  <c r="LX23" i="3"/>
  <c r="BL24" i="3"/>
  <c r="FD24" i="3"/>
  <c r="IV24" i="3"/>
  <c r="MN24" i="3"/>
  <c r="CB25" i="3"/>
  <c r="FT25" i="3"/>
  <c r="JL25" i="3"/>
  <c r="ND25" i="3"/>
  <c r="CR26" i="3"/>
  <c r="GJ26" i="3"/>
  <c r="KB26" i="3"/>
  <c r="P27" i="3"/>
  <c r="DH27" i="3"/>
  <c r="GZ27" i="3"/>
  <c r="KR27" i="3"/>
  <c r="AF28" i="3"/>
  <c r="DX28" i="3"/>
  <c r="HP28" i="3"/>
  <c r="LH28" i="3"/>
  <c r="AV29" i="3"/>
  <c r="EN29" i="3"/>
  <c r="IF29" i="3"/>
  <c r="LX29" i="3"/>
  <c r="BL30" i="3"/>
  <c r="FD30" i="3"/>
  <c r="IV30" i="3"/>
  <c r="MN30" i="3"/>
  <c r="CB31" i="3"/>
  <c r="FT31" i="3"/>
  <c r="JL31" i="3"/>
  <c r="ND31" i="3"/>
  <c r="CR32" i="3"/>
  <c r="GJ32" i="3"/>
  <c r="KB32" i="3"/>
  <c r="P33" i="3"/>
  <c r="DH33" i="3"/>
  <c r="GO33" i="3"/>
  <c r="IR33" i="3"/>
  <c r="KN33" i="3"/>
  <c r="MJ33" i="3"/>
  <c r="HY18" i="3"/>
  <c r="JD19" i="3"/>
  <c r="JT20" i="3"/>
  <c r="KJ21" i="3"/>
  <c r="IJ22" i="3"/>
  <c r="BP23" i="3"/>
  <c r="IZ23" i="3"/>
  <c r="MW23" i="3"/>
  <c r="CK24" i="3"/>
  <c r="GC24" i="3"/>
  <c r="JU24" i="3"/>
  <c r="I25" i="3"/>
  <c r="DA25" i="3"/>
  <c r="GS25" i="3"/>
  <c r="KK25" i="3"/>
  <c r="Y26" i="3"/>
  <c r="DQ26" i="3"/>
  <c r="HI26" i="3"/>
  <c r="LA26" i="3"/>
  <c r="AO27" i="3"/>
  <c r="EG27" i="3"/>
  <c r="HY27" i="3"/>
  <c r="LQ27" i="3"/>
  <c r="BE28" i="3"/>
  <c r="EW28" i="3"/>
  <c r="IO28" i="3"/>
  <c r="MG28" i="3"/>
  <c r="BU29" i="3"/>
  <c r="FM29" i="3"/>
  <c r="JE29" i="3"/>
  <c r="MW29" i="3"/>
  <c r="CK30" i="3"/>
  <c r="GC30" i="3"/>
  <c r="JU30" i="3"/>
  <c r="I31" i="3"/>
  <c r="DA31" i="3"/>
  <c r="GS31" i="3"/>
  <c r="KK31" i="3"/>
  <c r="Y32" i="3"/>
  <c r="DQ32" i="3"/>
  <c r="HI32" i="3"/>
  <c r="LA32" i="3"/>
  <c r="AO33" i="3"/>
  <c r="EG33" i="3"/>
  <c r="HF33" i="3"/>
  <c r="JE33" i="3"/>
  <c r="LA33" i="3"/>
  <c r="MW33" i="3"/>
  <c r="I19" i="3"/>
  <c r="Y20" i="3"/>
  <c r="AO21" i="3"/>
  <c r="BE22" i="3"/>
  <c r="KW22" i="3"/>
  <c r="EC23" i="3"/>
  <c r="KN23" i="3"/>
  <c r="AB24" i="3"/>
  <c r="DT24" i="3"/>
  <c r="HL24" i="3"/>
  <c r="LD24" i="3"/>
  <c r="AR25" i="3"/>
  <c r="EJ25" i="3"/>
  <c r="IB25" i="3"/>
  <c r="LT25" i="3"/>
  <c r="BH26" i="3"/>
  <c r="EZ26" i="3"/>
  <c r="IR26" i="3"/>
  <c r="MJ26" i="3"/>
  <c r="BX27" i="3"/>
  <c r="FP27" i="3"/>
  <c r="JH27" i="3"/>
  <c r="MZ27" i="3"/>
  <c r="CN28" i="3"/>
  <c r="GF28" i="3"/>
  <c r="JX28" i="3"/>
  <c r="L29" i="3"/>
  <c r="DD29" i="3"/>
  <c r="GV29" i="3"/>
  <c r="KN29" i="3"/>
  <c r="AB30" i="3"/>
  <c r="DT30" i="3"/>
  <c r="HL30" i="3"/>
  <c r="LD30" i="3"/>
  <c r="AR31" i="3"/>
  <c r="EJ31" i="3"/>
  <c r="IB31" i="3"/>
  <c r="LT31" i="3"/>
  <c r="BH32" i="3"/>
  <c r="EZ32" i="3"/>
  <c r="IR32" i="3"/>
  <c r="MJ32" i="3"/>
  <c r="BX33" i="3"/>
  <c r="FP33" i="3"/>
  <c r="HZ33" i="3"/>
  <c r="JV33" i="3"/>
  <c r="LR33" i="3"/>
  <c r="LP18" i="3"/>
  <c r="JX22" i="3"/>
  <c r="DE24" i="3"/>
  <c r="DU25" i="3"/>
  <c r="EK26" i="3"/>
  <c r="FA27" i="3"/>
  <c r="FQ28" i="3"/>
  <c r="GG29" i="3"/>
  <c r="GW30" i="3"/>
  <c r="HM31" i="3"/>
  <c r="IC32" i="3"/>
  <c r="HS33" i="3"/>
  <c r="DP19" i="3"/>
  <c r="MZ22" i="3"/>
  <c r="ES24" i="3"/>
  <c r="FI25" i="3"/>
  <c r="FY26" i="3"/>
  <c r="GO27" i="3"/>
  <c r="HE28" i="3"/>
  <c r="HU29" i="3"/>
  <c r="IK30" i="3"/>
  <c r="JA31" i="3"/>
  <c r="JQ32" i="3"/>
  <c r="IM33" i="3"/>
  <c r="JT19" i="3"/>
  <c r="BX23" i="3"/>
  <c r="GG24" i="3"/>
  <c r="GW25" i="3"/>
  <c r="HM26" i="3"/>
  <c r="IC27" i="3"/>
  <c r="HH21" i="3"/>
  <c r="MC23" i="3"/>
  <c r="MS24" i="3"/>
  <c r="E26" i="3"/>
  <c r="U27" i="3"/>
  <c r="AK28" i="3"/>
  <c r="BA29" i="3"/>
  <c r="BQ30" i="3"/>
  <c r="CG31" i="3"/>
  <c r="CW32" i="3"/>
  <c r="DM33" i="3"/>
  <c r="MM33" i="3"/>
  <c r="EK31" i="3"/>
  <c r="M29" i="3"/>
  <c r="BY33" i="3"/>
  <c r="LE30" i="3"/>
  <c r="GG28" i="3"/>
  <c r="IS32" i="3"/>
  <c r="II1" i="3"/>
  <c r="AY1" i="3"/>
  <c r="IE1" i="3"/>
  <c r="IA1" i="3"/>
  <c r="AM1" i="3"/>
  <c r="CW30" i="3"/>
  <c r="GN33" i="3"/>
  <c r="HO1" i="3"/>
  <c r="W1" i="3"/>
  <c r="JX32" i="3"/>
  <c r="KG25" i="3"/>
  <c r="LU25" i="3"/>
  <c r="HE31" i="3"/>
  <c r="FW1" i="3"/>
  <c r="HL27" i="3"/>
  <c r="JC24" i="3"/>
  <c r="GK27" i="3"/>
  <c r="MS23" i="3"/>
  <c r="S22" i="3"/>
  <c r="LB28" i="3"/>
  <c r="EX30" i="3"/>
  <c r="MX31" i="3"/>
  <c r="MP9" i="3"/>
  <c r="CP18" i="3"/>
  <c r="FQ21" i="3"/>
  <c r="GQ23" i="3"/>
  <c r="DO24" i="3"/>
  <c r="AM25" i="3"/>
  <c r="LO25" i="3"/>
  <c r="IM26" i="3"/>
  <c r="FK27" i="3"/>
  <c r="CI28" i="3"/>
  <c r="G29" i="3"/>
  <c r="KI29" i="3"/>
  <c r="HG30" i="3"/>
  <c r="EE31" i="3"/>
  <c r="BC32" i="3"/>
  <c r="ME32" i="3"/>
  <c r="EI33" i="3"/>
  <c r="HC33" i="3"/>
  <c r="FK11" i="3"/>
  <c r="KF12" i="3"/>
  <c r="HL13" i="3"/>
  <c r="DD14" i="3"/>
  <c r="MZ14" i="3"/>
  <c r="IR15" i="3"/>
  <c r="DY16" i="3"/>
  <c r="IX16" i="3"/>
  <c r="MQ6" i="3"/>
  <c r="FP11" i="3"/>
  <c r="KI12" i="3"/>
  <c r="HM13" i="3"/>
  <c r="DE14" i="3"/>
  <c r="NA14" i="3"/>
  <c r="IS15" i="3"/>
  <c r="DZ16" i="3"/>
  <c r="IY16" i="3"/>
  <c r="S17" i="3"/>
  <c r="CY17" i="3"/>
  <c r="B18" i="3"/>
  <c r="IN18" i="3"/>
  <c r="LE17" i="3"/>
  <c r="GW18" i="3"/>
  <c r="AF19" i="3"/>
  <c r="HP19" i="3"/>
  <c r="AV20" i="3"/>
  <c r="IF20" i="3"/>
  <c r="BL21" i="3"/>
  <c r="IV21" i="3"/>
  <c r="CB22" i="3"/>
  <c r="HP22" i="3"/>
  <c r="LH22" i="3"/>
  <c r="AV23" i="3"/>
  <c r="EN23" i="3"/>
  <c r="IF23" i="3"/>
  <c r="HC17" i="3"/>
  <c r="CU18" i="3"/>
  <c r="LI18" i="3"/>
  <c r="EO19" i="3"/>
  <c r="LY19" i="3"/>
  <c r="FE20" i="3"/>
  <c r="MO20" i="3"/>
  <c r="FU21" i="3"/>
  <c r="A22" i="3"/>
  <c r="GC22" i="3"/>
  <c r="JU22" i="3"/>
  <c r="I23" i="3"/>
  <c r="DA23" i="3"/>
  <c r="GS23" i="3"/>
  <c r="AT18" i="3"/>
  <c r="GC19" i="3"/>
  <c r="GS20" i="3"/>
  <c r="HI21" i="3"/>
  <c r="GW22" i="3"/>
  <c r="AC23" i="3"/>
  <c r="HM23" i="3"/>
  <c r="MF23" i="3"/>
  <c r="BT24" i="3"/>
  <c r="FL24" i="3"/>
  <c r="JD24" i="3"/>
  <c r="MV24" i="3"/>
  <c r="CJ25" i="3"/>
  <c r="GB25" i="3"/>
  <c r="JT25" i="3"/>
  <c r="H26" i="3"/>
  <c r="CZ26" i="3"/>
  <c r="GR26" i="3"/>
  <c r="KJ26" i="3"/>
  <c r="X27" i="3"/>
  <c r="DP27" i="3"/>
  <c r="HH27" i="3"/>
  <c r="KZ27" i="3"/>
  <c r="AN28" i="3"/>
  <c r="EF28" i="3"/>
  <c r="HX28" i="3"/>
  <c r="LP28" i="3"/>
  <c r="BD29" i="3"/>
  <c r="EV29" i="3"/>
  <c r="IN29" i="3"/>
  <c r="MF29" i="3"/>
  <c r="BT30" i="3"/>
  <c r="FL30" i="3"/>
  <c r="JD30" i="3"/>
  <c r="MV30" i="3"/>
  <c r="CJ31" i="3"/>
  <c r="GB31" i="3"/>
  <c r="JT31" i="3"/>
  <c r="H32" i="3"/>
  <c r="CZ32" i="3"/>
  <c r="GR32" i="3"/>
  <c r="KJ32" i="3"/>
  <c r="X33" i="3"/>
  <c r="DP33" i="3"/>
  <c r="GT33" i="3"/>
  <c r="IV33" i="3"/>
  <c r="KR33" i="3"/>
  <c r="MN33" i="3"/>
  <c r="JT18" i="3"/>
  <c r="KJ19" i="3"/>
  <c r="KZ20" i="3"/>
  <c r="LP21" i="3"/>
  <c r="IZ22" i="3"/>
  <c r="CF23" i="3"/>
  <c r="JI23" i="3"/>
  <c r="A24" i="3"/>
  <c r="CS24" i="3"/>
  <c r="GK24" i="3"/>
  <c r="KC24" i="3"/>
  <c r="Q25" i="3"/>
  <c r="DI25" i="3"/>
  <c r="HA25" i="3"/>
  <c r="KS25" i="3"/>
  <c r="AG26" i="3"/>
  <c r="DY26" i="3"/>
  <c r="HQ26" i="3"/>
  <c r="LI26" i="3"/>
  <c r="AW27" i="3"/>
  <c r="EO27" i="3"/>
  <c r="IG27" i="3"/>
  <c r="LY27" i="3"/>
  <c r="BM28" i="3"/>
  <c r="FE28" i="3"/>
  <c r="IW28" i="3"/>
  <c r="MO28" i="3"/>
  <c r="CC29" i="3"/>
  <c r="FU29" i="3"/>
  <c r="JM29" i="3"/>
  <c r="A30" i="3"/>
  <c r="CS30" i="3"/>
  <c r="GK30" i="3"/>
  <c r="KC30" i="3"/>
  <c r="Q31" i="3"/>
  <c r="DI31" i="3"/>
  <c r="HA31" i="3"/>
  <c r="KS31" i="3"/>
  <c r="AG32" i="3"/>
  <c r="DY32" i="3"/>
  <c r="HQ32" i="3"/>
  <c r="LI32" i="3"/>
  <c r="AW33" i="3"/>
  <c r="EO33" i="3"/>
  <c r="HL33" i="3"/>
  <c r="JI33" i="3"/>
  <c r="LE33" i="3"/>
  <c r="NA33" i="3"/>
  <c r="AO19" i="3"/>
  <c r="BE20" i="3"/>
  <c r="BU21" i="3"/>
  <c r="CK22" i="3"/>
  <c r="LM22" i="3"/>
  <c r="ES23" i="3"/>
  <c r="KV23" i="3"/>
  <c r="AJ24" i="3"/>
  <c r="EB24" i="3"/>
  <c r="HT24" i="3"/>
  <c r="LL24" i="3"/>
  <c r="AZ25" i="3"/>
  <c r="ER25" i="3"/>
  <c r="IJ25" i="3"/>
  <c r="MB25" i="3"/>
  <c r="BP26" i="3"/>
  <c r="FH26" i="3"/>
  <c r="IZ26" i="3"/>
  <c r="MR26" i="3"/>
  <c r="CF27" i="3"/>
  <c r="FX27" i="3"/>
  <c r="JP27" i="3"/>
  <c r="D28" i="3"/>
  <c r="CV28" i="3"/>
  <c r="GN28" i="3"/>
  <c r="KF28" i="3"/>
  <c r="T29" i="3"/>
  <c r="DL29" i="3"/>
  <c r="HD29" i="3"/>
  <c r="KV29" i="3"/>
  <c r="AJ30" i="3"/>
  <c r="EB30" i="3"/>
  <c r="HT30" i="3"/>
  <c r="LL30" i="3"/>
  <c r="AZ31" i="3"/>
  <c r="ER31" i="3"/>
  <c r="IJ31" i="3"/>
  <c r="MB31" i="3"/>
  <c r="BP32" i="3"/>
  <c r="FH32" i="3"/>
  <c r="IZ32" i="3"/>
  <c r="MR32" i="3"/>
  <c r="CF33" i="3"/>
  <c r="FV33" i="3"/>
  <c r="ID33" i="3"/>
  <c r="JZ33" i="3"/>
  <c r="LV33" i="3"/>
  <c r="CJ19" i="3"/>
  <c r="MJ22" i="3"/>
  <c r="EK24" i="3"/>
  <c r="FA25" i="3"/>
  <c r="FQ26" i="3"/>
  <c r="GG27" i="3"/>
  <c r="GW28" i="3"/>
  <c r="HM29" i="3"/>
  <c r="IC30" i="3"/>
  <c r="IS31" i="3"/>
  <c r="JI32" i="3"/>
  <c r="II33" i="3"/>
  <c r="IN19" i="3"/>
  <c r="BH23" i="3"/>
  <c r="FY24" i="3"/>
  <c r="GO25" i="3"/>
  <c r="HE26" i="3"/>
  <c r="HU27" i="3"/>
  <c r="IK28" i="3"/>
  <c r="JA29" i="3"/>
  <c r="JQ30" i="3"/>
  <c r="KG31" i="3"/>
  <c r="KW32" i="3"/>
  <c r="JC33" i="3"/>
  <c r="AN20" i="3"/>
  <c r="EJ23" i="3"/>
  <c r="HM24" i="3"/>
  <c r="IC25" i="3"/>
  <c r="IS26" i="3"/>
  <c r="JI27" i="3"/>
  <c r="MF21" i="3"/>
  <c r="E24" i="3"/>
  <c r="U25" i="3"/>
  <c r="AK26" i="3"/>
  <c r="BA27" i="3"/>
  <c r="CG29" i="3"/>
  <c r="DM31" i="3"/>
  <c r="ES33" i="3"/>
  <c r="JI31" i="3"/>
  <c r="M33" i="3"/>
  <c r="AA1" i="3"/>
  <c r="MH33" i="3"/>
  <c r="KY33" i="3"/>
  <c r="HN33" i="3"/>
  <c r="AC1" i="3"/>
  <c r="IB28" i="3"/>
  <c r="MV20" i="3"/>
  <c r="AS32" i="3"/>
  <c r="BQ31" i="3"/>
  <c r="AB23" i="3"/>
  <c r="DE29" i="3"/>
  <c r="LS1" i="3"/>
  <c r="C16" i="3"/>
  <c r="W27" i="3"/>
  <c r="MU30" i="3"/>
  <c r="CU12" i="3"/>
  <c r="L16" i="3"/>
  <c r="CY12" i="3"/>
  <c r="M16" i="3"/>
  <c r="GG17" i="3"/>
  <c r="EN20" i="3"/>
  <c r="CR23" i="3"/>
  <c r="IG19" i="3"/>
  <c r="HY22" i="3"/>
  <c r="Y21" i="3"/>
  <c r="KZ24" i="3"/>
  <c r="EV26" i="3"/>
  <c r="CJ28" i="3"/>
  <c r="KJ29" i="3"/>
  <c r="HX31" i="3"/>
  <c r="FL33" i="3"/>
  <c r="EF21" i="3"/>
  <c r="LY24" i="3"/>
  <c r="JM26" i="3"/>
  <c r="AG29" i="3"/>
  <c r="IG30" i="3"/>
  <c r="JM32" i="3"/>
  <c r="FR18" i="3"/>
  <c r="CF24" i="3"/>
  <c r="DL26" i="3"/>
  <c r="ER28" i="3"/>
  <c r="CF30" i="3"/>
  <c r="DL32" i="3"/>
  <c r="DP21" i="3"/>
  <c r="CO33" i="3"/>
  <c r="BT22" i="3"/>
  <c r="IC29" i="3"/>
  <c r="AU13" i="3"/>
  <c r="LZ16" i="3"/>
  <c r="MX28" i="3"/>
  <c r="GT30" i="3"/>
  <c r="AP32" i="3"/>
  <c r="CD12" i="3"/>
  <c r="HM18" i="3"/>
  <c r="JI21" i="3"/>
  <c r="IE23" i="3"/>
  <c r="FC24" i="3"/>
  <c r="CA25" i="3"/>
  <c r="NC25" i="3"/>
  <c r="KA26" i="3"/>
  <c r="GY27" i="3"/>
  <c r="DW28" i="3"/>
  <c r="AU29" i="3"/>
  <c r="LW29" i="3"/>
  <c r="IU30" i="3"/>
  <c r="FS31" i="3"/>
  <c r="CQ32" i="3"/>
  <c r="O33" i="3"/>
  <c r="EM33" i="3"/>
  <c r="HG33" i="3"/>
  <c r="IR11" i="3"/>
  <c r="LL12" i="3"/>
  <c r="IG13" i="3"/>
  <c r="DY14" i="3"/>
  <c r="Q15" i="3"/>
  <c r="JM15" i="3"/>
  <c r="EK16" i="3"/>
  <c r="JI16" i="3"/>
  <c r="ED8" i="3"/>
  <c r="IX11" i="3"/>
  <c r="LO12" i="3"/>
  <c r="II13" i="3"/>
  <c r="EA14" i="3"/>
  <c r="S15" i="3"/>
  <c r="JO15" i="3"/>
  <c r="EL16" i="3"/>
  <c r="JJ16" i="3"/>
  <c r="AD17" i="3"/>
  <c r="EE17" i="3"/>
  <c r="W18" i="3"/>
  <c r="AM17" i="3"/>
  <c r="LZ17" i="3"/>
  <c r="HP18" i="3"/>
  <c r="AV19" i="3"/>
  <c r="IF19" i="3"/>
  <c r="BL20" i="3"/>
  <c r="IV20" i="3"/>
  <c r="CB21" i="3"/>
  <c r="JL21" i="3"/>
  <c r="CR22" i="3"/>
  <c r="HX22" i="3"/>
  <c r="LP22" i="3"/>
  <c r="BD23" i="3"/>
  <c r="EV23" i="3"/>
  <c r="IN23" i="3"/>
  <c r="HY17" i="3"/>
  <c r="DQ18" i="3"/>
  <c r="LY18" i="3"/>
  <c r="FE19" i="3"/>
  <c r="MO19" i="3"/>
  <c r="FU20" i="3"/>
  <c r="A21" i="3"/>
  <c r="GK21" i="3"/>
  <c r="Q22" i="3"/>
  <c r="GK22" i="3"/>
  <c r="KC22" i="3"/>
  <c r="Q23" i="3"/>
  <c r="DI23" i="3"/>
  <c r="HA23" i="3"/>
  <c r="EA18" i="3"/>
  <c r="HI19" i="3"/>
  <c r="HY20" i="3"/>
  <c r="IO21" i="3"/>
  <c r="HM22" i="3"/>
  <c r="AS23" i="3"/>
  <c r="IC23" i="3"/>
  <c r="MN23" i="3"/>
  <c r="CB24" i="3"/>
  <c r="FT24" i="3"/>
  <c r="JL24" i="3"/>
  <c r="ND24" i="3"/>
  <c r="CR25" i="3"/>
  <c r="GJ25" i="3"/>
  <c r="KB25" i="3"/>
  <c r="P26" i="3"/>
  <c r="DH26" i="3"/>
  <c r="GZ26" i="3"/>
  <c r="KR26" i="3"/>
  <c r="AF27" i="3"/>
  <c r="DX27" i="3"/>
  <c r="HP27" i="3"/>
  <c r="LH27" i="3"/>
  <c r="AV28" i="3"/>
  <c r="EN28" i="3"/>
  <c r="IF28" i="3"/>
  <c r="LX28" i="3"/>
  <c r="BL29" i="3"/>
  <c r="FD29" i="3"/>
  <c r="IV29" i="3"/>
  <c r="MN29" i="3"/>
  <c r="CB30" i="3"/>
  <c r="FT30" i="3"/>
  <c r="JL30" i="3"/>
  <c r="ND30" i="3"/>
  <c r="CR31" i="3"/>
  <c r="GJ31" i="3"/>
  <c r="KB31" i="3"/>
  <c r="P32" i="3"/>
  <c r="DH32" i="3"/>
  <c r="GZ32" i="3"/>
  <c r="KR32" i="3"/>
  <c r="AF33" i="3"/>
  <c r="DX33" i="3"/>
  <c r="GZ33" i="3"/>
  <c r="IZ33" i="3"/>
  <c r="KV33" i="3"/>
  <c r="MR33" i="3"/>
  <c r="KZ18" i="3"/>
  <c r="LP19" i="3"/>
  <c r="MF20" i="3"/>
  <c r="MV21" i="3"/>
  <c r="JP22" i="3"/>
  <c r="CV23" i="3"/>
  <c r="JU23" i="3"/>
  <c r="I24" i="3"/>
  <c r="DA24" i="3"/>
  <c r="GS24" i="3"/>
  <c r="KK24" i="3"/>
  <c r="Y25" i="3"/>
  <c r="DQ25" i="3"/>
  <c r="HI25" i="3"/>
  <c r="LA25" i="3"/>
  <c r="AO26" i="3"/>
  <c r="EG26" i="3"/>
  <c r="HY26" i="3"/>
  <c r="LQ26" i="3"/>
  <c r="BE27" i="3"/>
  <c r="EW27" i="3"/>
  <c r="IO27" i="3"/>
  <c r="MG27" i="3"/>
  <c r="BU28" i="3"/>
  <c r="FM28" i="3"/>
  <c r="JE28" i="3"/>
  <c r="MW28" i="3"/>
  <c r="CK29" i="3"/>
  <c r="GC29" i="3"/>
  <c r="JU29" i="3"/>
  <c r="I30" i="3"/>
  <c r="DA30" i="3"/>
  <c r="GS30" i="3"/>
  <c r="KK30" i="3"/>
  <c r="Y31" i="3"/>
  <c r="DQ31" i="3"/>
  <c r="HI31" i="3"/>
  <c r="LA31" i="3"/>
  <c r="AO32" i="3"/>
  <c r="EG32" i="3"/>
  <c r="HY32" i="3"/>
  <c r="LQ32" i="3"/>
  <c r="BE33" i="3"/>
  <c r="EW33" i="3"/>
  <c r="HQ33" i="3"/>
  <c r="JM33" i="3"/>
  <c r="LI33" i="3"/>
  <c r="DJ17" i="3"/>
  <c r="DJ35" i="3" s="1"/>
  <c r="DJ6" i="22" s="1"/>
  <c r="BU19" i="3"/>
  <c r="CK20" i="3"/>
  <c r="DA21" i="3"/>
  <c r="DQ22" i="3"/>
  <c r="MC22" i="3"/>
  <c r="FI23" i="3"/>
  <c r="LD23" i="3"/>
  <c r="AR24" i="3"/>
  <c r="EJ24" i="3"/>
  <c r="IB24" i="3"/>
  <c r="LT24" i="3"/>
  <c r="BH25" i="3"/>
  <c r="EZ25" i="3"/>
  <c r="IR25" i="3"/>
  <c r="MJ25" i="3"/>
  <c r="BX26" i="3"/>
  <c r="FP26" i="3"/>
  <c r="JH26" i="3"/>
  <c r="MZ26" i="3"/>
  <c r="CN27" i="3"/>
  <c r="GF27" i="3"/>
  <c r="JX27" i="3"/>
  <c r="L28" i="3"/>
  <c r="DD28" i="3"/>
  <c r="GV28" i="3"/>
  <c r="KN28" i="3"/>
  <c r="AB29" i="3"/>
  <c r="DT29" i="3"/>
  <c r="HL29" i="3"/>
  <c r="LD29" i="3"/>
  <c r="AR30" i="3"/>
  <c r="EJ30" i="3"/>
  <c r="IB30" i="3"/>
  <c r="LT30" i="3"/>
  <c r="BH31" i="3"/>
  <c r="EZ31" i="3"/>
  <c r="IR31" i="3"/>
  <c r="MJ31" i="3"/>
  <c r="BX32" i="3"/>
  <c r="FP32" i="3"/>
  <c r="JH32" i="3"/>
  <c r="MZ32" i="3"/>
  <c r="CN33" i="3"/>
  <c r="GB33" i="3"/>
  <c r="IH33" i="3"/>
  <c r="KD33" i="3"/>
  <c r="LZ33" i="3"/>
  <c r="HH19" i="3"/>
  <c r="AR23" i="3"/>
  <c r="FQ24" i="3"/>
  <c r="GG25" i="3"/>
  <c r="GW26" i="3"/>
  <c r="HM27" i="3"/>
  <c r="IC28" i="3"/>
  <c r="IS29" i="3"/>
  <c r="JI30" i="3"/>
  <c r="JY31" i="3"/>
  <c r="KO32" i="3"/>
  <c r="IY33" i="3"/>
  <c r="H20" i="3"/>
  <c r="DT23" i="3"/>
  <c r="HE24" i="3"/>
  <c r="HU25" i="3"/>
  <c r="IK26" i="3"/>
  <c r="JA27" i="3"/>
  <c r="JQ28" i="3"/>
  <c r="KG29" i="3"/>
  <c r="KW30" i="3"/>
  <c r="LM31" i="3"/>
  <c r="MC32" i="3"/>
  <c r="JS33" i="3"/>
  <c r="FL20" i="3"/>
  <c r="GV23" i="3"/>
  <c r="IS24" i="3"/>
  <c r="JI25" i="3"/>
  <c r="JY26" i="3"/>
  <c r="KO27" i="3"/>
  <c r="CZ22" i="3"/>
  <c r="AK24" i="3"/>
  <c r="BA25" i="3"/>
  <c r="BQ26" i="3"/>
  <c r="CG27" i="3"/>
  <c r="CW28" i="3"/>
  <c r="DM29" i="3"/>
  <c r="EC30" i="3"/>
  <c r="ES31" i="3"/>
  <c r="FI32" i="3"/>
  <c r="FX33" i="3"/>
  <c r="LU27" i="3"/>
  <c r="AC32" i="3"/>
  <c r="JI29" i="3"/>
  <c r="JG33" i="3"/>
  <c r="GW31" i="3"/>
  <c r="BY29" i="3"/>
  <c r="EK33" i="3"/>
  <c r="HC1" i="3"/>
  <c r="S1" i="3"/>
  <c r="GY1" i="3"/>
  <c r="O1" i="3"/>
  <c r="GU1" i="3"/>
  <c r="K1" i="3"/>
  <c r="GQ1" i="3"/>
  <c r="G1" i="3"/>
  <c r="KN27" i="3"/>
  <c r="FP23" i="3"/>
  <c r="MK31" i="3"/>
  <c r="JQ24" i="3"/>
  <c r="E31" i="3"/>
  <c r="KO23" i="3"/>
  <c r="KJ18" i="3"/>
  <c r="FI28" i="3"/>
  <c r="JY32" i="3"/>
  <c r="AG1" i="3"/>
  <c r="LD27" i="3"/>
  <c r="MP33" i="3"/>
  <c r="AC31" i="3"/>
  <c r="BA30" i="3"/>
  <c r="GB19" i="3"/>
  <c r="JQ31" i="3"/>
  <c r="EQ1" i="3"/>
  <c r="JV32" i="3"/>
  <c r="W10" i="3"/>
  <c r="IC14" i="3"/>
  <c r="DX19" i="3"/>
  <c r="AX17" i="3"/>
  <c r="BE23" i="3"/>
  <c r="X24" i="3"/>
  <c r="BD26" i="3"/>
  <c r="GB28" i="3"/>
  <c r="HH30" i="3"/>
  <c r="EV32" i="3"/>
  <c r="LP33" i="3"/>
  <c r="LI23" i="3"/>
  <c r="FU26" i="3"/>
  <c r="DY29" i="3"/>
  <c r="IW31" i="3"/>
  <c r="IK33" i="3"/>
  <c r="IK23" i="3"/>
  <c r="GN25" i="3"/>
  <c r="HT27" i="3"/>
  <c r="MR29" i="3"/>
  <c r="T32" i="3"/>
  <c r="KX33" i="3"/>
  <c r="AC29" i="3"/>
  <c r="AK27" i="3"/>
  <c r="MU33" i="3"/>
  <c r="CN23" i="3"/>
  <c r="KG30" i="3"/>
  <c r="AS29" i="3"/>
  <c r="DW1" i="3"/>
  <c r="AK16" i="3"/>
  <c r="FP20" i="3"/>
  <c r="AP29" i="3"/>
  <c r="IP30" i="3"/>
  <c r="CL32" i="3"/>
  <c r="CE13" i="3"/>
  <c r="LE18" i="3"/>
  <c r="NA21" i="3"/>
  <c r="IM23" i="3"/>
  <c r="FK24" i="3"/>
  <c r="CI25" i="3"/>
  <c r="G26" i="3"/>
  <c r="KI26" i="3"/>
  <c r="HG27" i="3"/>
  <c r="EE28" i="3"/>
  <c r="BC29" i="3"/>
  <c r="ME29" i="3"/>
  <c r="JC30" i="3"/>
  <c r="GA31" i="3"/>
  <c r="CY32" i="3"/>
  <c r="W33" i="3"/>
  <c r="EY33" i="3"/>
  <c r="LA6" i="3"/>
  <c r="KJ11" i="3"/>
  <c r="MR12" i="3"/>
  <c r="JC13" i="3"/>
  <c r="EU14" i="3"/>
  <c r="AM15" i="3"/>
  <c r="KI15" i="3"/>
  <c r="EU16" i="3"/>
  <c r="JS16" i="3"/>
  <c r="F9" i="3"/>
  <c r="KN11" i="3"/>
  <c r="MU12" i="3"/>
  <c r="JD13" i="3"/>
  <c r="EV14" i="3"/>
  <c r="AN15" i="3"/>
  <c r="KJ15" i="3"/>
  <c r="EW16" i="3"/>
  <c r="JU16" i="3"/>
  <c r="AO17" i="3"/>
  <c r="FA17" i="3"/>
  <c r="AS18" i="3"/>
  <c r="CD17" i="3"/>
  <c r="MU17" i="3"/>
  <c r="IF18" i="3"/>
  <c r="BL19" i="3"/>
  <c r="IV19" i="3"/>
  <c r="CB20" i="3"/>
  <c r="JL20" i="3"/>
  <c r="CR21" i="3"/>
  <c r="KB21" i="3"/>
  <c r="DH22" i="3"/>
  <c r="IF22" i="3"/>
  <c r="LX22" i="3"/>
  <c r="BL23" i="3"/>
  <c r="FD23" i="3"/>
  <c r="IV23" i="3"/>
  <c r="IT17" i="3"/>
  <c r="EL18" i="3"/>
  <c r="MO18" i="3"/>
  <c r="FU19" i="3"/>
  <c r="A20" i="3"/>
  <c r="GK20" i="3"/>
  <c r="Q21" i="3"/>
  <c r="HA21" i="3"/>
  <c r="AG22" i="3"/>
  <c r="GS22" i="3"/>
  <c r="KK22" i="3"/>
  <c r="Y23" i="3"/>
  <c r="DQ23" i="3"/>
  <c r="HI23" i="3"/>
  <c r="HI18" i="3"/>
  <c r="IO19" i="3"/>
  <c r="JE20" i="3"/>
  <c r="JU21" i="3"/>
  <c r="IC22" i="3"/>
  <c r="BI23" i="3"/>
  <c r="IS23" i="3"/>
  <c r="MV23" i="3"/>
  <c r="CJ24" i="3"/>
  <c r="GB24" i="3"/>
  <c r="JT24" i="3"/>
  <c r="H25" i="3"/>
  <c r="CZ25" i="3"/>
  <c r="GR25" i="3"/>
  <c r="KJ25" i="3"/>
  <c r="X26" i="3"/>
  <c r="DP26" i="3"/>
  <c r="HH26" i="3"/>
  <c r="KZ26" i="3"/>
  <c r="AN27" i="3"/>
  <c r="EF27" i="3"/>
  <c r="HX27" i="3"/>
  <c r="LP27" i="3"/>
  <c r="BD28" i="3"/>
  <c r="EV28" i="3"/>
  <c r="IN28" i="3"/>
  <c r="MF28" i="3"/>
  <c r="BT29" i="3"/>
  <c r="FL29" i="3"/>
  <c r="JD29" i="3"/>
  <c r="MV29" i="3"/>
  <c r="CJ30" i="3"/>
  <c r="GB30" i="3"/>
  <c r="JT30" i="3"/>
  <c r="H31" i="3"/>
  <c r="CZ31" i="3"/>
  <c r="GR31" i="3"/>
  <c r="KJ31" i="3"/>
  <c r="X32" i="3"/>
  <c r="DP32" i="3"/>
  <c r="HH32" i="3"/>
  <c r="KZ32" i="3"/>
  <c r="AN33" i="3"/>
  <c r="EF33" i="3"/>
  <c r="HE33" i="3"/>
  <c r="JD33" i="3"/>
  <c r="KZ33" i="3"/>
  <c r="MV33" i="3"/>
  <c r="MF18" i="3"/>
  <c r="MV19" i="3"/>
  <c r="H21" i="3"/>
  <c r="X22" i="3"/>
  <c r="KF22" i="3"/>
  <c r="DL23" i="3"/>
  <c r="KC23" i="3"/>
  <c r="Q24" i="3"/>
  <c r="DI24" i="3"/>
  <c r="HA24" i="3"/>
  <c r="KS24" i="3"/>
  <c r="AG25" i="3"/>
  <c r="DY25" i="3"/>
  <c r="HQ25" i="3"/>
  <c r="LI25" i="3"/>
  <c r="AW26" i="3"/>
  <c r="EO26" i="3"/>
  <c r="IG26" i="3"/>
  <c r="LY26" i="3"/>
  <c r="BM27" i="3"/>
  <c r="FE27" i="3"/>
  <c r="IW27" i="3"/>
  <c r="MO27" i="3"/>
  <c r="CC28" i="3"/>
  <c r="FU28" i="3"/>
  <c r="JM28" i="3"/>
  <c r="A29" i="3"/>
  <c r="CS29" i="3"/>
  <c r="GK29" i="3"/>
  <c r="KC29" i="3"/>
  <c r="Q30" i="3"/>
  <c r="DI30" i="3"/>
  <c r="HA30" i="3"/>
  <c r="KS30" i="3"/>
  <c r="AG31" i="3"/>
  <c r="DY31" i="3"/>
  <c r="HQ31" i="3"/>
  <c r="LI31" i="3"/>
  <c r="AW32" i="3"/>
  <c r="EO32" i="3"/>
  <c r="IG32" i="3"/>
  <c r="LY32" i="3"/>
  <c r="BM33" i="3"/>
  <c r="FE33" i="3"/>
  <c r="HU33" i="3"/>
  <c r="JQ33" i="3"/>
  <c r="LM33" i="3"/>
  <c r="GS17" i="3"/>
  <c r="DA19" i="3"/>
  <c r="DQ20" i="3"/>
  <c r="EG21" i="3"/>
  <c r="EW22" i="3"/>
  <c r="MS22" i="3"/>
  <c r="FY23" i="3"/>
  <c r="LL23" i="3"/>
  <c r="AZ24" i="3"/>
  <c r="ER24" i="3"/>
  <c r="IJ24" i="3"/>
  <c r="MB24" i="3"/>
  <c r="BP25" i="3"/>
  <c r="FH25" i="3"/>
  <c r="IZ25" i="3"/>
  <c r="MR25" i="3"/>
  <c r="CF26" i="3"/>
  <c r="FX26" i="3"/>
  <c r="JP26" i="3"/>
  <c r="D27" i="3"/>
  <c r="CV27" i="3"/>
  <c r="GN27" i="3"/>
  <c r="KF27" i="3"/>
  <c r="T28" i="3"/>
  <c r="DL28" i="3"/>
  <c r="HD28" i="3"/>
  <c r="KV28" i="3"/>
  <c r="AJ29" i="3"/>
  <c r="EB29" i="3"/>
  <c r="HT29" i="3"/>
  <c r="LL29" i="3"/>
  <c r="AZ30" i="3"/>
  <c r="ER30" i="3"/>
  <c r="IJ30" i="3"/>
  <c r="MB30" i="3"/>
  <c r="BP31" i="3"/>
  <c r="FH31" i="3"/>
  <c r="IZ31" i="3"/>
  <c r="MR31" i="3"/>
  <c r="CF32" i="3"/>
  <c r="FX32" i="3"/>
  <c r="JP32" i="3"/>
  <c r="D33" i="3"/>
  <c r="CV33" i="3"/>
  <c r="GG33" i="3"/>
  <c r="IL33" i="3"/>
  <c r="KH33" i="3"/>
  <c r="MD33" i="3"/>
  <c r="MF19" i="3"/>
  <c r="DD23" i="3"/>
  <c r="GW24" i="3"/>
  <c r="HM25" i="3"/>
  <c r="IC26" i="3"/>
  <c r="IS27" i="3"/>
  <c r="JI28" i="3"/>
  <c r="JY29" i="3"/>
  <c r="KO30" i="3"/>
  <c r="LE31" i="3"/>
  <c r="LU32" i="3"/>
  <c r="JO33" i="3"/>
  <c r="EF20" i="3"/>
  <c r="GF23" i="3"/>
  <c r="IK24" i="3"/>
  <c r="JA25" i="3"/>
  <c r="JQ26" i="3"/>
  <c r="KG27" i="3"/>
  <c r="KW28" i="3"/>
  <c r="LM29" i="3"/>
  <c r="MC30" i="3"/>
  <c r="MS31" i="3"/>
  <c r="E33" i="3"/>
  <c r="KI33" i="3"/>
  <c r="KJ20" i="3"/>
  <c r="JE23" i="3"/>
  <c r="JY24" i="3"/>
  <c r="KO25" i="3"/>
  <c r="LE26" i="3"/>
  <c r="Y18" i="3"/>
  <c r="GV22" i="3"/>
  <c r="BQ24" i="3"/>
  <c r="CG25" i="3"/>
  <c r="CW26" i="3"/>
  <c r="DM27" i="3"/>
  <c r="EC28" i="3"/>
  <c r="ES29" i="3"/>
  <c r="FI30" i="3"/>
  <c r="FY31" i="3"/>
  <c r="GO32" i="3"/>
  <c r="GS33" i="3"/>
  <c r="CO28" i="3"/>
  <c r="FA32" i="3"/>
  <c r="AC30" i="3"/>
  <c r="LS33" i="3"/>
  <c r="LU31" i="3"/>
  <c r="GW29" i="3"/>
  <c r="IA33" i="3"/>
  <c r="GM1" i="3"/>
  <c r="C1" i="3"/>
  <c r="GI1" i="3"/>
  <c r="B1" i="3"/>
  <c r="GE1" i="3"/>
  <c r="AO1" i="3"/>
  <c r="GA1" i="3"/>
  <c r="AK1" i="3"/>
  <c r="GF26" i="3"/>
  <c r="IP33" i="3"/>
  <c r="KO28" i="3"/>
  <c r="KE33" i="3"/>
  <c r="KW26" i="3"/>
  <c r="AK33" i="3"/>
  <c r="LE24" i="3"/>
  <c r="DM25" i="3"/>
  <c r="FY29" i="3"/>
  <c r="FA30" i="3"/>
  <c r="FS1" i="3"/>
  <c r="BH29" i="3"/>
  <c r="KT33" i="3"/>
  <c r="NA28" i="3"/>
  <c r="MC24" i="3"/>
  <c r="CW33" i="3"/>
  <c r="AS27" i="3"/>
  <c r="HU28" i="3"/>
  <c r="JY28" i="3"/>
  <c r="EM1" i="3"/>
  <c r="EU29" i="3"/>
  <c r="DT15" i="3"/>
  <c r="DU15" i="3"/>
  <c r="KR18" i="3"/>
  <c r="FT22" i="3"/>
  <c r="HQ18" i="3"/>
  <c r="JM21" i="3"/>
  <c r="MW18" i="3"/>
  <c r="DP24" i="3"/>
  <c r="MF26" i="3"/>
  <c r="H29" i="3"/>
  <c r="EF31" i="3"/>
  <c r="HX33" i="3"/>
  <c r="MR22" i="3"/>
  <c r="IW25" i="3"/>
  <c r="HA28" i="3"/>
  <c r="LY30" i="3"/>
  <c r="A33" i="3"/>
  <c r="IO20" i="3"/>
  <c r="JP24" i="3"/>
  <c r="AJ27" i="3"/>
  <c r="BP29" i="3"/>
  <c r="CV31" i="3"/>
  <c r="EB33" i="3"/>
  <c r="NA26" i="3"/>
  <c r="MA33" i="3"/>
  <c r="CG30" i="3"/>
  <c r="AS25" i="3"/>
  <c r="IK27" i="3"/>
  <c r="IQ33" i="3"/>
  <c r="EA1" i="3"/>
  <c r="DO1" i="3"/>
  <c r="JD11" i="3"/>
  <c r="JV22" i="3"/>
  <c r="CL29" i="3"/>
  <c r="KL30" i="3"/>
  <c r="EH32" i="3"/>
  <c r="MA13" i="3"/>
  <c r="AS19" i="3"/>
  <c r="CO22" i="3"/>
  <c r="KA23" i="3"/>
  <c r="GY24" i="3"/>
  <c r="DW25" i="3"/>
  <c r="AU26" i="3"/>
  <c r="LW26" i="3"/>
  <c r="IU27" i="3"/>
  <c r="FS28" i="3"/>
  <c r="CQ29" i="3"/>
  <c r="O30" i="3"/>
  <c r="KQ30" i="3"/>
  <c r="HO31" i="3"/>
  <c r="EM32" i="3"/>
  <c r="BG33" i="3"/>
  <c r="FC33" i="3"/>
  <c r="DE8" i="3"/>
  <c r="MA11" i="3"/>
  <c r="T13" i="3"/>
  <c r="JX13" i="3"/>
  <c r="FP14" i="3"/>
  <c r="BH15" i="3"/>
  <c r="LD15" i="3"/>
  <c r="FF16" i="3"/>
  <c r="KD16" i="3"/>
  <c r="KD34" i="3" s="1"/>
  <c r="KD5" i="22" s="1"/>
  <c r="ED9" i="3"/>
  <c r="ME11" i="3"/>
  <c r="W13" i="3"/>
  <c r="JY13" i="3"/>
  <c r="FQ14" i="3"/>
  <c r="BI15" i="3"/>
  <c r="LE15" i="3"/>
  <c r="FG16" i="3"/>
  <c r="KE16" i="3"/>
  <c r="AY17" i="3"/>
  <c r="FV17" i="3"/>
  <c r="BN18" i="3"/>
  <c r="DU17" i="3"/>
  <c r="M18" i="3"/>
  <c r="IV18" i="3"/>
  <c r="CB19" i="3"/>
  <c r="JL19" i="3"/>
  <c r="CR20" i="3"/>
  <c r="KB20" i="3"/>
  <c r="DH21" i="3"/>
  <c r="KR21" i="3"/>
  <c r="DX22" i="3"/>
  <c r="IN22" i="3"/>
  <c r="MF22" i="3"/>
  <c r="BT23" i="3"/>
  <c r="FL23" i="3"/>
  <c r="JD23" i="3"/>
  <c r="JO17" i="3"/>
  <c r="FG18" i="3"/>
  <c r="A19" i="3"/>
  <c r="GK19" i="3"/>
  <c r="Q20" i="3"/>
  <c r="HA20" i="3"/>
  <c r="AG21" i="3"/>
  <c r="HQ21" i="3"/>
  <c r="AW22" i="3"/>
  <c r="HA22" i="3"/>
  <c r="KS22" i="3"/>
  <c r="AG23" i="3"/>
  <c r="DY23" i="3"/>
  <c r="HQ23" i="3"/>
  <c r="JE18" i="3"/>
  <c r="JU19" i="3"/>
  <c r="KK20" i="3"/>
  <c r="LA21" i="3"/>
  <c r="IS22" i="3"/>
  <c r="BY23" i="3"/>
  <c r="JH23" i="3"/>
  <c r="ND23" i="3"/>
  <c r="CR24" i="3"/>
  <c r="GJ24" i="3"/>
  <c r="KB24" i="3"/>
  <c r="P25" i="3"/>
  <c r="DH25" i="3"/>
  <c r="GZ25" i="3"/>
  <c r="KR25" i="3"/>
  <c r="AF26" i="3"/>
  <c r="DX26" i="3"/>
  <c r="HP26" i="3"/>
  <c r="LH26" i="3"/>
  <c r="AV27" i="3"/>
  <c r="EN27" i="3"/>
  <c r="IF27" i="3"/>
  <c r="LX27" i="3"/>
  <c r="BL28" i="3"/>
  <c r="FD28" i="3"/>
  <c r="IV28" i="3"/>
  <c r="MN28" i="3"/>
  <c r="CB29" i="3"/>
  <c r="FT29" i="3"/>
  <c r="JL29" i="3"/>
  <c r="ND29" i="3"/>
  <c r="CR30" i="3"/>
  <c r="GJ30" i="3"/>
  <c r="KB30" i="3"/>
  <c r="P31" i="3"/>
  <c r="DH31" i="3"/>
  <c r="GZ31" i="3"/>
  <c r="KR31" i="3"/>
  <c r="AF32" i="3"/>
  <c r="DX32" i="3"/>
  <c r="HP32" i="3"/>
  <c r="LH32" i="3"/>
  <c r="AV33" i="3"/>
  <c r="EN33" i="3"/>
  <c r="HJ33" i="3"/>
  <c r="JH33" i="3"/>
  <c r="LD33" i="3"/>
  <c r="MZ33" i="3"/>
  <c r="H19" i="3"/>
  <c r="X20" i="3"/>
  <c r="AN21" i="3"/>
  <c r="BD22" i="3"/>
  <c r="KV22" i="3"/>
  <c r="EB23" i="3"/>
  <c r="KK23" i="3"/>
  <c r="Y24" i="3"/>
  <c r="DQ24" i="3"/>
  <c r="HI24" i="3"/>
  <c r="LA24" i="3"/>
  <c r="AO25" i="3"/>
  <c r="EG25" i="3"/>
  <c r="HY25" i="3"/>
  <c r="LQ25" i="3"/>
  <c r="BE26" i="3"/>
  <c r="EW26" i="3"/>
  <c r="IO26" i="3"/>
  <c r="MG26" i="3"/>
  <c r="BU27" i="3"/>
  <c r="FM27" i="3"/>
  <c r="JE27" i="3"/>
  <c r="MW27" i="3"/>
  <c r="CK28" i="3"/>
  <c r="GC28" i="3"/>
  <c r="JU28" i="3"/>
  <c r="I29" i="3"/>
  <c r="DA29" i="3"/>
  <c r="GS29" i="3"/>
  <c r="KK29" i="3"/>
  <c r="Y30" i="3"/>
  <c r="DQ30" i="3"/>
  <c r="HI30" i="3"/>
  <c r="LA30" i="3"/>
  <c r="AO31" i="3"/>
  <c r="EG31" i="3"/>
  <c r="HY31" i="3"/>
  <c r="LQ31" i="3"/>
  <c r="BE32" i="3"/>
  <c r="EW32" i="3"/>
  <c r="IO32" i="3"/>
  <c r="MG32" i="3"/>
  <c r="BU33" i="3"/>
  <c r="FM33" i="3"/>
  <c r="HY33" i="3"/>
  <c r="JU33" i="3"/>
  <c r="LQ33" i="3"/>
  <c r="JZ17" i="3"/>
  <c r="EG19" i="3"/>
  <c r="EW20" i="3"/>
  <c r="FM21" i="3"/>
  <c r="FY22" i="3"/>
  <c r="E23" i="3"/>
  <c r="GO23" i="3"/>
  <c r="LT23" i="3"/>
  <c r="BH24" i="3"/>
  <c r="EZ24" i="3"/>
  <c r="IR24" i="3"/>
  <c r="MJ24" i="3"/>
  <c r="BX25" i="3"/>
  <c r="FP25" i="3"/>
  <c r="JH25" i="3"/>
  <c r="MZ25" i="3"/>
  <c r="CN26" i="3"/>
  <c r="JX26" i="3"/>
  <c r="L27" i="3"/>
  <c r="DD27" i="3"/>
  <c r="GV27" i="3"/>
  <c r="AB28" i="3"/>
  <c r="DT28" i="3"/>
  <c r="HL28" i="3"/>
  <c r="LD28" i="3"/>
  <c r="AR29" i="3"/>
  <c r="EJ29" i="3"/>
  <c r="IB29" i="3"/>
  <c r="LT29" i="3"/>
  <c r="BH30" i="3"/>
  <c r="EZ30" i="3"/>
  <c r="IR30" i="3"/>
  <c r="MJ30" i="3"/>
  <c r="BX31" i="3"/>
  <c r="FP31" i="3"/>
  <c r="JH31" i="3"/>
  <c r="MZ31" i="3"/>
  <c r="CN32" i="3"/>
  <c r="GL33" i="3"/>
  <c r="KL33" i="3"/>
  <c r="CZ20" i="3"/>
  <c r="IC24" i="3"/>
  <c r="JI26" i="3"/>
  <c r="JY27" i="3"/>
  <c r="LE29" i="3"/>
  <c r="LU30" i="3"/>
  <c r="NA32" i="3"/>
  <c r="JD20" i="3"/>
  <c r="MC28" i="3"/>
  <c r="BD21" i="3"/>
  <c r="JH22" i="3"/>
  <c r="GO30" i="3"/>
  <c r="LU29" i="3"/>
  <c r="EZ29" i="3"/>
  <c r="AB33" i="3"/>
  <c r="LE25" i="3"/>
  <c r="BI33" i="3"/>
  <c r="U28" i="3"/>
  <c r="KZ21" i="3"/>
  <c r="FI24" i="3"/>
  <c r="JA30" i="3"/>
  <c r="MK32" i="3"/>
  <c r="EI1" i="3"/>
  <c r="Z20" i="3"/>
  <c r="GQ32" i="3"/>
  <c r="AB10" i="3"/>
  <c r="CE17" i="3"/>
  <c r="CE35" i="3" s="1"/>
  <c r="CE6" i="22" s="1"/>
  <c r="MN21" i="3"/>
  <c r="BM20" i="3"/>
  <c r="IO23" i="3"/>
  <c r="KJ23" i="3"/>
  <c r="LP25" i="3"/>
  <c r="MV27" i="3"/>
  <c r="DP30" i="3"/>
  <c r="MF32" i="3"/>
  <c r="EV22" i="3"/>
  <c r="FE25" i="3"/>
  <c r="Q28" i="3"/>
  <c r="EO30" i="3"/>
  <c r="FU32" i="3"/>
  <c r="HY19" i="3"/>
  <c r="FX24" i="3"/>
  <c r="HD26" i="3"/>
  <c r="AZ28" i="3"/>
  <c r="IZ29" i="3"/>
  <c r="D31" i="3"/>
  <c r="HD32" i="3"/>
  <c r="JB33" i="3"/>
  <c r="LU24" i="3"/>
  <c r="AS30" i="3"/>
  <c r="E25" i="3"/>
  <c r="DM32" i="3"/>
  <c r="BI26" i="3"/>
  <c r="HU26" i="3"/>
  <c r="KW31" i="3"/>
  <c r="DE33" i="3"/>
  <c r="LC1" i="3"/>
  <c r="EM16" i="3"/>
  <c r="GT23" i="3"/>
  <c r="EH29" i="3"/>
  <c r="MH30" i="3"/>
  <c r="GD32" i="3"/>
  <c r="HS14" i="3"/>
  <c r="EK19" i="3"/>
  <c r="EK37" i="3" s="1"/>
  <c r="EK8" i="22" s="1"/>
  <c r="GA22" i="3"/>
  <c r="KI23" i="3"/>
  <c r="HG24" i="3"/>
  <c r="EE25" i="3"/>
  <c r="BC26" i="3"/>
  <c r="ME26" i="3"/>
  <c r="JC27" i="3"/>
  <c r="GA28" i="3"/>
  <c r="CY29" i="3"/>
  <c r="W30" i="3"/>
  <c r="KY30" i="3"/>
  <c r="HW31" i="3"/>
  <c r="EU32" i="3"/>
  <c r="BK33" i="3"/>
  <c r="FG33" i="3"/>
  <c r="NB8" i="3"/>
  <c r="N12" i="3"/>
  <c r="AW13" i="3"/>
  <c r="KS13" i="3"/>
  <c r="GK14" i="3"/>
  <c r="CC15" i="3"/>
  <c r="LY15" i="3"/>
  <c r="FQ16" i="3"/>
  <c r="KO16" i="3"/>
  <c r="HR9" i="3"/>
  <c r="R12" i="3"/>
  <c r="AY13" i="3"/>
  <c r="KU13" i="3"/>
  <c r="GM14" i="3"/>
  <c r="CE15" i="3"/>
  <c r="MA15" i="3"/>
  <c r="FR16" i="3"/>
  <c r="KP16" i="3"/>
  <c r="BJ17" i="3"/>
  <c r="GQ17" i="3"/>
  <c r="CI18" i="3"/>
  <c r="EP17" i="3"/>
  <c r="AH18" i="3"/>
  <c r="JL18" i="3"/>
  <c r="CR19" i="3"/>
  <c r="KB19" i="3"/>
  <c r="DH20" i="3"/>
  <c r="KR20" i="3"/>
  <c r="DX21" i="3"/>
  <c r="LH21" i="3"/>
  <c r="EN22" i="3"/>
  <c r="IV22" i="3"/>
  <c r="MN22" i="3"/>
  <c r="CB23" i="3"/>
  <c r="FT23" i="3"/>
  <c r="JL23" i="3"/>
  <c r="KK17" i="3"/>
  <c r="GC18" i="3"/>
  <c r="Q19" i="3"/>
  <c r="HA19" i="3"/>
  <c r="AG20" i="3"/>
  <c r="HQ20" i="3"/>
  <c r="AW21" i="3"/>
  <c r="IG21" i="3"/>
  <c r="BM22" i="3"/>
  <c r="HI22" i="3"/>
  <c r="LA22" i="3"/>
  <c r="AO23" i="3"/>
  <c r="EG23" i="3"/>
  <c r="HY23" i="3"/>
  <c r="KK18" i="3"/>
  <c r="LA19" i="3"/>
  <c r="LQ20" i="3"/>
  <c r="MG21" i="3"/>
  <c r="JI22" i="3"/>
  <c r="CO23" i="3"/>
  <c r="JQ23" i="3"/>
  <c r="H24" i="3"/>
  <c r="CZ24" i="3"/>
  <c r="GR24" i="3"/>
  <c r="KJ24" i="3"/>
  <c r="X25" i="3"/>
  <c r="DP25" i="3"/>
  <c r="HH25" i="3"/>
  <c r="KZ25" i="3"/>
  <c r="AN26" i="3"/>
  <c r="EF26" i="3"/>
  <c r="HX26" i="3"/>
  <c r="LP26" i="3"/>
  <c r="BD27" i="3"/>
  <c r="EV27" i="3"/>
  <c r="IN27" i="3"/>
  <c r="MF27" i="3"/>
  <c r="BT28" i="3"/>
  <c r="FL28" i="3"/>
  <c r="JD28" i="3"/>
  <c r="MV28" i="3"/>
  <c r="CJ29" i="3"/>
  <c r="GB29" i="3"/>
  <c r="JT29" i="3"/>
  <c r="H30" i="3"/>
  <c r="CZ30" i="3"/>
  <c r="GR30" i="3"/>
  <c r="KJ30" i="3"/>
  <c r="X31" i="3"/>
  <c r="DP31" i="3"/>
  <c r="HH31" i="3"/>
  <c r="KZ31" i="3"/>
  <c r="AN32" i="3"/>
  <c r="EF32" i="3"/>
  <c r="HX32" i="3"/>
  <c r="LP32" i="3"/>
  <c r="BD33" i="3"/>
  <c r="EV33" i="3"/>
  <c r="HP33" i="3"/>
  <c r="JL33" i="3"/>
  <c r="LH33" i="3"/>
  <c r="ND33" i="3"/>
  <c r="AN19" i="3"/>
  <c r="BD20" i="3"/>
  <c r="BT21" i="3"/>
  <c r="CJ22" i="3"/>
  <c r="LL22" i="3"/>
  <c r="ER23" i="3"/>
  <c r="KS23" i="3"/>
  <c r="AG24" i="3"/>
  <c r="DY24" i="3"/>
  <c r="HQ24" i="3"/>
  <c r="LI24" i="3"/>
  <c r="AW25" i="3"/>
  <c r="EO25" i="3"/>
  <c r="IG25" i="3"/>
  <c r="LY25" i="3"/>
  <c r="BM26" i="3"/>
  <c r="FE26" i="3"/>
  <c r="IW26" i="3"/>
  <c r="MO26" i="3"/>
  <c r="CC27" i="3"/>
  <c r="FU27" i="3"/>
  <c r="JM27" i="3"/>
  <c r="A28" i="3"/>
  <c r="CS28" i="3"/>
  <c r="GK28" i="3"/>
  <c r="KC28" i="3"/>
  <c r="Q29" i="3"/>
  <c r="DI29" i="3"/>
  <c r="HA29" i="3"/>
  <c r="KS29" i="3"/>
  <c r="AG30" i="3"/>
  <c r="DY30" i="3"/>
  <c r="HQ30" i="3"/>
  <c r="LI30" i="3"/>
  <c r="AW31" i="3"/>
  <c r="EO31" i="3"/>
  <c r="IG31" i="3"/>
  <c r="LY31" i="3"/>
  <c r="BM32" i="3"/>
  <c r="FE32" i="3"/>
  <c r="IW32" i="3"/>
  <c r="MO32" i="3"/>
  <c r="CC33" i="3"/>
  <c r="FU33" i="3"/>
  <c r="IC33" i="3"/>
  <c r="JY33" i="3"/>
  <c r="LU33" i="3"/>
  <c r="C18" i="3"/>
  <c r="C36" i="3" s="1"/>
  <c r="C7" i="22" s="1"/>
  <c r="FM19" i="3"/>
  <c r="GC20" i="3"/>
  <c r="GS21" i="3"/>
  <c r="GO22" i="3"/>
  <c r="U23" i="3"/>
  <c r="HE23" i="3"/>
  <c r="MB23" i="3"/>
  <c r="BP24" i="3"/>
  <c r="FH24" i="3"/>
  <c r="IZ24" i="3"/>
  <c r="MR24" i="3"/>
  <c r="CF25" i="3"/>
  <c r="FX25" i="3"/>
  <c r="JP25" i="3"/>
  <c r="D26" i="3"/>
  <c r="CV26" i="3"/>
  <c r="GN26" i="3"/>
  <c r="KF26" i="3"/>
  <c r="T27" i="3"/>
  <c r="DL27" i="3"/>
  <c r="HD27" i="3"/>
  <c r="KV27" i="3"/>
  <c r="AJ28" i="3"/>
  <c r="EB28" i="3"/>
  <c r="HT28" i="3"/>
  <c r="LL28" i="3"/>
  <c r="AZ29" i="3"/>
  <c r="ER29" i="3"/>
  <c r="IJ29" i="3"/>
  <c r="MB29" i="3"/>
  <c r="BP30" i="3"/>
  <c r="FH30" i="3"/>
  <c r="IZ30" i="3"/>
  <c r="MR30" i="3"/>
  <c r="CF31" i="3"/>
  <c r="FX31" i="3"/>
  <c r="JP31" i="3"/>
  <c r="D32" i="3"/>
  <c r="CV32" i="3"/>
  <c r="GN32" i="3"/>
  <c r="KF32" i="3"/>
  <c r="T33" i="3"/>
  <c r="DL33" i="3"/>
  <c r="GR33" i="3"/>
  <c r="IT33" i="3"/>
  <c r="KP33" i="3"/>
  <c r="ML33" i="3"/>
  <c r="HX20" i="3"/>
  <c r="IB23" i="3"/>
  <c r="JI24" i="3"/>
  <c r="JY25" i="3"/>
  <c r="KO26" i="3"/>
  <c r="LE27" i="3"/>
  <c r="LU28" i="3"/>
  <c r="MK29" i="3"/>
  <c r="NA30" i="3"/>
  <c r="M32" i="3"/>
  <c r="AC33" i="3"/>
  <c r="KU33" i="3"/>
  <c r="X21" i="3"/>
  <c r="KG23" i="3"/>
  <c r="KW24" i="3"/>
  <c r="LM25" i="3"/>
  <c r="MC26" i="3"/>
  <c r="MS27" i="3"/>
  <c r="E29" i="3"/>
  <c r="U30" i="3"/>
  <c r="AK31" i="3"/>
  <c r="BA32" i="3"/>
  <c r="BQ33" i="3"/>
  <c r="LO33" i="3"/>
  <c r="GB21" i="3"/>
  <c r="LU23" i="3"/>
  <c r="MK24" i="3"/>
  <c r="NA25" i="3"/>
  <c r="M27" i="3"/>
  <c r="BD19" i="3"/>
  <c r="LT22" i="3"/>
  <c r="EC24" i="3"/>
  <c r="ES25" i="3"/>
  <c r="FI26" i="3"/>
  <c r="FY27" i="3"/>
  <c r="GO28" i="3"/>
  <c r="HE29" i="3"/>
  <c r="HU30" i="3"/>
  <c r="IK31" i="3"/>
  <c r="JA32" i="3"/>
  <c r="IE33" i="3"/>
  <c r="MK28" i="3"/>
  <c r="AS33" i="3"/>
  <c r="JY30" i="3"/>
  <c r="FA28" i="3"/>
  <c r="HM32" i="3"/>
  <c r="CO30" i="3"/>
  <c r="MY33" i="3"/>
  <c r="FG1" i="3"/>
  <c r="Q1" i="3"/>
  <c r="FC1" i="3"/>
  <c r="M1" i="3"/>
  <c r="EY1" i="3"/>
  <c r="I1" i="3"/>
  <c r="EU1" i="3"/>
  <c r="E1" i="3"/>
  <c r="GF25" i="3"/>
  <c r="GV32" i="3"/>
  <c r="ME23" i="3"/>
  <c r="KC27" i="3"/>
  <c r="BA28" i="3"/>
  <c r="FS18" i="3"/>
  <c r="DR24" i="3"/>
  <c r="GD29" i="3"/>
  <c r="Z31" i="3"/>
  <c r="HZ32" i="3"/>
  <c r="DK15" i="3"/>
  <c r="IC19" i="3"/>
  <c r="HW22" i="3"/>
  <c r="LW23" i="3"/>
  <c r="IU24" i="3"/>
  <c r="FS25" i="3"/>
  <c r="CQ26" i="3"/>
  <c r="O27" i="3"/>
  <c r="KQ27" i="3"/>
  <c r="HO28" i="3"/>
  <c r="EM29" i="3"/>
  <c r="BK30" i="3"/>
  <c r="MM30" i="3"/>
  <c r="JK31" i="3"/>
  <c r="GI32" i="3"/>
  <c r="BS33" i="3"/>
  <c r="FK33" i="3"/>
  <c r="DV9" i="3"/>
  <c r="BD12" i="3"/>
  <c r="BS13" i="3"/>
  <c r="LO13" i="3"/>
  <c r="HG14" i="3"/>
  <c r="CY15" i="3"/>
  <c r="MU15" i="3"/>
  <c r="GA16" i="3"/>
  <c r="KY16" i="3"/>
  <c r="KY9" i="3"/>
  <c r="BH12" i="3"/>
  <c r="BT13" i="3"/>
  <c r="LP13" i="3"/>
  <c r="HH14" i="3"/>
  <c r="CZ15" i="3"/>
  <c r="MV15" i="3"/>
  <c r="GC16" i="3"/>
  <c r="LA16" i="3"/>
  <c r="BU17" i="3"/>
  <c r="HM17" i="3"/>
  <c r="DE18" i="3"/>
  <c r="FK17" i="3"/>
  <c r="BC18" i="3"/>
  <c r="KB18" i="3"/>
  <c r="KB36" i="3" s="1"/>
  <c r="KB7" i="22" s="1"/>
  <c r="DH19" i="3"/>
  <c r="KR19" i="3"/>
  <c r="DX20" i="3"/>
  <c r="LH20" i="3"/>
  <c r="EN21" i="3"/>
  <c r="LX21" i="3"/>
  <c r="FD22" i="3"/>
  <c r="JD22" i="3"/>
  <c r="MV22" i="3"/>
  <c r="CJ23" i="3"/>
  <c r="GB23" i="3"/>
  <c r="JT23" i="3"/>
  <c r="LF17" i="3"/>
  <c r="GX18" i="3"/>
  <c r="GX36" i="3" s="1"/>
  <c r="GX7" i="22" s="1"/>
  <c r="AG19" i="3"/>
  <c r="HQ19" i="3"/>
  <c r="HQ37" i="3" s="1"/>
  <c r="HQ8" i="22" s="1"/>
  <c r="AW20" i="3"/>
  <c r="IG20" i="3"/>
  <c r="BM21" i="3"/>
  <c r="IW21" i="3"/>
  <c r="CC22" i="3"/>
  <c r="HQ22" i="3"/>
  <c r="LI22" i="3"/>
  <c r="AW23" i="3"/>
  <c r="EO23" i="3"/>
  <c r="IG23" i="3"/>
  <c r="LQ18" i="3"/>
  <c r="MG19" i="3"/>
  <c r="MW20" i="3"/>
  <c r="I22" i="3"/>
  <c r="JY22" i="3"/>
  <c r="DE23" i="3"/>
  <c r="KB23" i="3"/>
  <c r="P24" i="3"/>
  <c r="DH24" i="3"/>
  <c r="GZ24" i="3"/>
  <c r="KR24" i="3"/>
  <c r="AF25" i="3"/>
  <c r="DX25" i="3"/>
  <c r="HP25" i="3"/>
  <c r="LH25" i="3"/>
  <c r="AV26" i="3"/>
  <c r="EN26" i="3"/>
  <c r="IF26" i="3"/>
  <c r="LX26" i="3"/>
  <c r="BL27" i="3"/>
  <c r="FD27" i="3"/>
  <c r="IV27" i="3"/>
  <c r="MN27" i="3"/>
  <c r="CB28" i="3"/>
  <c r="FT28" i="3"/>
  <c r="JL28" i="3"/>
  <c r="ND28" i="3"/>
  <c r="CR29" i="3"/>
  <c r="GJ29" i="3"/>
  <c r="KB29" i="3"/>
  <c r="P30" i="3"/>
  <c r="DH30" i="3"/>
  <c r="GZ30" i="3"/>
  <c r="KR30" i="3"/>
  <c r="AF31" i="3"/>
  <c r="DX31" i="3"/>
  <c r="HP31" i="3"/>
  <c r="LH31" i="3"/>
  <c r="AV32" i="3"/>
  <c r="EN32" i="3"/>
  <c r="IF32" i="3"/>
  <c r="LX32" i="3"/>
  <c r="BL33" i="3"/>
  <c r="FD33" i="3"/>
  <c r="HT33" i="3"/>
  <c r="JP33" i="3"/>
  <c r="LL33" i="3"/>
  <c r="BS17" i="3"/>
  <c r="BT19" i="3"/>
  <c r="BT37" i="3" s="1"/>
  <c r="BT8" i="22" s="1"/>
  <c r="CJ20" i="3"/>
  <c r="CZ21" i="3"/>
  <c r="DP22" i="3"/>
  <c r="MB22" i="3"/>
  <c r="FH23" i="3"/>
  <c r="LA23" i="3"/>
  <c r="AO24" i="3"/>
  <c r="EG24" i="3"/>
  <c r="HY24" i="3"/>
  <c r="LQ24" i="3"/>
  <c r="BE25" i="3"/>
  <c r="EW25" i="3"/>
  <c r="IO25" i="3"/>
  <c r="MG25" i="3"/>
  <c r="BU26" i="3"/>
  <c r="FM26" i="3"/>
  <c r="JE26" i="3"/>
  <c r="MW26" i="3"/>
  <c r="CK27" i="3"/>
  <c r="GC27" i="3"/>
  <c r="JU27" i="3"/>
  <c r="I28" i="3"/>
  <c r="DA28" i="3"/>
  <c r="GS28" i="3"/>
  <c r="KK28" i="3"/>
  <c r="Y29" i="3"/>
  <c r="DQ29" i="3"/>
  <c r="HI29" i="3"/>
  <c r="LA29" i="3"/>
  <c r="AO30" i="3"/>
  <c r="EG30" i="3"/>
  <c r="HY30" i="3"/>
  <c r="LQ30" i="3"/>
  <c r="BE31" i="3"/>
  <c r="EW31" i="3"/>
  <c r="IO31" i="3"/>
  <c r="MG31" i="3"/>
  <c r="BU32" i="3"/>
  <c r="FM32" i="3"/>
  <c r="JE32" i="3"/>
  <c r="MW32" i="3"/>
  <c r="CK33" i="3"/>
  <c r="FZ33" i="3"/>
  <c r="IG33" i="3"/>
  <c r="KC33" i="3"/>
  <c r="LY33" i="3"/>
  <c r="CK18" i="3"/>
  <c r="GS19" i="3"/>
  <c r="HI20" i="3"/>
  <c r="HY21" i="3"/>
  <c r="HE22" i="3"/>
  <c r="AK23" i="3"/>
  <c r="HU23" i="3"/>
  <c r="MJ23" i="3"/>
  <c r="BX24" i="3"/>
  <c r="FP24" i="3"/>
  <c r="JH24" i="3"/>
  <c r="MZ24" i="3"/>
  <c r="CN25" i="3"/>
  <c r="JX25" i="3"/>
  <c r="L26" i="3"/>
  <c r="DD26" i="3"/>
  <c r="GV26" i="3"/>
  <c r="KN26" i="3"/>
  <c r="AB27" i="3"/>
  <c r="DT27" i="3"/>
  <c r="MJ29" i="3"/>
  <c r="BX30" i="3"/>
  <c r="FP30" i="3"/>
  <c r="JH30" i="3"/>
  <c r="MZ30" i="3"/>
  <c r="CN31" i="3"/>
  <c r="GF31" i="3"/>
  <c r="JX31" i="3"/>
  <c r="L32" i="3"/>
  <c r="DD32" i="3"/>
  <c r="KN32" i="3"/>
  <c r="JY23" i="3"/>
  <c r="MS25" i="3"/>
  <c r="KG32" i="3"/>
  <c r="JS22" i="3"/>
  <c r="BM25" i="3"/>
  <c r="GO24" i="3"/>
  <c r="HZ21" i="3"/>
  <c r="LR25" i="3"/>
  <c r="JV29" i="3"/>
  <c r="DR31" i="3"/>
  <c r="LR32" i="3"/>
  <c r="GH16" i="3"/>
  <c r="BI20" i="3"/>
  <c r="LO22" i="3"/>
  <c r="O24" i="3"/>
  <c r="KQ24" i="3"/>
  <c r="HO25" i="3"/>
  <c r="EM26" i="3"/>
  <c r="BK27" i="3"/>
  <c r="MM27" i="3"/>
  <c r="JK28" i="3"/>
  <c r="GI29" i="3"/>
  <c r="DG30" i="3"/>
  <c r="AE31" i="3"/>
  <c r="LG31" i="3"/>
  <c r="IE32" i="3"/>
  <c r="DG33" i="3"/>
  <c r="GA33" i="3"/>
  <c r="DD10" i="3"/>
  <c r="EB12" i="3"/>
  <c r="DI13" i="3"/>
  <c r="A14" i="3"/>
  <c r="IW14" i="3"/>
  <c r="EO15" i="3"/>
  <c r="AG16" i="3"/>
  <c r="GW16" i="3"/>
  <c r="LU16" i="3"/>
  <c r="DJ10" i="3"/>
  <c r="EE12" i="3"/>
  <c r="DK13" i="3"/>
  <c r="C14" i="3"/>
  <c r="IY14" i="3"/>
  <c r="EQ15" i="3"/>
  <c r="AI16" i="3"/>
  <c r="AI34" i="3" s="1"/>
  <c r="AI5" i="22" s="1"/>
  <c r="GX16" i="3"/>
  <c r="LV16" i="3"/>
  <c r="CP17" i="3"/>
  <c r="JC17" i="3"/>
  <c r="EU18" i="3"/>
  <c r="HB17" i="3"/>
  <c r="CT18" i="3"/>
  <c r="LH18" i="3"/>
  <c r="EN19" i="3"/>
  <c r="LX19" i="3"/>
  <c r="FD20" i="3"/>
  <c r="MN20" i="3"/>
  <c r="FT21" i="3"/>
  <c r="ND21" i="3"/>
  <c r="GB22" i="3"/>
  <c r="JT22" i="3"/>
  <c r="H23" i="3"/>
  <c r="CZ23" i="3"/>
  <c r="GR23" i="3"/>
  <c r="CO17" i="3"/>
  <c r="MW17" i="3"/>
  <c r="IG18" i="3"/>
  <c r="IG36" i="3" s="1"/>
  <c r="IG7" i="22" s="1"/>
  <c r="BM19" i="3"/>
  <c r="IW19" i="3"/>
  <c r="CC20" i="3"/>
  <c r="JM20" i="3"/>
  <c r="CS21" i="3"/>
  <c r="KC21" i="3"/>
  <c r="DI22" i="3"/>
  <c r="IG22" i="3"/>
  <c r="LY22" i="3"/>
  <c r="BM23" i="3"/>
  <c r="FE23" i="3"/>
  <c r="IW23" i="3"/>
  <c r="Y19" i="3"/>
  <c r="AO20" i="3"/>
  <c r="BE21" i="3"/>
  <c r="BU22" i="3"/>
  <c r="LE22" i="3"/>
  <c r="EK23" i="3"/>
  <c r="KR23" i="3"/>
  <c r="AF24" i="3"/>
  <c r="DX24" i="3"/>
  <c r="HP24" i="3"/>
  <c r="LH24" i="3"/>
  <c r="AV25" i="3"/>
  <c r="EN25" i="3"/>
  <c r="IF25" i="3"/>
  <c r="LX25" i="3"/>
  <c r="BL26" i="3"/>
  <c r="FD26" i="3"/>
  <c r="IV26" i="3"/>
  <c r="MN26" i="3"/>
  <c r="CB27" i="3"/>
  <c r="FT27" i="3"/>
  <c r="JL27" i="3"/>
  <c r="ND27" i="3"/>
  <c r="CR28" i="3"/>
  <c r="GJ28" i="3"/>
  <c r="KB28" i="3"/>
  <c r="P29" i="3"/>
  <c r="DH29" i="3"/>
  <c r="GZ29" i="3"/>
  <c r="KR29" i="3"/>
  <c r="AF30" i="3"/>
  <c r="DX30" i="3"/>
  <c r="HP30" i="3"/>
  <c r="LH30" i="3"/>
  <c r="AV31" i="3"/>
  <c r="EN31" i="3"/>
  <c r="IF31" i="3"/>
  <c r="LX31" i="3"/>
  <c r="BL32" i="3"/>
  <c r="FD32" i="3"/>
  <c r="IV32" i="3"/>
  <c r="MN32" i="3"/>
  <c r="CB33" i="3"/>
  <c r="FT33" i="3"/>
  <c r="IB33" i="3"/>
  <c r="JX33" i="3"/>
  <c r="LT33" i="3"/>
  <c r="JE17" i="3"/>
  <c r="EF19" i="3"/>
  <c r="EV20" i="3"/>
  <c r="FL21" i="3"/>
  <c r="FX22" i="3"/>
  <c r="D23" i="3"/>
  <c r="GN23" i="3"/>
  <c r="LQ23" i="3"/>
  <c r="BE24" i="3"/>
  <c r="EW24" i="3"/>
  <c r="IO24" i="3"/>
  <c r="MG24" i="3"/>
  <c r="BU25" i="3"/>
  <c r="FM25" i="3"/>
  <c r="JE25" i="3"/>
  <c r="MW25" i="3"/>
  <c r="CK26" i="3"/>
  <c r="GC26" i="3"/>
  <c r="JU26" i="3"/>
  <c r="I27" i="3"/>
  <c r="DA27" i="3"/>
  <c r="GS27" i="3"/>
  <c r="KK27" i="3"/>
  <c r="Y28" i="3"/>
  <c r="DQ28" i="3"/>
  <c r="HI28" i="3"/>
  <c r="LA28" i="3"/>
  <c r="AO29" i="3"/>
  <c r="EG29" i="3"/>
  <c r="HY29" i="3"/>
  <c r="LQ29" i="3"/>
  <c r="BE30" i="3"/>
  <c r="EW30" i="3"/>
  <c r="IO30" i="3"/>
  <c r="MG30" i="3"/>
  <c r="BU31" i="3"/>
  <c r="FM31" i="3"/>
  <c r="JE31" i="3"/>
  <c r="MW31" i="3"/>
  <c r="CK32" i="3"/>
  <c r="GC32" i="3"/>
  <c r="JU32" i="3"/>
  <c r="I33" i="3"/>
  <c r="DA33" i="3"/>
  <c r="GK33" i="3"/>
  <c r="IO33" i="3"/>
  <c r="KK33" i="3"/>
  <c r="MG33" i="3"/>
  <c r="IO18" i="3"/>
  <c r="JE19" i="3"/>
  <c r="JU20" i="3"/>
  <c r="KK21" i="3"/>
  <c r="IK22" i="3"/>
  <c r="BQ23" i="3"/>
  <c r="JA23" i="3"/>
  <c r="MZ23" i="3"/>
  <c r="CN24" i="3"/>
  <c r="GF24" i="3"/>
  <c r="JX24" i="3"/>
  <c r="L25" i="3"/>
  <c r="DD25" i="3"/>
  <c r="GV25" i="3"/>
  <c r="KN25" i="3"/>
  <c r="AB26" i="3"/>
  <c r="DT26" i="3"/>
  <c r="HL26" i="3"/>
  <c r="LD26" i="3"/>
  <c r="AR27" i="3"/>
  <c r="EJ27" i="3"/>
  <c r="IB27" i="3"/>
  <c r="LT27" i="3"/>
  <c r="BH28" i="3"/>
  <c r="EZ28" i="3"/>
  <c r="IR28" i="3"/>
  <c r="MJ28" i="3"/>
  <c r="BX29" i="3"/>
  <c r="FP29" i="3"/>
  <c r="JH29" i="3"/>
  <c r="MZ29" i="3"/>
  <c r="CN30" i="3"/>
  <c r="GF30" i="3"/>
  <c r="JX30" i="3"/>
  <c r="L31" i="3"/>
  <c r="DD31" i="3"/>
  <c r="GV31" i="3"/>
  <c r="KN31" i="3"/>
  <c r="AB32" i="3"/>
  <c r="DT32" i="3"/>
  <c r="HL32" i="3"/>
  <c r="LD32" i="3"/>
  <c r="AR33" i="3"/>
  <c r="EJ33" i="3"/>
  <c r="HH33" i="3"/>
  <c r="JF33" i="3"/>
  <c r="LB33" i="3"/>
  <c r="MX33" i="3"/>
  <c r="IN21" i="3"/>
  <c r="MK23" i="3"/>
  <c r="NA24" i="3"/>
  <c r="M26" i="3"/>
  <c r="AC27" i="3"/>
  <c r="AS28" i="3"/>
  <c r="BI29" i="3"/>
  <c r="BY30" i="3"/>
  <c r="CO31" i="3"/>
  <c r="DE32" i="3"/>
  <c r="DU33" i="3"/>
  <c r="MQ33" i="3"/>
  <c r="AN22" i="3"/>
  <c r="U24" i="3"/>
  <c r="AK25" i="3"/>
  <c r="BA26" i="3"/>
  <c r="BQ27" i="3"/>
  <c r="CG28" i="3"/>
  <c r="CW29" i="3"/>
  <c r="DM30" i="3"/>
  <c r="EC31" i="3"/>
  <c r="ES32" i="3"/>
  <c r="FI33" i="3"/>
  <c r="KU17" i="3"/>
  <c r="GF22" i="3"/>
  <c r="BI24" i="3"/>
  <c r="BY25" i="3"/>
  <c r="CO26" i="3"/>
  <c r="DE27" i="3"/>
  <c r="BT20" i="3"/>
  <c r="EZ23" i="3"/>
  <c r="HU24" i="3"/>
  <c r="IK25" i="3"/>
  <c r="JA26" i="3"/>
  <c r="JQ27" i="3"/>
  <c r="KG28" i="3"/>
  <c r="KW29" i="3"/>
  <c r="LM30" i="3"/>
  <c r="MC31" i="3"/>
  <c r="MS32" i="3"/>
  <c r="KA33" i="3"/>
  <c r="NA29" i="3"/>
  <c r="LC33" i="3"/>
  <c r="KO31" i="3"/>
  <c r="FQ29" i="3"/>
  <c r="HI33" i="3"/>
  <c r="DE31" i="3"/>
  <c r="KU1" i="3"/>
  <c r="DK1" i="3"/>
  <c r="KQ1" i="3"/>
  <c r="DG1" i="3"/>
  <c r="KM1" i="3"/>
  <c r="DC1" i="3"/>
  <c r="KI1" i="3"/>
  <c r="CY1" i="3"/>
  <c r="IS25" i="3"/>
  <c r="U32" i="3"/>
  <c r="CW24" i="3"/>
  <c r="HU32" i="3"/>
  <c r="KM33" i="3"/>
  <c r="Y1" i="3"/>
  <c r="EJ28" i="3"/>
  <c r="KO24" i="3"/>
  <c r="EV21" i="3"/>
  <c r="ME33" i="3"/>
  <c r="FY25" i="3"/>
  <c r="AS31" i="3"/>
  <c r="LO1" i="3"/>
  <c r="LU19" i="3"/>
  <c r="CY26" i="3"/>
  <c r="KY27" i="3"/>
  <c r="JS31" i="3"/>
  <c r="FW33" i="3"/>
  <c r="CN13" i="3"/>
  <c r="LJ16" i="3"/>
  <c r="MK13" i="3"/>
  <c r="GM16" i="3"/>
  <c r="BY18" i="3"/>
  <c r="FD21" i="3"/>
  <c r="GJ23" i="3"/>
  <c r="IW20" i="3"/>
  <c r="EW23" i="3"/>
  <c r="KO22" i="3"/>
  <c r="AN25" i="3"/>
  <c r="IN26" i="3"/>
  <c r="JT28" i="3"/>
  <c r="KZ30" i="3"/>
  <c r="IN32" i="3"/>
  <c r="FW17" i="3"/>
  <c r="AW24" i="3"/>
  <c r="CC26" i="3"/>
  <c r="DI28" i="3"/>
  <c r="AW30" i="3"/>
  <c r="CC32" i="3"/>
  <c r="MC33" i="3"/>
  <c r="MR23" i="3"/>
  <c r="KF25" i="3"/>
  <c r="LL27" i="3"/>
  <c r="IL34" i="3" l="1"/>
  <c r="IL5" i="22" s="1"/>
  <c r="KL37" i="3"/>
  <c r="KL8" i="22" s="1"/>
  <c r="DJ36" i="3"/>
  <c r="DJ7" i="22" s="1"/>
  <c r="CO35" i="3"/>
  <c r="CO6" i="22" s="1"/>
  <c r="LF35" i="3"/>
  <c r="LF6" i="22" s="1"/>
  <c r="FR34" i="3"/>
  <c r="FR5" i="22" s="1"/>
  <c r="BN36" i="3"/>
  <c r="BN7" i="22" s="1"/>
  <c r="AY35" i="3"/>
  <c r="AY6" i="22" s="1"/>
  <c r="FW36" i="3"/>
  <c r="FW7" i="22" s="1"/>
  <c r="IX34" i="3"/>
  <c r="IX5" i="22" s="1"/>
  <c r="AY36" i="3"/>
  <c r="AY7" i="22" s="1"/>
  <c r="FU37" i="3"/>
  <c r="FU8" i="22" s="1"/>
  <c r="DY34" i="3"/>
  <c r="DY5" i="22" s="1"/>
  <c r="FF34" i="3"/>
  <c r="FF5" i="22" s="1"/>
  <c r="DA37" i="3"/>
  <c r="DA8" i="22" s="1"/>
  <c r="LL37" i="3"/>
  <c r="LL8" i="22" s="1"/>
  <c r="DD37" i="3"/>
  <c r="DD8" i="22" s="1"/>
  <c r="AS37" i="3"/>
  <c r="AS8" i="22" s="1"/>
  <c r="IF37" i="3"/>
  <c r="IF8" i="22" s="1"/>
  <c r="JM37" i="3"/>
  <c r="JM8" i="22" s="1"/>
  <c r="FF36" i="3"/>
  <c r="FF7" i="22" s="1"/>
  <c r="DP37" i="3"/>
  <c r="DP8" i="22" s="1"/>
  <c r="MA35" i="3"/>
  <c r="MA6" i="22" s="1"/>
  <c r="EQ35" i="3"/>
  <c r="EQ6" i="22" s="1"/>
  <c r="U37" i="3"/>
  <c r="U8" i="22" s="1"/>
  <c r="ET37" i="3"/>
  <c r="ET8" i="22" s="1"/>
  <c r="AJ37" i="3"/>
  <c r="AJ8" i="22" s="1"/>
  <c r="HZ37" i="3"/>
  <c r="HZ8" i="22" s="1"/>
  <c r="AP37" i="3"/>
  <c r="AP8" i="22" s="1"/>
  <c r="GV37" i="3"/>
  <c r="GV8" i="22" s="1"/>
  <c r="HW37" i="3"/>
  <c r="HW8" i="22" s="1"/>
  <c r="CF37" i="3"/>
  <c r="CF8" i="22" s="1"/>
  <c r="HK37" i="3"/>
  <c r="HK8" i="22" s="1"/>
  <c r="GA37" i="3"/>
  <c r="GA8" i="22" s="1"/>
  <c r="HE37" i="3"/>
  <c r="HE8" i="22" s="1"/>
  <c r="MS37" i="3"/>
  <c r="MS8" i="22" s="1"/>
  <c r="IL37" i="3"/>
  <c r="IL8" i="22" s="1"/>
  <c r="CU37" i="3"/>
  <c r="CU8" i="22" s="1"/>
  <c r="EE37" i="3"/>
  <c r="EE8" i="22" s="1"/>
  <c r="NB37" i="3"/>
  <c r="NB8" i="22" s="1"/>
  <c r="GA34" i="3"/>
  <c r="GA5" i="22" s="1"/>
  <c r="X37" i="3"/>
  <c r="X8" i="22" s="1"/>
  <c r="MP34" i="3"/>
  <c r="MP5" i="22" s="1"/>
  <c r="KK37" i="3"/>
  <c r="KK8" i="22" s="1"/>
  <c r="FL37" i="3"/>
  <c r="FL8" i="22" s="1"/>
  <c r="BE37" i="3"/>
  <c r="BE8" i="22" s="1"/>
  <c r="JA37" i="3"/>
  <c r="JA8" i="22" s="1"/>
  <c r="GP37" i="3"/>
  <c r="GP8" i="22" s="1"/>
  <c r="BZ37" i="3"/>
  <c r="BZ8" i="22" s="1"/>
  <c r="DJ34" i="3"/>
  <c r="DJ5" i="22" s="1"/>
  <c r="KW37" i="3"/>
  <c r="KW8" i="22" s="1"/>
  <c r="IR37" i="3"/>
  <c r="IR8" i="22" s="1"/>
  <c r="KH37" i="3"/>
  <c r="KH8" i="22" s="1"/>
  <c r="IU35" i="3"/>
  <c r="IU6" i="22" s="1"/>
  <c r="FU34" i="3"/>
  <c r="FU5" i="22" s="1"/>
  <c r="FO37" i="3"/>
  <c r="FO8" i="22" s="1"/>
  <c r="CI37" i="3"/>
  <c r="CI8" i="22" s="1"/>
  <c r="EE35" i="3"/>
  <c r="EE6" i="22" s="1"/>
  <c r="GJ37" i="3"/>
  <c r="GJ8" i="22" s="1"/>
  <c r="KQ37" i="3"/>
  <c r="KQ8" i="22" s="1"/>
  <c r="LX37" i="3"/>
  <c r="LX8" i="22" s="1"/>
  <c r="KB37" i="3"/>
  <c r="KB8" i="22" s="1"/>
  <c r="HB34" i="3"/>
  <c r="HB5" i="22" s="1"/>
  <c r="GG37" i="3"/>
  <c r="GG8" i="22" s="1"/>
  <c r="DY36" i="3"/>
  <c r="DY7" i="22" s="1"/>
  <c r="IU37" i="3"/>
  <c r="IU8" i="22" s="1"/>
  <c r="IU34" i="3"/>
  <c r="IU5" i="22" s="1"/>
  <c r="EQ37" i="3"/>
  <c r="EQ8" i="22" s="1"/>
  <c r="HB37" i="3"/>
  <c r="HB8" i="22" s="1"/>
  <c r="DY37" i="3"/>
  <c r="DY8" i="22" s="1"/>
  <c r="GA36" i="3"/>
  <c r="GA7" i="22" s="1"/>
  <c r="MM35" i="3"/>
  <c r="MM6" i="22" s="1"/>
  <c r="CO37" i="3"/>
  <c r="CO8" i="22" s="1"/>
  <c r="FF37" i="3"/>
  <c r="FF8" i="22" s="1"/>
  <c r="AY37" i="3"/>
  <c r="AY8" i="22" s="1"/>
  <c r="LF37" i="3"/>
  <c r="LF8" i="22" s="1"/>
  <c r="DJ37" i="3"/>
  <c r="DJ8" i="22" s="1"/>
  <c r="MM37" i="3"/>
  <c r="MM8" i="22" s="1"/>
  <c r="BZ35" i="3"/>
  <c r="BZ6" i="22" s="1"/>
  <c r="BN37" i="3"/>
  <c r="BN8" i="22" s="1"/>
  <c r="HB35" i="3"/>
  <c r="HB6" i="22" s="1"/>
  <c r="MA34" i="3"/>
  <c r="MA5" i="22" s="1"/>
  <c r="ET36" i="3"/>
  <c r="ET7" i="22" s="1"/>
  <c r="IU36" i="3"/>
  <c r="IU7" i="22" s="1"/>
  <c r="CI36" i="3"/>
  <c r="CI7" i="22" s="1"/>
  <c r="O37" i="3"/>
  <c r="O8" i="22" s="1"/>
  <c r="ET34" i="3"/>
  <c r="ET5" i="22" s="1"/>
  <c r="LR37" i="3"/>
  <c r="LR8" i="22" s="1"/>
  <c r="JP37" i="3"/>
  <c r="JP8" i="22" s="1"/>
  <c r="LC37" i="3"/>
  <c r="LC8" i="22" s="1"/>
  <c r="MA37" i="3"/>
  <c r="MA8" i="22" s="1"/>
  <c r="MA36" i="3"/>
  <c r="MA7" i="22" s="1"/>
  <c r="MG37" i="3"/>
  <c r="MG8" i="22" s="1"/>
  <c r="I37" i="3"/>
  <c r="I8" i="22" s="1"/>
  <c r="EZ37" i="3"/>
  <c r="EZ8" i="22" s="1"/>
  <c r="JG37" i="3"/>
  <c r="JG8" i="22" s="1"/>
  <c r="IN37" i="3"/>
  <c r="IN8" i="22" s="1"/>
  <c r="C34" i="3"/>
  <c r="C5" i="22" s="1"/>
  <c r="C37" i="3"/>
  <c r="C8" i="22" s="1"/>
  <c r="GC37" i="3"/>
  <c r="GC8" i="22" s="1"/>
  <c r="JZ35" i="3"/>
  <c r="JZ6" i="22" s="1"/>
  <c r="BS35" i="3"/>
  <c r="BS6" i="22" s="1"/>
  <c r="GD37" i="3"/>
  <c r="GD8" i="22" s="1"/>
  <c r="IN36" i="3"/>
  <c r="IN7" i="22" s="1"/>
  <c r="EN37" i="3"/>
  <c r="EN8" i="22" s="1"/>
  <c r="FW35" i="3"/>
  <c r="FW6" i="22" s="1"/>
  <c r="FK35" i="3"/>
  <c r="FK6" i="22" s="1"/>
  <c r="Y37" i="3"/>
  <c r="Y8" i="22" s="1"/>
  <c r="AN37" i="3"/>
  <c r="AN8" i="22" s="1"/>
  <c r="LP36" i="3"/>
  <c r="LP7" i="22" s="1"/>
  <c r="EL35" i="3"/>
  <c r="EL6" i="22" s="1"/>
  <c r="GD36" i="3"/>
  <c r="GD7" i="22" s="1"/>
  <c r="JO35" i="3"/>
  <c r="JO6" i="22" s="1"/>
  <c r="DS36" i="3"/>
  <c r="DS7" i="22" s="1"/>
  <c r="FS36" i="3"/>
  <c r="FS7" i="22" s="1"/>
  <c r="EL36" i="3"/>
  <c r="EL7" i="22" s="1"/>
  <c r="KE34" i="3"/>
  <c r="KE5" i="22" s="1"/>
  <c r="MF37" i="3"/>
  <c r="MF8" i="22" s="1"/>
  <c r="LU37" i="3"/>
  <c r="LU8" i="22" s="1"/>
  <c r="R35" i="3"/>
  <c r="R6" i="22" s="1"/>
  <c r="CP35" i="3"/>
  <c r="CP6" i="22" s="1"/>
  <c r="GX35" i="3"/>
  <c r="GX6" i="22" s="1"/>
  <c r="DS37" i="3"/>
  <c r="DS8" i="22" s="1"/>
  <c r="IO37" i="3"/>
  <c r="IO8" i="22" s="1"/>
  <c r="KZ37" i="3"/>
  <c r="KZ8" i="22" s="1"/>
  <c r="GY37" i="3"/>
  <c r="GY8" i="22" s="1"/>
  <c r="GS37" i="3"/>
  <c r="GS8" i="22" s="1"/>
  <c r="CX37" i="3"/>
  <c r="CX8" i="22" s="1"/>
  <c r="FI36" i="3"/>
  <c r="FI7" i="22" s="1"/>
  <c r="AM35" i="3"/>
  <c r="AM6" i="22" s="1"/>
  <c r="GH36" i="3"/>
  <c r="GH7" i="22" s="1"/>
  <c r="KE37" i="3"/>
  <c r="KE8" i="22" s="1"/>
  <c r="MP37" i="3"/>
  <c r="MP8" i="22" s="1"/>
  <c r="FI37" i="3"/>
  <c r="FI8" i="22" s="1"/>
  <c r="AM37" i="3"/>
  <c r="AM8" i="22" s="1"/>
  <c r="IM34" i="3"/>
  <c r="IM5" i="22" s="1"/>
  <c r="CX34" i="3"/>
  <c r="CX5" i="22" s="1"/>
  <c r="IO36" i="3"/>
  <c r="IO7" i="22" s="1"/>
  <c r="CT36" i="3"/>
  <c r="CT7" i="22" s="1"/>
  <c r="KE36" i="3"/>
  <c r="KE7" i="22" s="1"/>
  <c r="JJ37" i="3"/>
  <c r="JJ8" i="22" s="1"/>
  <c r="BH37" i="3"/>
  <c r="BH8" i="22" s="1"/>
  <c r="EN36" i="3"/>
  <c r="EN7" i="22" s="1"/>
  <c r="JJ36" i="3"/>
  <c r="JJ7" i="22" s="1"/>
  <c r="R37" i="3"/>
  <c r="R8" i="22" s="1"/>
  <c r="GB37" i="3"/>
  <c r="GB8" i="22" s="1"/>
  <c r="CC37" i="3"/>
  <c r="CC8" i="22" s="1"/>
  <c r="BJ35" i="3"/>
  <c r="BJ6" i="22" s="1"/>
  <c r="KP34" i="3"/>
  <c r="KP5" i="22" s="1"/>
  <c r="BO35" i="3"/>
  <c r="BO6" i="22" s="1"/>
  <c r="BC36" i="3"/>
  <c r="BC7" i="22" s="1"/>
  <c r="CJ37" i="3"/>
  <c r="CJ8" i="22" s="1"/>
  <c r="CR37" i="3"/>
  <c r="CR8" i="22" s="1"/>
  <c r="HA37" i="3"/>
  <c r="HA8" i="22" s="1"/>
  <c r="JN35" i="3"/>
  <c r="JN6" i="22" s="1"/>
  <c r="BU35" i="3"/>
  <c r="BU6" i="22" s="1"/>
  <c r="EP35" i="3"/>
  <c r="EP6" i="22" s="1"/>
  <c r="AX35" i="3"/>
  <c r="AX6" i="22" s="1"/>
  <c r="IC37" i="3"/>
  <c r="IC8" i="22" s="1"/>
  <c r="JD37" i="3"/>
  <c r="JD8" i="22" s="1"/>
  <c r="DB34" i="3"/>
  <c r="DB5" i="22" s="1"/>
  <c r="AD35" i="3"/>
  <c r="AD6" i="22" s="1"/>
  <c r="II35" i="3"/>
  <c r="II6" i="22" s="1"/>
  <c r="EM34" i="3"/>
  <c r="EM5" i="22" s="1"/>
  <c r="ID34" i="3"/>
  <c r="ID5" i="22" s="1"/>
  <c r="HR34" i="3"/>
  <c r="HR5" i="22" s="1"/>
  <c r="B36" i="3"/>
  <c r="B7" i="22" s="1"/>
  <c r="EF37" i="3"/>
  <c r="EF8" i="22" s="1"/>
  <c r="AG37" i="3"/>
  <c r="AG8" i="22" s="1"/>
  <c r="Q37" i="3"/>
  <c r="Q8" i="22" s="1"/>
  <c r="H37" i="3"/>
  <c r="H8" i="22" s="1"/>
  <c r="IV37" i="3"/>
  <c r="IV8" i="22" s="1"/>
  <c r="MH37" i="3"/>
  <c r="MH8" i="22" s="1"/>
  <c r="FB34" i="3"/>
  <c r="FB5" i="22" s="1"/>
  <c r="M36" i="3"/>
  <c r="M7" i="22" s="1"/>
  <c r="LP37" i="3"/>
  <c r="LP8" i="22" s="1"/>
  <c r="FE37" i="3"/>
  <c r="FE8" i="22" s="1"/>
  <c r="LZ34" i="3"/>
  <c r="LZ5" i="22" s="1"/>
  <c r="AG34" i="3"/>
  <c r="AG5" i="22" s="1"/>
  <c r="JE37" i="3"/>
  <c r="JE8" i="22" s="1"/>
  <c r="FM37" i="3"/>
  <c r="FM8" i="22" s="1"/>
  <c r="MD37" i="3"/>
  <c r="MD8" i="22" s="1"/>
  <c r="CY37" i="3"/>
  <c r="CY8" i="22" s="1"/>
  <c r="KA37" i="3"/>
  <c r="KA8" i="22" s="1"/>
  <c r="E37" i="3"/>
  <c r="E8" i="22" s="1"/>
  <c r="DB37" i="3"/>
  <c r="DB8" i="22" s="1"/>
  <c r="FG37" i="3"/>
  <c r="FG8" i="22" s="1"/>
  <c r="HG37" i="3"/>
  <c r="HG8" i="22" s="1"/>
  <c r="FJ37" i="3"/>
  <c r="FJ8" i="22" s="1"/>
  <c r="GW37" i="3"/>
  <c r="GW8" i="22" s="1"/>
  <c r="KU37" i="3"/>
  <c r="KU8" i="22" s="1"/>
  <c r="MC37" i="3"/>
  <c r="MC8" i="22" s="1"/>
  <c r="HL37" i="3"/>
  <c r="HL8" i="22" s="1"/>
  <c r="CE37" i="3"/>
  <c r="CE8" i="22" s="1"/>
  <c r="KR37" i="3"/>
  <c r="KR8" i="22" s="1"/>
  <c r="BL37" i="3"/>
  <c r="BL8" i="22" s="1"/>
  <c r="EW34" i="3"/>
  <c r="EW5" i="22" s="1"/>
  <c r="MI34" i="3"/>
  <c r="MI5" i="22" s="1"/>
  <c r="AU36" i="3"/>
  <c r="AU7" i="22" s="1"/>
  <c r="IP37" i="3"/>
  <c r="IP8" i="22" s="1"/>
  <c r="DH37" i="3"/>
  <c r="DH8" i="22" s="1"/>
  <c r="DE36" i="3"/>
  <c r="DE7" i="22" s="1"/>
  <c r="FG34" i="3"/>
  <c r="FG5" i="22" s="1"/>
  <c r="MV37" i="3"/>
  <c r="MV8" i="22" s="1"/>
  <c r="HX37" i="3"/>
  <c r="HX8" i="22" s="1"/>
  <c r="GT34" i="3"/>
  <c r="GT5" i="22" s="1"/>
  <c r="LJ34" i="3"/>
  <c r="LJ5" i="22" s="1"/>
  <c r="JU37" i="3"/>
  <c r="JU8" i="22" s="1"/>
  <c r="AT36" i="3"/>
  <c r="AT7" i="22" s="1"/>
  <c r="JE35" i="3"/>
  <c r="JE6" i="22" s="1"/>
  <c r="ML37" i="3"/>
  <c r="ML8" i="22" s="1"/>
  <c r="MF36" i="3"/>
  <c r="MF7" i="22" s="1"/>
  <c r="MO37" i="3"/>
  <c r="MO8" i="22" s="1"/>
  <c r="MN37" i="3"/>
  <c r="MN8" i="22" s="1"/>
  <c r="JL37" i="3"/>
  <c r="JL8" i="22" s="1"/>
  <c r="DU35" i="3"/>
  <c r="DU6" i="22" s="1"/>
  <c r="IT35" i="3"/>
  <c r="IT6" i="22" s="1"/>
  <c r="LY37" i="3"/>
  <c r="LY8" i="22" s="1"/>
  <c r="HC35" i="3"/>
  <c r="HC6" i="22" s="1"/>
  <c r="AF37" i="3"/>
  <c r="AF8" i="22" s="1"/>
  <c r="DZ34" i="3"/>
  <c r="DZ5" i="22" s="1"/>
  <c r="CP36" i="3"/>
  <c r="CP7" i="22" s="1"/>
  <c r="LV35" i="3"/>
  <c r="LV6" i="22" s="1"/>
  <c r="CZ37" i="3"/>
  <c r="CZ8" i="22" s="1"/>
  <c r="DK35" i="3"/>
  <c r="DK6" i="22" s="1"/>
  <c r="JW34" i="3"/>
  <c r="JW5" i="22" s="1"/>
  <c r="DE37" i="3"/>
  <c r="DE8" i="22" s="1"/>
  <c r="HN34" i="3"/>
  <c r="HN5" i="22" s="1"/>
  <c r="IK37" i="3"/>
  <c r="IK8" i="22" s="1"/>
  <c r="MB37" i="3"/>
  <c r="MB8" i="22" s="1"/>
  <c r="HF34" i="3"/>
  <c r="HF5" i="22" s="1"/>
  <c r="B37" i="3"/>
  <c r="B8" i="22" s="1"/>
  <c r="DT37" i="3"/>
  <c r="DT8" i="22" s="1"/>
  <c r="IE37" i="3"/>
  <c r="IE8" i="22" s="1"/>
  <c r="AD37" i="3"/>
  <c r="AD8" i="22" s="1"/>
  <c r="AI37" i="3"/>
  <c r="AI8" i="22" s="1"/>
  <c r="DN37" i="3"/>
  <c r="DN8" i="22" s="1"/>
  <c r="HP37" i="3"/>
  <c r="HP8" i="22" s="1"/>
  <c r="EU36" i="3"/>
  <c r="EU7" i="22" s="1"/>
  <c r="CB37" i="3"/>
  <c r="CB8" i="22" s="1"/>
  <c r="AX37" i="3"/>
  <c r="AX8" i="22" s="1"/>
  <c r="KU35" i="3"/>
  <c r="KU6" i="22" s="1"/>
  <c r="GX34" i="3"/>
  <c r="GX5" i="22" s="1"/>
  <c r="KY34" i="3"/>
  <c r="KY5" i="22" s="1"/>
  <c r="IW37" i="3"/>
  <c r="IW8" i="22" s="1"/>
  <c r="JL36" i="3"/>
  <c r="JL7" i="22" s="1"/>
  <c r="FQ34" i="3"/>
  <c r="FQ5" i="22" s="1"/>
  <c r="MO36" i="3"/>
  <c r="MO7" i="22" s="1"/>
  <c r="EL34" i="3"/>
  <c r="EL5" i="22" s="1"/>
  <c r="S35" i="3"/>
  <c r="S6" i="22" s="1"/>
  <c r="BJ36" i="3"/>
  <c r="BJ7" i="22" s="1"/>
  <c r="BF37" i="3"/>
  <c r="BF8" i="22" s="1"/>
  <c r="EO37" i="3"/>
  <c r="EO8" i="22" s="1"/>
  <c r="M37" i="3"/>
  <c r="M8" i="22" s="1"/>
  <c r="MQ37" i="3"/>
  <c r="MQ8" i="22" s="1"/>
  <c r="ES37" i="3"/>
  <c r="ES8" i="22" s="1"/>
  <c r="DO37" i="3"/>
  <c r="DO8" i="22" s="1"/>
  <c r="IJ37" i="3"/>
  <c r="IJ8" i="22" s="1"/>
  <c r="KM37" i="3"/>
  <c r="KM8" i="22" s="1"/>
  <c r="G37" i="3"/>
  <c r="G8" i="22" s="1"/>
  <c r="AB37" i="3"/>
  <c r="AB8" i="22" s="1"/>
  <c r="EH37" i="3"/>
  <c r="EH8" i="22" s="1"/>
  <c r="GI37" i="3"/>
  <c r="GI8" i="22" s="1"/>
  <c r="LJ37" i="3"/>
  <c r="LJ8" i="22" s="1"/>
  <c r="LO37" i="3"/>
  <c r="LO8" i="22" s="1"/>
  <c r="BR37" i="3"/>
  <c r="BR8" i="22" s="1"/>
  <c r="FK37" i="3"/>
  <c r="FK8" i="22" s="1"/>
  <c r="GK37" i="3"/>
  <c r="GK8" i="22" s="1"/>
  <c r="AV37" i="3"/>
  <c r="AV8" i="22" s="1"/>
  <c r="FT37" i="3"/>
  <c r="FT8" i="22" s="1"/>
  <c r="DM37" i="3"/>
  <c r="DM8" i="22" s="1"/>
  <c r="JQ37" i="3"/>
  <c r="JQ8" i="22" s="1"/>
  <c r="MK37" i="3"/>
  <c r="MK8" i="22" s="1"/>
  <c r="BA37" i="3"/>
  <c r="BA8" i="22" s="1"/>
  <c r="BS37" i="3"/>
  <c r="BS8" i="22" s="1"/>
  <c r="ER37" i="3"/>
  <c r="ER8" i="22" s="1"/>
  <c r="IQ37" i="3"/>
  <c r="IQ8" i="22" s="1"/>
  <c r="CL37" i="3"/>
  <c r="CL8" i="22" s="1"/>
  <c r="EM37" i="3"/>
  <c r="EM8" i="22" s="1"/>
  <c r="KN37" i="3"/>
  <c r="KN8" i="22" s="1"/>
  <c r="JN37" i="3"/>
  <c r="JN8" i="22" s="1"/>
  <c r="JS37" i="3"/>
  <c r="JS8" i="22" s="1"/>
  <c r="MX37" i="3"/>
  <c r="MX8" i="22" s="1"/>
  <c r="NC37" i="3"/>
  <c r="NC8" i="22" s="1"/>
  <c r="V37" i="3"/>
  <c r="V8" i="22" s="1"/>
  <c r="BW37" i="3"/>
  <c r="BW8" i="22" s="1"/>
  <c r="BD37" i="3"/>
  <c r="BD8" i="22" s="1"/>
  <c r="KC37" i="3"/>
  <c r="KC8" i="22" s="1"/>
  <c r="ML35" i="3"/>
  <c r="ML6" i="22" s="1"/>
  <c r="FY37" i="3"/>
  <c r="FY8" i="22" s="1"/>
  <c r="IS37" i="3"/>
  <c r="IS8" i="22" s="1"/>
  <c r="S37" i="3"/>
  <c r="S8" i="22" s="1"/>
  <c r="W37" i="3"/>
  <c r="W8" i="22" s="1"/>
  <c r="AZ37" i="3"/>
  <c r="AZ8" i="22" s="1"/>
  <c r="GU37" i="3"/>
  <c r="GU8" i="22" s="1"/>
  <c r="LV37" i="3"/>
  <c r="LV8" i="22" s="1"/>
  <c r="CQ37" i="3"/>
  <c r="CQ8" i="22" s="1"/>
  <c r="HR37" i="3"/>
  <c r="HR8" i="22" s="1"/>
  <c r="LB37" i="3"/>
  <c r="LB8" i="22" s="1"/>
  <c r="LG37" i="3"/>
  <c r="LG8" i="22" s="1"/>
  <c r="AA37" i="3"/>
  <c r="AA8" i="22" s="1"/>
  <c r="FG36" i="3"/>
  <c r="FG7" i="22" s="1"/>
  <c r="CS37" i="3"/>
  <c r="CS8" i="22" s="1"/>
  <c r="EX37" i="3"/>
  <c r="EX8" i="22" s="1"/>
  <c r="CG37" i="3"/>
  <c r="CG8" i="22" s="1"/>
  <c r="J37" i="3"/>
  <c r="J8" i="22" s="1"/>
  <c r="FA37" i="3"/>
  <c r="FA8" i="22" s="1"/>
  <c r="EY37" i="3"/>
  <c r="EY8" i="22" s="1"/>
  <c r="JZ37" i="3"/>
  <c r="JZ8" i="22" s="1"/>
  <c r="AU37" i="3"/>
  <c r="AU8" i="22" s="1"/>
  <c r="FV37" i="3"/>
  <c r="FV8" i="22" s="1"/>
  <c r="JX37" i="3"/>
  <c r="JX8" i="22" s="1"/>
  <c r="JF37" i="3"/>
  <c r="JF8" i="22" s="1"/>
  <c r="JK37" i="3"/>
  <c r="JK8" i="22" s="1"/>
  <c r="KJ37" i="3"/>
  <c r="KJ8" i="22" s="1"/>
  <c r="HC37" i="3"/>
  <c r="HC8" i="22" s="1"/>
  <c r="BI37" i="3"/>
  <c r="BI8" i="22" s="1"/>
  <c r="BB37" i="3"/>
  <c r="BB8" i="22" s="1"/>
  <c r="DC37" i="3"/>
  <c r="DC8" i="22" s="1"/>
  <c r="HT37" i="3"/>
  <c r="HT8" i="22" s="1"/>
  <c r="ID37" i="3"/>
  <c r="ID8" i="22" s="1"/>
  <c r="L37" i="3"/>
  <c r="L8" i="22" s="1"/>
  <c r="DZ37" i="3"/>
  <c r="DZ8" i="22" s="1"/>
  <c r="GF37" i="3"/>
  <c r="GF8" i="22" s="1"/>
  <c r="HJ37" i="3"/>
  <c r="HJ8" i="22" s="1"/>
  <c r="HO37" i="3"/>
  <c r="HO8" i="22" s="1"/>
  <c r="AO37" i="3"/>
  <c r="AO8" i="22" s="1"/>
  <c r="GL36" i="3"/>
  <c r="GL7" i="22" s="1"/>
  <c r="GT37" i="3"/>
  <c r="GT8" i="22" s="1"/>
  <c r="BO37" i="3"/>
  <c r="BO8" i="22" s="1"/>
  <c r="MR37" i="3"/>
  <c r="MR8" i="22" s="1"/>
  <c r="KP37" i="3"/>
  <c r="KP8" i="22" s="1"/>
  <c r="F37" i="3"/>
  <c r="F8" i="22" s="1"/>
  <c r="BG37" i="3"/>
  <c r="BG8" i="22" s="1"/>
  <c r="EB37" i="3"/>
  <c r="EB8" i="22" s="1"/>
  <c r="GH37" i="3"/>
  <c r="GH8" i="22" s="1"/>
  <c r="II37" i="3"/>
  <c r="II8" i="22" s="1"/>
  <c r="CD37" i="3"/>
  <c r="CD8" i="22" s="1"/>
  <c r="CN37" i="3"/>
  <c r="CN8" i="22" s="1"/>
  <c r="FN37" i="3"/>
  <c r="FN8" i="22" s="1"/>
  <c r="FS37" i="3"/>
  <c r="FS8" i="22" s="1"/>
  <c r="MZ37" i="3"/>
  <c r="MZ8" i="22" s="1"/>
  <c r="KT37" i="3"/>
  <c r="KT8" i="22" s="1"/>
  <c r="EG37" i="3"/>
  <c r="EG8" i="22" s="1"/>
  <c r="HI37" i="3"/>
  <c r="HI8" i="22" s="1"/>
  <c r="JT37" i="3"/>
  <c r="JT8" i="22" s="1"/>
  <c r="GZ37" i="3"/>
  <c r="GZ8" i="22" s="1"/>
  <c r="EV37" i="3"/>
  <c r="EV8" i="22" s="1"/>
  <c r="LM37" i="3"/>
  <c r="LM8" i="22" s="1"/>
  <c r="LE37" i="3"/>
  <c r="LE8" i="22" s="1"/>
  <c r="MJ37" i="3"/>
  <c r="MJ8" i="22" s="1"/>
  <c r="KP35" i="3"/>
  <c r="KP6" i="22" s="1"/>
  <c r="JY37" i="3"/>
  <c r="JY8" i="22" s="1"/>
  <c r="IZ37" i="3"/>
  <c r="IZ8" i="22" s="1"/>
  <c r="IT37" i="3"/>
  <c r="IT8" i="22" s="1"/>
  <c r="K37" i="3"/>
  <c r="K8" i="22" s="1"/>
  <c r="EL37" i="3"/>
  <c r="EL8" i="22" s="1"/>
  <c r="GM37" i="3"/>
  <c r="GM8" i="22" s="1"/>
  <c r="LN37" i="3"/>
  <c r="LN8" i="22" s="1"/>
  <c r="AH37" i="3"/>
  <c r="AH8" i="22" s="1"/>
  <c r="DR37" i="3"/>
  <c r="DR8" i="22" s="1"/>
  <c r="DW37" i="3"/>
  <c r="DW8" i="22" s="1"/>
  <c r="JH37" i="3"/>
  <c r="JH8" i="22" s="1"/>
  <c r="IX37" i="3"/>
  <c r="IX8" i="22" s="1"/>
  <c r="HY37" i="3"/>
  <c r="HY8" i="22" s="1"/>
  <c r="BU37" i="3"/>
  <c r="BU8" i="22" s="1"/>
  <c r="LI37" i="3"/>
  <c r="LI8" i="22" s="1"/>
  <c r="P37" i="3"/>
  <c r="P8" i="22" s="1"/>
  <c r="KS37" i="3"/>
  <c r="KS8" i="22" s="1"/>
  <c r="LQ37" i="3"/>
  <c r="LQ8" i="22" s="1"/>
  <c r="GR37" i="3"/>
  <c r="GR8" i="22" s="1"/>
  <c r="CK37" i="3"/>
  <c r="CK8" i="22" s="1"/>
  <c r="HU37" i="3"/>
  <c r="HU8" i="22" s="1"/>
  <c r="HM37" i="3"/>
  <c r="HM8" i="22" s="1"/>
  <c r="BQ37" i="3"/>
  <c r="BQ8" i="22" s="1"/>
  <c r="FH37" i="3"/>
  <c r="FH8" i="22" s="1"/>
  <c r="GX37" i="3"/>
  <c r="GX8" i="22" s="1"/>
  <c r="CP37" i="3"/>
  <c r="CP8" i="22" s="1"/>
  <c r="KV37" i="3"/>
  <c r="KV8" i="22" s="1"/>
  <c r="JR37" i="3"/>
  <c r="JR8" i="22" s="1"/>
  <c r="LS37" i="3"/>
  <c r="LS8" i="22" s="1"/>
  <c r="DF34" i="3"/>
  <c r="DF5" i="22" s="1"/>
  <c r="BV37" i="3"/>
  <c r="BV8" i="22" s="1"/>
  <c r="CA37" i="3"/>
  <c r="CA8" i="22" s="1"/>
  <c r="FP37" i="3"/>
  <c r="FP8" i="22" s="1"/>
  <c r="HH37" i="3"/>
  <c r="HH8" i="22" s="1"/>
  <c r="IG37" i="3"/>
  <c r="IG8" i="22" s="1"/>
  <c r="DI37" i="3"/>
  <c r="DI8" i="22" s="1"/>
  <c r="EC37" i="3"/>
  <c r="EC8" i="22" s="1"/>
  <c r="DU37" i="3"/>
  <c r="DU8" i="22" s="1"/>
  <c r="DK37" i="3"/>
  <c r="DK8" i="22" s="1"/>
  <c r="BP37" i="3"/>
  <c r="BP8" i="22" s="1"/>
  <c r="FB37" i="3"/>
  <c r="FB8" i="22" s="1"/>
  <c r="LZ37" i="3"/>
  <c r="LZ8" i="22" s="1"/>
  <c r="AT37" i="3"/>
  <c r="AT8" i="22" s="1"/>
  <c r="HD37" i="3"/>
  <c r="HD8" i="22" s="1"/>
  <c r="HV37" i="3"/>
  <c r="HV8" i="22" s="1"/>
  <c r="JW37" i="3"/>
  <c r="JW8" i="22" s="1"/>
  <c r="Z37" i="3"/>
  <c r="Z8" i="22" s="1"/>
  <c r="AE37" i="3"/>
  <c r="AE8" i="22" s="1"/>
  <c r="BX37" i="3"/>
  <c r="BX8" i="22" s="1"/>
  <c r="AW37" i="3"/>
  <c r="AW8" i="22" s="1"/>
  <c r="AK37" i="3"/>
  <c r="AK8" i="22" s="1"/>
  <c r="AC37" i="3"/>
  <c r="AC8" i="22" s="1"/>
  <c r="IY37" i="3"/>
  <c r="IY8" i="22" s="1"/>
  <c r="DF37" i="3"/>
  <c r="DF8" i="22" s="1"/>
  <c r="FC37" i="3"/>
  <c r="FC8" i="22" s="1"/>
  <c r="LT37" i="3"/>
  <c r="LT8" i="22" s="1"/>
  <c r="KD37" i="3"/>
  <c r="KD8" i="22" s="1"/>
  <c r="ME37" i="3"/>
  <c r="ME8" i="22" s="1"/>
  <c r="DL37" i="3"/>
  <c r="DL8" i="22" s="1"/>
  <c r="FZ37" i="3"/>
  <c r="FZ8" i="22" s="1"/>
  <c r="IA37" i="3"/>
  <c r="IA8" i="22" s="1"/>
  <c r="LK37" i="3"/>
  <c r="LK8" i="22" s="1"/>
  <c r="BM37" i="3"/>
  <c r="BM8" i="22" s="1"/>
  <c r="NA37" i="3"/>
  <c r="NA8" i="22" s="1"/>
  <c r="BJ37" i="3"/>
  <c r="BJ8" i="22" s="1"/>
  <c r="DG37" i="3"/>
  <c r="DG8" i="22" s="1"/>
  <c r="IB37" i="3"/>
  <c r="IB8" i="22" s="1"/>
  <c r="IH37" i="3"/>
  <c r="IH8" i="22" s="1"/>
  <c r="KI37" i="3"/>
  <c r="KI8" i="22" s="1"/>
  <c r="T37" i="3"/>
  <c r="T8" i="22" s="1"/>
  <c r="ED37" i="3"/>
  <c r="ED8" i="22" s="1"/>
  <c r="GE37" i="3"/>
  <c r="GE8" i="22" s="1"/>
  <c r="KF37" i="3"/>
  <c r="KF8" i="22" s="1"/>
  <c r="JO37" i="3"/>
  <c r="JO8" i="22" s="1"/>
  <c r="MT37" i="3"/>
  <c r="MT8" i="22" s="1"/>
  <c r="CK36" i="3"/>
  <c r="CK7" i="22" s="1"/>
  <c r="GH35" i="3"/>
  <c r="GH6" i="22" s="1"/>
  <c r="LH37" i="3"/>
  <c r="LH8" i="22" s="1"/>
  <c r="FD37" i="3"/>
  <c r="FD8" i="22" s="1"/>
  <c r="ME34" i="3"/>
  <c r="ME5" i="22" s="1"/>
  <c r="KG37" i="3"/>
  <c r="KG8" i="22" s="1"/>
  <c r="JI37" i="3"/>
  <c r="JI8" i="22" s="1"/>
  <c r="MU37" i="3"/>
  <c r="MU8" i="22" s="1"/>
  <c r="N37" i="3"/>
  <c r="N8" i="22" s="1"/>
  <c r="BK37" i="3"/>
  <c r="BK8" i="22" s="1"/>
  <c r="EJ37" i="3"/>
  <c r="EJ8" i="22" s="1"/>
  <c r="GL37" i="3"/>
  <c r="GL8" i="22" s="1"/>
  <c r="IM37" i="3"/>
  <c r="IM8" i="22" s="1"/>
  <c r="CH37" i="3"/>
  <c r="CH8" i="22" s="1"/>
  <c r="EI37" i="3"/>
  <c r="EI8" i="22" s="1"/>
  <c r="GN37" i="3"/>
  <c r="GN8" i="22" s="1"/>
  <c r="HN37" i="3"/>
  <c r="HN8" i="22" s="1"/>
  <c r="HS37" i="3"/>
  <c r="HS8" i="22" s="1"/>
  <c r="KX37" i="3"/>
  <c r="KX8" i="22" s="1"/>
  <c r="MY37" i="3"/>
  <c r="MY8" i="22" s="1"/>
  <c r="MI37" i="3"/>
  <c r="MI8" i="22" s="1"/>
  <c r="MW35" i="3"/>
  <c r="MW6" i="22" s="1"/>
  <c r="DX37" i="3"/>
  <c r="DX8" i="22" s="1"/>
  <c r="EW37" i="3"/>
  <c r="EW8" i="22" s="1"/>
  <c r="MW37" i="3"/>
  <c r="MW8" i="22" s="1"/>
  <c r="DQ37" i="3"/>
  <c r="DQ8" i="22" s="1"/>
  <c r="HG34" i="3"/>
  <c r="HG5" i="22" s="1"/>
  <c r="GO37" i="3"/>
  <c r="GO8" i="22" s="1"/>
  <c r="FQ37" i="3"/>
  <c r="FQ8" i="22" s="1"/>
  <c r="ID35" i="3"/>
  <c r="ID6" i="22" s="1"/>
  <c r="KY37" i="3"/>
  <c r="KY8" i="22" s="1"/>
  <c r="AR37" i="3"/>
  <c r="AR8" i="22" s="1"/>
  <c r="EP37" i="3"/>
  <c r="EP8" i="22" s="1"/>
  <c r="GQ37" i="3"/>
  <c r="GQ8" i="22" s="1"/>
  <c r="AL37" i="3"/>
  <c r="AL8" i="22" s="1"/>
  <c r="CM37" i="3"/>
  <c r="CM8" i="22" s="1"/>
  <c r="CV37" i="3"/>
  <c r="CV8" i="22" s="1"/>
  <c r="FR37" i="3"/>
  <c r="FR8" i="22" s="1"/>
  <c r="FW37" i="3"/>
  <c r="FW8" i="22" s="1"/>
  <c r="JB37" i="3"/>
  <c r="JB8" i="22" s="1"/>
  <c r="BC37" i="3"/>
  <c r="BC8" i="22" s="1"/>
  <c r="LA37" i="3"/>
  <c r="LA8" i="22" s="1"/>
  <c r="LK35" i="3"/>
  <c r="LK6" i="22" s="1"/>
  <c r="KO37" i="3"/>
  <c r="KO8" i="22" s="1"/>
  <c r="CW37" i="3"/>
  <c r="CW8" i="22" s="1"/>
  <c r="BY37" i="3"/>
  <c r="BY8" i="22" s="1"/>
  <c r="JC37" i="3"/>
  <c r="JC8" i="22" s="1"/>
  <c r="CT37" i="3"/>
  <c r="CT8" i="22" s="1"/>
  <c r="EU37" i="3"/>
  <c r="EU8" i="22" s="1"/>
  <c r="LD37" i="3"/>
  <c r="LD8" i="22" s="1"/>
  <c r="JV37" i="3"/>
  <c r="JV8" i="22" s="1"/>
  <c r="LW37" i="3"/>
  <c r="LW8" i="22" s="1"/>
  <c r="AQ37" i="3"/>
  <c r="AQ8" i="22" s="1"/>
  <c r="D37" i="3"/>
  <c r="D8" i="22" s="1"/>
  <c r="DV37" i="3"/>
  <c r="DV8" i="22" s="1"/>
  <c r="EA37" i="3"/>
  <c r="EA8" i="22" s="1"/>
  <c r="FX37" i="3"/>
  <c r="FX8" i="22" s="1"/>
  <c r="HF37" i="3"/>
  <c r="HF8" i="22" s="1"/>
  <c r="DC35" i="3"/>
  <c r="DC6" i="22" s="1"/>
  <c r="MY35" i="3"/>
  <c r="MY6" i="22" s="1"/>
  <c r="IV36" i="3"/>
  <c r="IV7" i="22" s="1"/>
  <c r="DR34" i="3"/>
  <c r="DR5" i="22" s="1"/>
  <c r="KM35" i="3"/>
  <c r="KM6" i="22" s="1"/>
  <c r="KT35" i="3"/>
  <c r="KT6" i="22" s="1"/>
  <c r="GH34" i="3"/>
  <c r="GH5" i="22" s="1"/>
  <c r="GM34" i="3"/>
  <c r="GM5" i="22" s="1"/>
  <c r="LO35" i="3"/>
  <c r="LO6" i="22" s="1"/>
  <c r="FR36" i="3"/>
  <c r="FR7" i="22" s="1"/>
  <c r="GC36" i="3"/>
  <c r="GC7" i="22" s="1"/>
  <c r="FV34" i="3"/>
  <c r="FV5" i="22" s="1"/>
  <c r="CT35" i="3"/>
  <c r="CT6" i="22" s="1"/>
  <c r="IC34" i="3"/>
  <c r="IC5" i="22" s="1"/>
  <c r="DG36" i="3"/>
  <c r="DG7" i="22" s="1"/>
  <c r="KN34" i="3"/>
  <c r="KN5" i="22" s="1"/>
  <c r="L35" i="3"/>
  <c r="L6" i="22" s="1"/>
  <c r="IY35" i="3"/>
  <c r="IY6" i="22" s="1"/>
  <c r="HM36" i="3"/>
  <c r="HM7" i="22" s="1"/>
  <c r="KK35" i="3"/>
  <c r="KK6" i="22" s="1"/>
  <c r="AM34" i="3"/>
  <c r="AM5" i="22" s="1"/>
  <c r="KE35" i="3"/>
  <c r="KE6" i="22" s="1"/>
  <c r="FG35" i="3"/>
  <c r="FG6" i="22" s="1"/>
  <c r="I36" i="3"/>
  <c r="I7" i="22" s="1"/>
  <c r="AS34" i="3"/>
  <c r="AS5" i="22" s="1"/>
  <c r="MG35" i="3"/>
  <c r="MG6" i="22" s="1"/>
  <c r="FI35" i="3"/>
  <c r="FI6" i="22" s="1"/>
  <c r="AY34" i="3"/>
  <c r="AY5" i="22" s="1"/>
  <c r="JV35" i="3"/>
  <c r="JV6" i="22" s="1"/>
  <c r="KT34" i="3"/>
  <c r="KT5" i="22" s="1"/>
  <c r="LO36" i="3"/>
  <c r="LO7" i="22" s="1"/>
  <c r="BB34" i="3"/>
  <c r="BB5" i="22" s="1"/>
  <c r="HX36" i="3"/>
  <c r="HX7" i="22" s="1"/>
  <c r="C35" i="3"/>
  <c r="C6" i="22" s="1"/>
  <c r="JV36" i="3"/>
  <c r="JV7" i="22" s="1"/>
  <c r="NB35" i="3"/>
  <c r="NB6" i="22" s="1"/>
  <c r="LU34" i="3"/>
  <c r="LU5" i="22" s="1"/>
  <c r="IO34" i="3"/>
  <c r="IO5" i="22" s="1"/>
  <c r="MV36" i="3"/>
  <c r="MV7" i="22" s="1"/>
  <c r="II36" i="3"/>
  <c r="II7" i="22" s="1"/>
  <c r="GE36" i="3"/>
  <c r="GE7" i="22" s="1"/>
  <c r="MW36" i="3"/>
  <c r="MW7" i="22" s="1"/>
  <c r="EK36" i="3"/>
  <c r="EK7" i="22" s="1"/>
  <c r="HI34" i="3"/>
  <c r="HI5" i="22" s="1"/>
  <c r="N35" i="3"/>
  <c r="N6" i="22" s="1"/>
  <c r="S36" i="3"/>
  <c r="S7" i="22" s="1"/>
  <c r="IS36" i="3"/>
  <c r="IS7" i="22" s="1"/>
  <c r="HU36" i="3"/>
  <c r="HU7" i="22" s="1"/>
  <c r="KG35" i="3"/>
  <c r="KG6" i="22" s="1"/>
  <c r="W34" i="3"/>
  <c r="W5" i="22" s="1"/>
  <c r="IE36" i="3"/>
  <c r="IE7" i="22" s="1"/>
  <c r="AP36" i="3"/>
  <c r="AP7" i="22" s="1"/>
  <c r="LS36" i="3"/>
  <c r="LS7" i="22" s="1"/>
  <c r="LY34" i="3"/>
  <c r="LY5" i="22" s="1"/>
  <c r="GL35" i="3"/>
  <c r="GL6" i="22" s="1"/>
  <c r="CM35" i="3"/>
  <c r="CM6" i="22" s="1"/>
  <c r="KF34" i="3"/>
  <c r="KF5" i="22" s="1"/>
  <c r="BS36" i="3"/>
  <c r="BS7" i="22" s="1"/>
  <c r="MX36" i="3"/>
  <c r="MX7" i="22" s="1"/>
  <c r="EF35" i="3"/>
  <c r="EF6" i="22" s="1"/>
  <c r="KF36" i="3"/>
  <c r="KF7" i="22" s="1"/>
  <c r="LY35" i="3"/>
  <c r="LY6" i="22" s="1"/>
  <c r="EC35" i="3"/>
  <c r="EC6" i="22" s="1"/>
  <c r="CM36" i="3"/>
  <c r="CM7" i="22" s="1"/>
  <c r="DL36" i="3"/>
  <c r="DL7" i="22" s="1"/>
  <c r="LB35" i="3"/>
  <c r="LB6" i="22" s="1"/>
  <c r="FD36" i="3"/>
  <c r="FD7" i="22" s="1"/>
  <c r="HA36" i="3"/>
  <c r="HA7" i="22" s="1"/>
  <c r="E36" i="3"/>
  <c r="E7" i="22" s="1"/>
  <c r="GV36" i="3"/>
  <c r="GV7" i="22" s="1"/>
  <c r="IA34" i="3"/>
  <c r="IA5" i="22" s="1"/>
  <c r="BK36" i="3"/>
  <c r="BK7" i="22" s="1"/>
  <c r="MU34" i="3"/>
  <c r="MU5" i="22" s="1"/>
  <c r="MI36" i="3"/>
  <c r="MI7" i="22" s="1"/>
  <c r="MT34" i="3"/>
  <c r="MT5" i="22" s="1"/>
  <c r="EX34" i="3"/>
  <c r="EX5" i="22" s="1"/>
  <c r="BR34" i="3"/>
  <c r="BR5" i="22" s="1"/>
  <c r="MF34" i="3"/>
  <c r="MF5" i="22" s="1"/>
  <c r="P35" i="3"/>
  <c r="P6" i="22" s="1"/>
  <c r="H35" i="3"/>
  <c r="H6" i="22" s="1"/>
  <c r="D35" i="3"/>
  <c r="D6" i="22" s="1"/>
  <c r="CY35" i="3"/>
  <c r="CY6" i="22" s="1"/>
  <c r="IS35" i="3"/>
  <c r="IS6" i="22" s="1"/>
  <c r="BD34" i="3"/>
  <c r="BD5" i="22" s="1"/>
  <c r="HO35" i="3"/>
  <c r="HO6" i="22" s="1"/>
  <c r="IT34" i="3"/>
  <c r="IT5" i="22" s="1"/>
  <c r="FZ36" i="3"/>
  <c r="FZ7" i="22" s="1"/>
  <c r="MH35" i="3"/>
  <c r="MH6" i="22" s="1"/>
  <c r="JW36" i="3"/>
  <c r="JW7" i="22" s="1"/>
  <c r="GI34" i="3"/>
  <c r="GI5" i="22" s="1"/>
  <c r="HQ36" i="3"/>
  <c r="HQ7" i="22" s="1"/>
  <c r="EA35" i="3"/>
  <c r="EA6" i="22" s="1"/>
  <c r="IK36" i="3"/>
  <c r="IK7" i="22" s="1"/>
  <c r="MB36" i="3"/>
  <c r="MB7" i="22" s="1"/>
  <c r="DN36" i="3"/>
  <c r="DN7" i="22" s="1"/>
  <c r="EF36" i="3"/>
  <c r="EF7" i="22" s="1"/>
  <c r="IA36" i="3"/>
  <c r="IA7" i="22" s="1"/>
  <c r="HA34" i="3"/>
  <c r="HA5" i="22" s="1"/>
  <c r="AK36" i="3"/>
  <c r="AK7" i="22" s="1"/>
  <c r="LS34" i="3"/>
  <c r="LS5" i="22" s="1"/>
  <c r="FC36" i="3"/>
  <c r="FC7" i="22" s="1"/>
  <c r="DU34" i="3"/>
  <c r="DU5" i="22" s="1"/>
  <c r="AH36" i="3"/>
  <c r="AH7" i="22" s="1"/>
  <c r="IW36" i="3"/>
  <c r="IW7" i="22" s="1"/>
  <c r="KW36" i="3"/>
  <c r="KW7" i="22" s="1"/>
  <c r="AI35" i="3"/>
  <c r="AI6" i="22" s="1"/>
  <c r="BI34" i="3"/>
  <c r="BI5" i="22" s="1"/>
  <c r="EA36" i="3"/>
  <c r="EA7" i="22" s="1"/>
  <c r="FC35" i="3"/>
  <c r="FC6" i="22" s="1"/>
  <c r="EX35" i="3"/>
  <c r="EX6" i="22" s="1"/>
  <c r="GQ35" i="3"/>
  <c r="GQ6" i="22" s="1"/>
  <c r="KC36" i="3"/>
  <c r="KC7" i="22" s="1"/>
  <c r="DO36" i="3"/>
  <c r="DO7" i="22" s="1"/>
  <c r="JU34" i="3"/>
  <c r="JU5" i="22" s="1"/>
  <c r="BY34" i="3"/>
  <c r="BY5" i="22" s="1"/>
  <c r="BY36" i="3"/>
  <c r="BY7" i="22" s="1"/>
  <c r="LV34" i="3"/>
  <c r="LV5" i="22" s="1"/>
  <c r="GG35" i="3"/>
  <c r="GG6" i="22" s="1"/>
  <c r="AT35" i="3"/>
  <c r="AT6" i="22" s="1"/>
  <c r="J35" i="3"/>
  <c r="J6" i="22" s="1"/>
  <c r="NB34" i="3"/>
  <c r="NB5" i="22" s="1"/>
  <c r="AV36" i="3"/>
  <c r="AV7" i="22" s="1"/>
  <c r="LQ36" i="3"/>
  <c r="LQ7" i="22" s="1"/>
  <c r="KK36" i="3"/>
  <c r="KK7" i="22" s="1"/>
  <c r="JE36" i="3"/>
  <c r="JE7" i="22" s="1"/>
  <c r="GS35" i="3"/>
  <c r="GS6" i="22" s="1"/>
  <c r="EK34" i="3"/>
  <c r="EK5" i="22" s="1"/>
  <c r="L34" i="3"/>
  <c r="L5" i="22" s="1"/>
  <c r="BZ36" i="3"/>
  <c r="BZ7" i="22" s="1"/>
  <c r="HG36" i="3"/>
  <c r="HG7" i="22" s="1"/>
  <c r="NA34" i="3"/>
  <c r="NA5" i="22" s="1"/>
  <c r="MN36" i="3"/>
  <c r="MN7" i="22" s="1"/>
  <c r="MG34" i="3"/>
  <c r="MG5" i="22" s="1"/>
  <c r="EG34" i="3"/>
  <c r="EG5" i="22" s="1"/>
  <c r="EQ36" i="3"/>
  <c r="EQ7" i="22" s="1"/>
  <c r="MK36" i="3"/>
  <c r="MK7" i="22" s="1"/>
  <c r="FX35" i="3"/>
  <c r="FX6" i="22" s="1"/>
  <c r="LW34" i="3"/>
  <c r="LW5" i="22" s="1"/>
  <c r="CU35" i="3"/>
  <c r="CU6" i="22" s="1"/>
  <c r="LM36" i="3"/>
  <c r="LM7" i="22" s="1"/>
  <c r="GN34" i="3"/>
  <c r="GN5" i="22" s="1"/>
  <c r="GK36" i="3"/>
  <c r="GK7" i="22" s="1"/>
  <c r="FE34" i="3"/>
  <c r="FE5" i="22" s="1"/>
  <c r="MS35" i="3"/>
  <c r="MS6" i="22" s="1"/>
  <c r="GJ36" i="3"/>
  <c r="GJ7" i="22" s="1"/>
  <c r="GQ34" i="3"/>
  <c r="GQ5" i="22" s="1"/>
  <c r="KA36" i="3"/>
  <c r="KA7" i="22" s="1"/>
  <c r="JR34" i="3"/>
  <c r="JR5" i="22" s="1"/>
  <c r="DB36" i="3"/>
  <c r="DB7" i="22" s="1"/>
  <c r="AB34" i="3"/>
  <c r="AB5" i="22" s="1"/>
  <c r="BY35" i="3"/>
  <c r="BY6" i="22" s="1"/>
  <c r="AG35" i="3"/>
  <c r="AG6" i="22" s="1"/>
  <c r="HR36" i="3"/>
  <c r="HR7" i="22" s="1"/>
  <c r="GO34" i="3"/>
  <c r="GO5" i="22" s="1"/>
  <c r="FL34" i="3"/>
  <c r="FL5" i="22" s="1"/>
  <c r="LJ35" i="3"/>
  <c r="LJ6" i="22" s="1"/>
  <c r="EY35" i="3"/>
  <c r="EY6" i="22" s="1"/>
  <c r="LF36" i="3"/>
  <c r="LF7" i="22" s="1"/>
  <c r="LG34" i="3"/>
  <c r="LG5" i="22" s="1"/>
  <c r="AJ35" i="3"/>
  <c r="AJ6" i="22" s="1"/>
  <c r="GQ36" i="3"/>
  <c r="GQ7" i="22" s="1"/>
  <c r="JR35" i="3"/>
  <c r="JR6" i="22" s="1"/>
  <c r="BV35" i="3"/>
  <c r="BV6" i="22" s="1"/>
  <c r="IZ35" i="3"/>
  <c r="IZ6" i="22" s="1"/>
  <c r="AG36" i="3"/>
  <c r="AG7" i="22" s="1"/>
  <c r="GO35" i="3"/>
  <c r="GO6" i="22" s="1"/>
  <c r="BT36" i="3"/>
  <c r="BT7" i="22" s="1"/>
  <c r="EY36" i="3"/>
  <c r="EY7" i="22" s="1"/>
  <c r="DN34" i="3"/>
  <c r="DN5" i="22" s="1"/>
  <c r="LG35" i="3"/>
  <c r="LG6" i="22" s="1"/>
  <c r="FH36" i="3"/>
  <c r="FH7" i="22" s="1"/>
  <c r="HF36" i="3"/>
  <c r="HF7" i="22" s="1"/>
  <c r="FZ34" i="3"/>
  <c r="FZ5" i="22" s="1"/>
  <c r="J36" i="3"/>
  <c r="J7" i="22" s="1"/>
  <c r="GZ36" i="3"/>
  <c r="GZ7" i="22" s="1"/>
  <c r="DQ34" i="3"/>
  <c r="DQ5" i="22" s="1"/>
  <c r="IY36" i="3"/>
  <c r="IY7" i="22" s="1"/>
  <c r="IG34" i="3"/>
  <c r="IG5" i="22" s="1"/>
  <c r="BQ36" i="3"/>
  <c r="BQ7" i="22" s="1"/>
  <c r="IH34" i="3"/>
  <c r="IH5" i="22" s="1"/>
  <c r="KQ36" i="3"/>
  <c r="KQ7" i="22" s="1"/>
  <c r="KM34" i="3"/>
  <c r="KM5" i="22" s="1"/>
  <c r="DW36" i="3"/>
  <c r="DW7" i="22" s="1"/>
  <c r="BS34" i="3"/>
  <c r="BS5" i="22" s="1"/>
  <c r="DO35" i="3"/>
  <c r="DO6" i="22" s="1"/>
  <c r="BB35" i="3"/>
  <c r="BB6" i="22" s="1"/>
  <c r="IH36" i="3"/>
  <c r="IH7" i="22" s="1"/>
  <c r="HJ34" i="3"/>
  <c r="HJ5" i="22" s="1"/>
  <c r="HH34" i="3"/>
  <c r="HH5" i="22" s="1"/>
  <c r="MJ34" i="3"/>
  <c r="MJ5" i="22" s="1"/>
  <c r="X35" i="3"/>
  <c r="X6" i="22" s="1"/>
  <c r="D34" i="3"/>
  <c r="D5" i="22" s="1"/>
  <c r="BL35" i="3"/>
  <c r="BL6" i="22" s="1"/>
  <c r="BE34" i="3"/>
  <c r="BE5" i="22" s="1"/>
  <c r="BH35" i="3"/>
  <c r="BH6" i="22" s="1"/>
  <c r="AZ34" i="3"/>
  <c r="AZ5" i="22" s="1"/>
  <c r="BD35" i="3"/>
  <c r="BD6" i="22" s="1"/>
  <c r="AU34" i="3"/>
  <c r="AU5" i="22" s="1"/>
  <c r="AZ35" i="3"/>
  <c r="AZ6" i="22" s="1"/>
  <c r="AO34" i="3"/>
  <c r="AO5" i="22" s="1"/>
  <c r="AV35" i="3"/>
  <c r="AV6" i="22" s="1"/>
  <c r="AJ34" i="3"/>
  <c r="AJ5" i="22" s="1"/>
  <c r="DA34" i="3"/>
  <c r="DA5" i="22" s="1"/>
  <c r="BL34" i="3"/>
  <c r="BL5" i="22" s="1"/>
  <c r="IF36" i="3"/>
  <c r="IF7" i="22" s="1"/>
  <c r="JJ34" i="3"/>
  <c r="JJ5" i="22" s="1"/>
  <c r="CS34" i="3"/>
  <c r="CS5" i="22" s="1"/>
  <c r="LK34" i="3"/>
  <c r="LK5" i="22" s="1"/>
  <c r="IH35" i="3"/>
  <c r="IH6" i="22" s="1"/>
  <c r="EG36" i="3"/>
  <c r="EG7" i="22" s="1"/>
  <c r="MC36" i="3"/>
  <c r="MC7" i="22" s="1"/>
  <c r="BP35" i="3"/>
  <c r="BP6" i="22" s="1"/>
  <c r="HC34" i="3"/>
  <c r="HC5" i="22" s="1"/>
  <c r="DA36" i="3"/>
  <c r="DA7" i="22" s="1"/>
  <c r="BM36" i="3"/>
  <c r="BM7" i="22" s="1"/>
  <c r="HU35" i="3"/>
  <c r="HU6" i="22" s="1"/>
  <c r="CR36" i="3"/>
  <c r="CR7" i="22" s="1"/>
  <c r="GB36" i="3"/>
  <c r="GB7" i="22" s="1"/>
  <c r="GG34" i="3"/>
  <c r="GG5" i="22" s="1"/>
  <c r="JM34" i="3"/>
  <c r="JM5" i="22" s="1"/>
  <c r="CW36" i="3"/>
  <c r="CW7" i="22" s="1"/>
  <c r="Q34" i="3"/>
  <c r="Q5" i="22" s="1"/>
  <c r="BN35" i="3"/>
  <c r="BN6" i="22" s="1"/>
  <c r="AA35" i="3"/>
  <c r="AA6" i="22" s="1"/>
  <c r="HN36" i="3"/>
  <c r="HN7" i="22" s="1"/>
  <c r="FH34" i="3"/>
  <c r="FH5" i="22" s="1"/>
  <c r="KY35" i="3"/>
  <c r="KY6" i="22" s="1"/>
  <c r="ET35" i="3"/>
  <c r="ET6" i="22" s="1"/>
  <c r="LB36" i="3"/>
  <c r="LB7" i="22" s="1"/>
  <c r="LB34" i="3"/>
  <c r="LB5" i="22" s="1"/>
  <c r="AF35" i="3"/>
  <c r="AF6" i="22" s="1"/>
  <c r="GG36" i="3"/>
  <c r="GG7" i="22" s="1"/>
  <c r="JM35" i="3"/>
  <c r="JM6" i="22" s="1"/>
  <c r="BQ35" i="3"/>
  <c r="BQ6" i="22" s="1"/>
  <c r="IB35" i="3"/>
  <c r="IB6" i="22" s="1"/>
  <c r="AA36" i="3"/>
  <c r="AA7" i="22" s="1"/>
  <c r="GI35" i="3"/>
  <c r="GI6" i="22" s="1"/>
  <c r="BP36" i="3"/>
  <c r="BP7" i="22" s="1"/>
  <c r="CH36" i="3"/>
  <c r="CH7" i="22" s="1"/>
  <c r="IP35" i="3"/>
  <c r="IP6" i="22" s="1"/>
  <c r="DH36" i="3"/>
  <c r="DH7" i="22" s="1"/>
  <c r="EO36" i="3"/>
  <c r="EO7" i="22" s="1"/>
  <c r="KW35" i="3"/>
  <c r="KW6" i="22" s="1"/>
  <c r="EZ36" i="3"/>
  <c r="EZ7" i="22" s="1"/>
  <c r="GU36" i="3"/>
  <c r="GU7" i="22" s="1"/>
  <c r="FO34" i="3"/>
  <c r="FO5" i="22" s="1"/>
  <c r="NC35" i="3"/>
  <c r="NC6" i="22" s="1"/>
  <c r="GR36" i="3"/>
  <c r="GR7" i="22" s="1"/>
  <c r="HW34" i="3"/>
  <c r="HW5" i="22" s="1"/>
  <c r="KM36" i="3"/>
  <c r="KM7" i="22" s="1"/>
  <c r="KH34" i="3"/>
  <c r="KH5" i="22" s="1"/>
  <c r="DR36" i="3"/>
  <c r="DR7" i="22" s="1"/>
  <c r="BH34" i="3"/>
  <c r="BH5" i="22" s="1"/>
  <c r="V34" i="3"/>
  <c r="V5" i="22" s="1"/>
  <c r="BN34" i="3"/>
  <c r="BN5" i="22" s="1"/>
  <c r="IR34" i="3"/>
  <c r="IR5" i="22" s="1"/>
  <c r="BJ34" i="3"/>
  <c r="BJ5" i="22" s="1"/>
  <c r="KJ34" i="3"/>
  <c r="KJ5" i="22" s="1"/>
  <c r="LX34" i="3"/>
  <c r="LX5" i="22" s="1"/>
  <c r="LT34" i="3"/>
  <c r="LT5" i="22" s="1"/>
  <c r="LP34" i="3"/>
  <c r="LP5" i="22" s="1"/>
  <c r="LL34" i="3"/>
  <c r="LL5" i="22" s="1"/>
  <c r="LH34" i="3"/>
  <c r="LH5" i="22" s="1"/>
  <c r="GA35" i="3"/>
  <c r="GA6" i="22" s="1"/>
  <c r="CH35" i="3"/>
  <c r="CH6" i="22" s="1"/>
  <c r="JF36" i="3"/>
  <c r="JF7" i="22" s="1"/>
  <c r="IP34" i="3"/>
  <c r="IP5" i="22" s="1"/>
  <c r="JH34" i="3"/>
  <c r="JH5" i="22" s="1"/>
  <c r="BI36" i="3"/>
  <c r="BI7" i="22" s="1"/>
  <c r="HA35" i="3"/>
  <c r="HA6" i="22" s="1"/>
  <c r="MT36" i="3"/>
  <c r="MT7" i="22" s="1"/>
  <c r="E35" i="3"/>
  <c r="E6" i="22" s="1"/>
  <c r="EB35" i="3"/>
  <c r="EB6" i="22" s="1"/>
  <c r="JX36" i="3"/>
  <c r="JX7" i="22" s="1"/>
  <c r="LS35" i="3"/>
  <c r="LS6" i="22" s="1"/>
  <c r="DW35" i="3"/>
  <c r="DW6" i="22" s="1"/>
  <c r="MR35" i="3"/>
  <c r="MR6" i="22" s="1"/>
  <c r="V36" i="3"/>
  <c r="V7" i="22" s="1"/>
  <c r="GD35" i="3"/>
  <c r="GD6" i="22" s="1"/>
  <c r="BL36" i="3"/>
  <c r="BL7" i="22" s="1"/>
  <c r="CC36" i="3"/>
  <c r="CC7" i="22" s="1"/>
  <c r="IK35" i="3"/>
  <c r="IK6" i="22" s="1"/>
  <c r="DD36" i="3"/>
  <c r="DD7" i="22" s="1"/>
  <c r="EI36" i="3"/>
  <c r="EI7" i="22" s="1"/>
  <c r="CO34" i="3"/>
  <c r="CO5" i="22" s="1"/>
  <c r="KQ35" i="3"/>
  <c r="KQ6" i="22" s="1"/>
  <c r="EV36" i="3"/>
  <c r="EV7" i="22" s="1"/>
  <c r="CI34" i="3"/>
  <c r="CI5" i="22" s="1"/>
  <c r="IQ36" i="3"/>
  <c r="IQ7" i="22" s="1"/>
  <c r="HV34" i="3"/>
  <c r="HV5" i="22" s="1"/>
  <c r="BF36" i="3"/>
  <c r="BF7" i="22" s="1"/>
  <c r="GZ34" i="3"/>
  <c r="GZ5" i="22" s="1"/>
  <c r="R34" i="3"/>
  <c r="R5" i="22" s="1"/>
  <c r="GV34" i="3"/>
  <c r="GV5" i="22" s="1"/>
  <c r="N34" i="3"/>
  <c r="N5" i="22" s="1"/>
  <c r="IN34" i="3"/>
  <c r="IN5" i="22" s="1"/>
  <c r="BF34" i="3"/>
  <c r="BF5" i="22" s="1"/>
  <c r="KB34" i="3"/>
  <c r="KB5" i="22" s="1"/>
  <c r="JX34" i="3"/>
  <c r="JX5" i="22" s="1"/>
  <c r="CP34" i="3"/>
  <c r="CP5" i="22" s="1"/>
  <c r="JT34" i="3"/>
  <c r="JT5" i="22" s="1"/>
  <c r="CL34" i="3"/>
  <c r="CL5" i="22" s="1"/>
  <c r="JP34" i="3"/>
  <c r="JP5" i="22" s="1"/>
  <c r="CH34" i="3"/>
  <c r="CH5" i="22" s="1"/>
  <c r="JL34" i="3"/>
  <c r="JL5" i="22" s="1"/>
  <c r="CD34" i="3"/>
  <c r="CD5" i="22" s="1"/>
  <c r="EC34" i="3"/>
  <c r="EC5" i="22" s="1"/>
  <c r="LH36" i="3"/>
  <c r="LH7" i="22" s="1"/>
  <c r="MU35" i="3"/>
  <c r="MU6" i="22" s="1"/>
  <c r="KI35" i="3"/>
  <c r="KI6" i="22" s="1"/>
  <c r="CD35" i="3"/>
  <c r="CD6" i="22" s="1"/>
  <c r="KJ36" i="3"/>
  <c r="KJ7" i="22" s="1"/>
  <c r="IY34" i="3"/>
  <c r="IY5" i="22" s="1"/>
  <c r="G35" i="3"/>
  <c r="G6" i="22" s="1"/>
  <c r="JU36" i="3"/>
  <c r="JU7" i="22" s="1"/>
  <c r="AC35" i="3"/>
  <c r="AC6" i="22" s="1"/>
  <c r="KO36" i="3"/>
  <c r="KO7" i="22" s="1"/>
  <c r="GF36" i="3"/>
  <c r="GF7" i="22" s="1"/>
  <c r="CN36" i="3"/>
  <c r="CN7" i="22" s="1"/>
  <c r="IO35" i="3"/>
  <c r="IO6" i="22" s="1"/>
  <c r="DV36" i="3"/>
  <c r="DV7" i="22" s="1"/>
  <c r="HI35" i="3"/>
  <c r="HI6" i="22" s="1"/>
  <c r="IJ36" i="3"/>
  <c r="IJ7" i="22" s="1"/>
  <c r="KS35" i="3"/>
  <c r="KS6" i="22" s="1"/>
  <c r="CW35" i="3"/>
  <c r="CW6" i="22" s="1"/>
  <c r="KV35" i="3"/>
  <c r="KV6" i="22" s="1"/>
  <c r="BB36" i="3"/>
  <c r="BB7" i="22" s="1"/>
  <c r="HJ35" i="3"/>
  <c r="HJ6" i="22" s="1"/>
  <c r="CJ36" i="3"/>
  <c r="CJ7" i="22" s="1"/>
  <c r="FU36" i="3"/>
  <c r="FU7" i="22" s="1"/>
  <c r="EO34" i="3"/>
  <c r="EO5" i="22" s="1"/>
  <c r="MC35" i="3"/>
  <c r="MC6" i="22" s="1"/>
  <c r="FX36" i="3"/>
  <c r="FX7" i="22" s="1"/>
  <c r="JS36" i="3"/>
  <c r="JS7" i="22" s="1"/>
  <c r="JG34" i="3"/>
  <c r="JG5" i="22" s="1"/>
  <c r="CQ36" i="3"/>
  <c r="CQ7" i="22" s="1"/>
  <c r="G34" i="3"/>
  <c r="G5" i="22" s="1"/>
  <c r="BC35" i="3"/>
  <c r="BC6" i="22" s="1"/>
  <c r="V35" i="3"/>
  <c r="V6" i="22" s="1"/>
  <c r="HJ36" i="3"/>
  <c r="HJ7" i="22" s="1"/>
  <c r="GD34" i="3"/>
  <c r="GD5" i="22" s="1"/>
  <c r="ER34" i="3"/>
  <c r="ER5" i="22" s="1"/>
  <c r="KO35" i="3"/>
  <c r="KO6" i="22" s="1"/>
  <c r="EO35" i="3"/>
  <c r="EO6" i="22" s="1"/>
  <c r="KX36" i="3"/>
  <c r="KX7" i="22" s="1"/>
  <c r="KW34" i="3"/>
  <c r="KW5" i="22" s="1"/>
  <c r="T35" i="3"/>
  <c r="T6" i="22" s="1"/>
  <c r="FV36" i="3"/>
  <c r="FV7" i="22" s="1"/>
  <c r="JG35" i="3"/>
  <c r="JG6" i="22" s="1"/>
  <c r="BK35" i="3"/>
  <c r="BK6" i="22" s="1"/>
  <c r="HX35" i="3"/>
  <c r="HX6" i="22" s="1"/>
  <c r="JP36" i="3"/>
  <c r="JP7" i="22" s="1"/>
  <c r="LN35" i="3"/>
  <c r="LN6" i="22" s="1"/>
  <c r="DR35" i="3"/>
  <c r="DR6" i="22" s="1"/>
  <c r="LT35" i="3"/>
  <c r="LT6" i="22" s="1"/>
  <c r="MZ36" i="3"/>
  <c r="MZ7" i="22" s="1"/>
  <c r="Q36" i="3"/>
  <c r="Q7" i="22" s="1"/>
  <c r="FY35" i="3"/>
  <c r="FY6" i="22" s="1"/>
  <c r="BH36" i="3"/>
  <c r="BH7" i="22" s="1"/>
  <c r="BW36" i="3"/>
  <c r="BW7" i="22" s="1"/>
  <c r="IE35" i="3"/>
  <c r="IE6" i="22" s="1"/>
  <c r="CZ36" i="3"/>
  <c r="CZ7" i="22" s="1"/>
  <c r="GP36" i="3"/>
  <c r="GP7" i="22" s="1"/>
  <c r="FJ34" i="3"/>
  <c r="FJ5" i="22" s="1"/>
  <c r="MX35" i="3"/>
  <c r="MX6" i="22" s="1"/>
  <c r="GN36" i="3"/>
  <c r="GN7" i="22" s="1"/>
  <c r="FD34" i="3"/>
  <c r="FD5" i="22" s="1"/>
  <c r="MZ35" i="3"/>
  <c r="MZ6" i="22" s="1"/>
  <c r="EZ34" i="3"/>
  <c r="EZ5" i="22" s="1"/>
  <c r="AN36" i="3"/>
  <c r="AN7" i="22" s="1"/>
  <c r="GR34" i="3"/>
  <c r="GR5" i="22" s="1"/>
  <c r="J34" i="3"/>
  <c r="J5" i="22" s="1"/>
  <c r="F34" i="3"/>
  <c r="F5" i="22" s="1"/>
  <c r="IF34" i="3"/>
  <c r="IF5" i="22" s="1"/>
  <c r="AX34" i="3"/>
  <c r="AX5" i="22" s="1"/>
  <c r="IB34" i="3"/>
  <c r="IB5" i="22" s="1"/>
  <c r="AT34" i="3"/>
  <c r="AT5" i="22" s="1"/>
  <c r="HX34" i="3"/>
  <c r="HX5" i="22" s="1"/>
  <c r="AP34" i="3"/>
  <c r="AP5" i="22" s="1"/>
  <c r="HT34" i="3"/>
  <c r="HT5" i="22" s="1"/>
  <c r="AL34" i="3"/>
  <c r="AL5" i="22" s="1"/>
  <c r="HP34" i="3"/>
  <c r="HP5" i="22" s="1"/>
  <c r="AH34" i="3"/>
  <c r="AH5" i="22" s="1"/>
  <c r="KR36" i="3"/>
  <c r="KR7" i="22" s="1"/>
  <c r="AS36" i="3"/>
  <c r="AS7" i="22" s="1"/>
  <c r="JS34" i="3"/>
  <c r="JS5" i="22" s="1"/>
  <c r="LE36" i="3"/>
  <c r="LE7" i="22" s="1"/>
  <c r="KZ36" i="3"/>
  <c r="KZ7" i="22" s="1"/>
  <c r="LY36" i="3"/>
  <c r="LY7" i="22" s="1"/>
  <c r="MK35" i="3"/>
  <c r="MK6" i="22" s="1"/>
  <c r="BX34" i="3"/>
  <c r="BX5" i="22" s="1"/>
  <c r="JD36" i="3"/>
  <c r="JD7" i="22" s="1"/>
  <c r="HN35" i="3"/>
  <c r="HN6" i="22" s="1"/>
  <c r="HC36" i="3"/>
  <c r="HC7" i="22" s="1"/>
  <c r="GS36" i="3"/>
  <c r="GS7" i="22" s="1"/>
  <c r="AR34" i="3"/>
  <c r="AR5" i="22" s="1"/>
  <c r="KG36" i="3"/>
  <c r="KG7" i="22" s="1"/>
  <c r="JO34" i="3"/>
  <c r="JO5" i="22" s="1"/>
  <c r="JQ36" i="3"/>
  <c r="JQ7" i="22" s="1"/>
  <c r="II34" i="3"/>
  <c r="II5" i="22" s="1"/>
  <c r="DQ35" i="3"/>
  <c r="DQ6" i="22" s="1"/>
  <c r="IA35" i="3"/>
  <c r="IA6" i="22" s="1"/>
  <c r="JK34" i="3"/>
  <c r="JK5" i="22" s="1"/>
  <c r="CK35" i="3"/>
  <c r="CK6" i="22" s="1"/>
  <c r="AQ35" i="3"/>
  <c r="AQ6" i="22" s="1"/>
  <c r="DU36" i="3"/>
  <c r="DU7" i="22" s="1"/>
  <c r="IG35" i="3"/>
  <c r="IG6" i="22" s="1"/>
  <c r="AK35" i="3"/>
  <c r="AK6" i="22" s="1"/>
  <c r="GB35" i="3"/>
  <c r="GB6" i="22" s="1"/>
  <c r="LL36" i="3"/>
  <c r="LL7" i="22" s="1"/>
  <c r="MT35" i="3"/>
  <c r="MT6" i="22" s="1"/>
  <c r="AJ36" i="3"/>
  <c r="AJ7" i="22" s="1"/>
  <c r="DI36" i="3"/>
  <c r="DI7" i="22" s="1"/>
  <c r="AN34" i="3"/>
  <c r="AN5" i="22" s="1"/>
  <c r="JQ35" i="3"/>
  <c r="JQ6" i="22" s="1"/>
  <c r="EB36" i="3"/>
  <c r="EB7" i="22" s="1"/>
  <c r="HW36" i="3"/>
  <c r="HW7" i="22" s="1"/>
  <c r="GU34" i="3"/>
  <c r="GU5" i="22" s="1"/>
  <c r="AE36" i="3"/>
  <c r="AE7" i="22" s="1"/>
  <c r="KI34" i="3"/>
  <c r="KI5" i="22" s="1"/>
  <c r="LK36" i="3"/>
  <c r="LK7" i="22" s="1"/>
  <c r="LN34" i="3"/>
  <c r="LN5" i="22" s="1"/>
  <c r="EX36" i="3"/>
  <c r="EX7" i="22" s="1"/>
  <c r="DM34" i="3"/>
  <c r="DM5" i="22" s="1"/>
  <c r="FQ35" i="3"/>
  <c r="FQ6" i="22" s="1"/>
  <c r="CC35" i="3"/>
  <c r="CC6" i="22" s="1"/>
  <c r="JB36" i="3"/>
  <c r="JB7" i="22" s="1"/>
  <c r="IK34" i="3"/>
  <c r="IK5" i="22" s="1"/>
  <c r="JD34" i="3"/>
  <c r="JD5" i="22" s="1"/>
  <c r="AX36" i="3"/>
  <c r="AX7" i="22" s="1"/>
  <c r="GU35" i="3"/>
  <c r="GU6" i="22" s="1"/>
  <c r="MP36" i="3"/>
  <c r="MP7" i="22" s="1"/>
  <c r="NC34" i="3"/>
  <c r="NC5" i="22" s="1"/>
  <c r="DX35" i="3"/>
  <c r="DX6" i="22" s="1"/>
  <c r="FK36" i="3"/>
  <c r="FK7" i="22" s="1"/>
  <c r="JB35" i="3"/>
  <c r="JB6" i="22" s="1"/>
  <c r="BF35" i="3"/>
  <c r="BF6" i="22" s="1"/>
  <c r="HT35" i="3"/>
  <c r="HT6" i="22" s="1"/>
  <c r="JH36" i="3"/>
  <c r="JH7" i="22" s="1"/>
  <c r="LI35" i="3"/>
  <c r="LI6" i="22" s="1"/>
  <c r="DM35" i="3"/>
  <c r="DM6" i="22" s="1"/>
  <c r="LP35" i="3"/>
  <c r="LP6" i="22" s="1"/>
  <c r="MR36" i="3"/>
  <c r="MR7" i="22" s="1"/>
  <c r="K36" i="3"/>
  <c r="K7" i="22" s="1"/>
  <c r="FS35" i="3"/>
  <c r="FS6" i="22" s="1"/>
  <c r="BD36" i="3"/>
  <c r="BD7" i="22" s="1"/>
  <c r="ED36" i="3"/>
  <c r="ED7" i="22" s="1"/>
  <c r="CE34" i="3"/>
  <c r="CE5" i="22" s="1"/>
  <c r="KL35" i="3"/>
  <c r="KL6" i="22" s="1"/>
  <c r="ER36" i="3"/>
  <c r="ER7" i="22" s="1"/>
  <c r="DH34" i="3"/>
  <c r="DH5" i="22" s="1"/>
  <c r="LD35" i="3"/>
  <c r="LD6" i="22" s="1"/>
  <c r="DD34" i="3"/>
  <c r="DD5" i="22" s="1"/>
  <c r="MV35" i="3"/>
  <c r="MV6" i="22" s="1"/>
  <c r="EV34" i="3"/>
  <c r="EV5" i="22" s="1"/>
  <c r="AF36" i="3"/>
  <c r="AF7" i="22" s="1"/>
  <c r="GJ34" i="3"/>
  <c r="GJ5" i="22" s="1"/>
  <c r="B34" i="3"/>
  <c r="B5" i="22" s="1"/>
  <c r="AB36" i="3"/>
  <c r="AB7" i="22" s="1"/>
  <c r="GF34" i="3"/>
  <c r="GF5" i="22" s="1"/>
  <c r="X36" i="3"/>
  <c r="X7" i="22" s="1"/>
  <c r="GB34" i="3"/>
  <c r="GB5" i="22" s="1"/>
  <c r="T36" i="3"/>
  <c r="T7" i="22" s="1"/>
  <c r="FX34" i="3"/>
  <c r="FX5" i="22" s="1"/>
  <c r="P36" i="3"/>
  <c r="P7" i="22" s="1"/>
  <c r="FT34" i="3"/>
  <c r="FT5" i="22" s="1"/>
  <c r="KO34" i="3"/>
  <c r="KO5" i="22" s="1"/>
  <c r="FA35" i="3"/>
  <c r="FA6" i="22" s="1"/>
  <c r="EU34" i="3"/>
  <c r="EU5" i="22" s="1"/>
  <c r="DQ36" i="3"/>
  <c r="DQ7" i="22" s="1"/>
  <c r="BI35" i="3"/>
  <c r="BI6" i="22" s="1"/>
  <c r="DI34" i="3"/>
  <c r="DI5" i="22" s="1"/>
  <c r="MQ34" i="3"/>
  <c r="MQ5" i="22" s="1"/>
  <c r="DV35" i="3"/>
  <c r="DV6" i="22" s="1"/>
  <c r="LX36" i="3"/>
  <c r="LX7" i="22" s="1"/>
  <c r="CE36" i="3"/>
  <c r="CE7" i="22" s="1"/>
  <c r="BU36" i="3"/>
  <c r="BU7" i="22" s="1"/>
  <c r="EQ34" i="3"/>
  <c r="EQ5" i="22" s="1"/>
  <c r="FM36" i="3"/>
  <c r="FM7" i="22" s="1"/>
  <c r="MW34" i="3"/>
  <c r="MW5" i="22" s="1"/>
  <c r="LQ34" i="3"/>
  <c r="LQ5" i="22" s="1"/>
  <c r="NA35" i="3"/>
  <c r="NA6" i="22" s="1"/>
  <c r="FU35" i="3"/>
  <c r="FU6" i="22" s="1"/>
  <c r="LV36" i="3"/>
  <c r="LV7" i="22" s="1"/>
  <c r="MC34" i="3"/>
  <c r="MC5" i="22" s="1"/>
  <c r="CB35" i="3"/>
  <c r="CB6" i="22" s="1"/>
  <c r="Y34" i="3"/>
  <c r="Y5" i="22" s="1"/>
  <c r="HT36" i="3"/>
  <c r="HT7" i="22" s="1"/>
  <c r="KH35" i="3"/>
  <c r="KH6" i="22" s="1"/>
  <c r="CL35" i="3"/>
  <c r="CL6" i="22" s="1"/>
  <c r="JT35" i="3"/>
  <c r="JT6" i="22" s="1"/>
  <c r="AW36" i="3"/>
  <c r="AW7" i="22" s="1"/>
  <c r="HE35" i="3"/>
  <c r="HE6" i="22" s="1"/>
  <c r="CF36" i="3"/>
  <c r="CF7" i="22" s="1"/>
  <c r="FO36" i="3"/>
  <c r="FO7" i="22" s="1"/>
  <c r="EI34" i="3"/>
  <c r="EI5" i="22" s="1"/>
  <c r="LW35" i="3"/>
  <c r="LW6" i="22" s="1"/>
  <c r="FT36" i="3"/>
  <c r="FT7" i="22" s="1"/>
  <c r="FK34" i="3"/>
  <c r="FK5" i="22" s="1"/>
  <c r="JO36" i="3"/>
  <c r="JO7" i="22" s="1"/>
  <c r="JB34" i="3"/>
  <c r="JB5" i="22" s="1"/>
  <c r="CL36" i="3"/>
  <c r="CL7" i="22" s="1"/>
  <c r="BZ34" i="3"/>
  <c r="BZ5" i="22" s="1"/>
  <c r="AS35" i="3"/>
  <c r="AS6" i="22" s="1"/>
  <c r="NC36" i="3"/>
  <c r="NC7" i="22" s="1"/>
  <c r="Q35" i="3"/>
  <c r="Q6" i="22" s="1"/>
  <c r="HE36" i="3"/>
  <c r="HE7" i="22" s="1"/>
  <c r="FY34" i="3"/>
  <c r="FY5" i="22" s="1"/>
  <c r="DT34" i="3"/>
  <c r="DT5" i="22" s="1"/>
  <c r="KD35" i="3"/>
  <c r="KD6" i="22" s="1"/>
  <c r="EI35" i="3"/>
  <c r="EI6" i="22" s="1"/>
  <c r="KT36" i="3"/>
  <c r="KT7" i="22" s="1"/>
  <c r="KQ34" i="3"/>
  <c r="KQ5" i="22" s="1"/>
  <c r="MZ34" i="3"/>
  <c r="MZ5" i="22" s="1"/>
  <c r="AM36" i="3"/>
  <c r="AM7" i="22" s="1"/>
  <c r="GP35" i="3"/>
  <c r="GP6" i="22" s="1"/>
  <c r="ML36" i="3"/>
  <c r="ML7" i="22" s="1"/>
  <c r="MX34" i="3"/>
  <c r="MX5" i="22" s="1"/>
  <c r="DL35" i="3"/>
  <c r="DL6" i="22" s="1"/>
  <c r="CQ34" i="3"/>
  <c r="CQ5" i="22" s="1"/>
  <c r="FA36" i="3"/>
  <c r="FA7" i="22" s="1"/>
  <c r="IW35" i="3"/>
  <c r="IW6" i="22" s="1"/>
  <c r="BA35" i="3"/>
  <c r="BA6" i="22" s="1"/>
  <c r="HP35" i="3"/>
  <c r="HP6" i="22" s="1"/>
  <c r="IZ36" i="3"/>
  <c r="IZ7" i="22" s="1"/>
  <c r="LC35" i="3"/>
  <c r="LC6" i="22" s="1"/>
  <c r="DG35" i="3"/>
  <c r="DG6" i="22" s="1"/>
  <c r="LL35" i="3"/>
  <c r="LL6" i="22" s="1"/>
  <c r="BR36" i="3"/>
  <c r="BR7" i="22" s="1"/>
  <c r="HZ35" i="3"/>
  <c r="HZ6" i="22" s="1"/>
  <c r="CV36" i="3"/>
  <c r="CV7" i="22" s="1"/>
  <c r="BA34" i="3"/>
  <c r="BA5" i="22" s="1"/>
  <c r="JH35" i="3"/>
  <c r="JH6" i="22" s="1"/>
  <c r="AV34" i="3"/>
  <c r="AV5" i="22" s="1"/>
  <c r="KZ35" i="3"/>
  <c r="KZ6" i="22" s="1"/>
  <c r="CZ34" i="3"/>
  <c r="CZ5" i="22" s="1"/>
  <c r="MN35" i="3"/>
  <c r="MN6" i="22" s="1"/>
  <c r="EN34" i="3"/>
  <c r="EN5" i="22" s="1"/>
  <c r="MJ35" i="3"/>
  <c r="MJ6" i="22" s="1"/>
  <c r="EJ34" i="3"/>
  <c r="EJ5" i="22" s="1"/>
  <c r="MF35" i="3"/>
  <c r="MF6" i="22" s="1"/>
  <c r="EF34" i="3"/>
  <c r="EF5" i="22" s="1"/>
  <c r="MB35" i="3"/>
  <c r="MB6" i="22" s="1"/>
  <c r="EB34" i="3"/>
  <c r="EB5" i="22" s="1"/>
  <c r="LX35" i="3"/>
  <c r="LX6" i="22" s="1"/>
  <c r="DX34" i="3"/>
  <c r="DX5" i="22" s="1"/>
  <c r="LE34" i="3"/>
  <c r="LE5" i="22" s="1"/>
  <c r="MP35" i="3"/>
  <c r="MP6" i="22" s="1"/>
  <c r="JC35" i="3"/>
  <c r="JC6" i="22" s="1"/>
  <c r="GW34" i="3"/>
  <c r="GW5" i="22" s="1"/>
  <c r="HM35" i="3"/>
  <c r="HM6" i="22" s="1"/>
  <c r="FV35" i="3"/>
  <c r="FV6" i="22" s="1"/>
  <c r="Y36" i="3"/>
  <c r="Y7" i="22" s="1"/>
  <c r="AO35" i="3"/>
  <c r="AO6" i="22" s="1"/>
  <c r="HY35" i="3"/>
  <c r="HY6" i="22" s="1"/>
  <c r="JT36" i="3"/>
  <c r="JT7" i="22" s="1"/>
  <c r="LI36" i="3"/>
  <c r="LI7" i="22" s="1"/>
  <c r="I35" i="3"/>
  <c r="I6" i="22" s="1"/>
  <c r="MG36" i="3"/>
  <c r="MG7" i="22" s="1"/>
  <c r="EW36" i="3"/>
  <c r="EW7" i="22" s="1"/>
  <c r="HS34" i="3"/>
  <c r="HS5" i="22" s="1"/>
  <c r="LA35" i="3"/>
  <c r="LA6" i="22" s="1"/>
  <c r="AO36" i="3"/>
  <c r="AO7" i="22" s="1"/>
  <c r="NA36" i="3"/>
  <c r="NA7" i="22" s="1"/>
  <c r="AR36" i="3"/>
  <c r="AR7" i="22" s="1"/>
  <c r="HY34" i="3"/>
  <c r="HY5" i="22" s="1"/>
  <c r="DF35" i="3"/>
  <c r="DF6" i="22" s="1"/>
  <c r="FO35" i="3"/>
  <c r="FO6" i="22" s="1"/>
  <c r="LU36" i="3"/>
  <c r="LU7" i="22" s="1"/>
  <c r="KZ34" i="3"/>
  <c r="KZ5" i="22" s="1"/>
  <c r="GS34" i="3"/>
  <c r="GS5" i="22" s="1"/>
  <c r="IC35" i="3"/>
  <c r="IC6" i="22" s="1"/>
  <c r="DI35" i="3"/>
  <c r="DI6" i="22" s="1"/>
  <c r="JZ36" i="3"/>
  <c r="JZ7" i="22" s="1"/>
  <c r="JQ34" i="3"/>
  <c r="JQ5" i="22" s="1"/>
  <c r="LD34" i="3"/>
  <c r="LD5" i="22" s="1"/>
  <c r="CY36" i="3"/>
  <c r="CY7" i="22" s="1"/>
  <c r="HV35" i="3"/>
  <c r="HV6" i="22" s="1"/>
  <c r="Z35" i="3"/>
  <c r="Z6" i="22" s="1"/>
  <c r="FT35" i="3"/>
  <c r="FT6" i="22" s="1"/>
  <c r="LD36" i="3"/>
  <c r="LD7" i="22" s="1"/>
  <c r="MO35" i="3"/>
  <c r="MO6" i="22" s="1"/>
  <c r="ES35" i="3"/>
  <c r="ES6" i="22" s="1"/>
  <c r="L36" i="3"/>
  <c r="L7" i="22" s="1"/>
  <c r="DC36" i="3"/>
  <c r="DC7" i="22" s="1"/>
  <c r="AC34" i="3"/>
  <c r="AC5" i="22" s="1"/>
  <c r="JK35" i="3"/>
  <c r="JK6" i="22" s="1"/>
  <c r="DX36" i="3"/>
  <c r="DX7" i="22" s="1"/>
  <c r="HS36" i="3"/>
  <c r="HS7" i="22" s="1"/>
  <c r="Z36" i="3"/>
  <c r="Z7" i="22" s="1"/>
  <c r="JY34" i="3"/>
  <c r="JY5" i="22" s="1"/>
  <c r="LG36" i="3"/>
  <c r="LG7" i="22" s="1"/>
  <c r="LI34" i="3"/>
  <c r="LI5" i="22" s="1"/>
  <c r="ES36" i="3"/>
  <c r="ES7" i="22" s="1"/>
  <c r="DE34" i="3"/>
  <c r="DE5" i="22" s="1"/>
  <c r="FF35" i="3"/>
  <c r="FF6" i="22" s="1"/>
  <c r="BW35" i="3"/>
  <c r="BW6" i="22" s="1"/>
  <c r="IX36" i="3"/>
  <c r="IX7" i="22" s="1"/>
  <c r="IE34" i="3"/>
  <c r="IE5" i="22" s="1"/>
  <c r="IZ34" i="3"/>
  <c r="IZ5" i="22" s="1"/>
  <c r="JS35" i="3"/>
  <c r="JS6" i="22" s="1"/>
  <c r="ED35" i="3"/>
  <c r="ED6" i="22" s="1"/>
  <c r="KP36" i="3"/>
  <c r="KP7" i="22" s="1"/>
  <c r="KL34" i="3"/>
  <c r="KL5" i="22" s="1"/>
  <c r="MV34" i="3"/>
  <c r="MV5" i="22" s="1"/>
  <c r="AC36" i="3"/>
  <c r="AC7" i="22" s="1"/>
  <c r="GK35" i="3"/>
  <c r="GK6" i="22" s="1"/>
  <c r="MH36" i="3"/>
  <c r="MH7" i="22" s="1"/>
  <c r="MS34" i="3"/>
  <c r="MS5" i="22" s="1"/>
  <c r="CN35" i="3"/>
  <c r="CN6" i="22" s="1"/>
  <c r="CK34" i="3"/>
  <c r="CK5" i="22" s="1"/>
  <c r="EP36" i="3"/>
  <c r="EP7" i="22" s="1"/>
  <c r="IQ35" i="3"/>
  <c r="IQ6" i="22" s="1"/>
  <c r="AU35" i="3"/>
  <c r="AU6" i="22" s="1"/>
  <c r="HD35" i="3"/>
  <c r="HD6" i="22" s="1"/>
  <c r="MJ36" i="3"/>
  <c r="MJ7" i="22" s="1"/>
  <c r="F36" i="3"/>
  <c r="F7" i="22" s="1"/>
  <c r="FN35" i="3"/>
  <c r="FN6" i="22" s="1"/>
  <c r="AZ36" i="3"/>
  <c r="AZ7" i="22" s="1"/>
  <c r="BV34" i="3"/>
  <c r="BV5" i="22" s="1"/>
  <c r="HL35" i="3"/>
  <c r="HL6" i="22" s="1"/>
  <c r="JD35" i="3"/>
  <c r="JD6" i="22" s="1"/>
  <c r="AQ34" i="3"/>
  <c r="AQ5" i="22" s="1"/>
  <c r="KR35" i="3"/>
  <c r="KR6" i="22" s="1"/>
  <c r="CR34" i="3"/>
  <c r="CR5" i="22" s="1"/>
  <c r="KN35" i="3"/>
  <c r="KN6" i="22" s="1"/>
  <c r="CM34" i="3"/>
  <c r="CM5" i="22" s="1"/>
  <c r="KJ35" i="3"/>
  <c r="KJ6" i="22" s="1"/>
  <c r="CG34" i="3"/>
  <c r="CG5" i="22" s="1"/>
  <c r="KF35" i="3"/>
  <c r="KF6" i="22" s="1"/>
  <c r="CB34" i="3"/>
  <c r="CB5" i="22" s="1"/>
  <c r="KB35" i="3"/>
  <c r="KB6" i="22" s="1"/>
  <c r="BW34" i="3"/>
  <c r="BW5" i="22" s="1"/>
  <c r="HP36" i="3"/>
  <c r="HP7" i="22" s="1"/>
  <c r="CU36" i="3"/>
  <c r="CU7" i="22" s="1"/>
  <c r="DF36" i="3"/>
  <c r="DF7" i="22" s="1"/>
  <c r="BE36" i="3"/>
  <c r="BE7" i="22" s="1"/>
  <c r="HW35" i="3"/>
  <c r="HW6" i="22" s="1"/>
  <c r="GM35" i="3"/>
  <c r="GM6" i="22" s="1"/>
  <c r="GC35" i="3"/>
  <c r="GC6" i="22" s="1"/>
  <c r="KA35" i="3"/>
  <c r="KA6" i="22" s="1"/>
  <c r="JU35" i="3"/>
  <c r="JU6" i="22" s="1"/>
  <c r="JI36" i="3"/>
  <c r="JI7" i="22" s="1"/>
  <c r="LT36" i="3"/>
  <c r="LT7" i="22" s="1"/>
  <c r="CQ35" i="3"/>
  <c r="CQ6" i="22" s="1"/>
  <c r="CJ34" i="3"/>
  <c r="CJ5" i="22" s="1"/>
  <c r="ML34" i="3"/>
  <c r="ML5" i="22" s="1"/>
  <c r="IC36" i="3"/>
  <c r="IC7" i="22" s="1"/>
  <c r="HR35" i="3"/>
  <c r="HR6" i="22" s="1"/>
  <c r="X34" i="3"/>
  <c r="X5" i="22" s="1"/>
  <c r="DE35" i="3"/>
  <c r="DE6" i="22" s="1"/>
  <c r="AW35" i="3"/>
  <c r="AW6" i="22" s="1"/>
  <c r="ID36" i="3"/>
  <c r="ID7" i="22" s="1"/>
  <c r="HE34" i="3"/>
  <c r="HE5" i="22" s="1"/>
  <c r="HD34" i="3"/>
  <c r="HD5" i="22" s="1"/>
  <c r="ME35" i="3"/>
  <c r="ME6" i="22" s="1"/>
  <c r="FJ35" i="3"/>
  <c r="FJ6" i="22" s="1"/>
  <c r="LN36" i="3"/>
  <c r="LN7" i="22" s="1"/>
  <c r="LR34" i="3"/>
  <c r="LR5" i="22" s="1"/>
  <c r="AR35" i="3"/>
  <c r="AR6" i="22" s="1"/>
  <c r="HL36" i="3"/>
  <c r="HL7" i="22" s="1"/>
  <c r="KC35" i="3"/>
  <c r="KC6" i="22" s="1"/>
  <c r="CG35" i="3"/>
  <c r="CG6" i="22" s="1"/>
  <c r="JP35" i="3"/>
  <c r="JP6" i="22" s="1"/>
  <c r="AQ36" i="3"/>
  <c r="AQ7" i="22" s="1"/>
  <c r="GY35" i="3"/>
  <c r="GY6" i="22" s="1"/>
  <c r="CB36" i="3"/>
  <c r="CB7" i="22" s="1"/>
  <c r="FJ36" i="3"/>
  <c r="FJ7" i="22" s="1"/>
  <c r="ED34" i="3"/>
  <c r="ED5" i="22" s="1"/>
  <c r="LR35" i="3"/>
  <c r="LR6" i="22" s="1"/>
  <c r="FP36" i="3"/>
  <c r="FP7" i="22" s="1"/>
  <c r="FA34" i="3"/>
  <c r="FA5" i="22" s="1"/>
  <c r="JK36" i="3"/>
  <c r="JK7" i="22" s="1"/>
  <c r="IW34" i="3"/>
  <c r="IW5" i="22" s="1"/>
  <c r="CG36" i="3"/>
  <c r="CG7" i="22" s="1"/>
  <c r="AD34" i="3"/>
  <c r="AD5" i="22" s="1"/>
  <c r="AH35" i="3"/>
  <c r="AH6" i="22" s="1"/>
  <c r="MY36" i="3"/>
  <c r="MY7" i="22" s="1"/>
  <c r="K35" i="3"/>
  <c r="K6" i="22" s="1"/>
  <c r="GY36" i="3"/>
  <c r="GY7" i="22" s="1"/>
  <c r="FS34" i="3"/>
  <c r="FS5" i="22" s="1"/>
  <c r="DP34" i="3"/>
  <c r="DP5" i="22" s="1"/>
  <c r="EU35" i="3"/>
  <c r="EU6" i="22" s="1"/>
  <c r="BR35" i="3"/>
  <c r="BR6" i="22" s="1"/>
  <c r="IT36" i="3"/>
  <c r="IT7" i="22" s="1"/>
  <c r="HZ34" i="3"/>
  <c r="HZ5" i="22" s="1"/>
  <c r="IV34" i="3"/>
  <c r="IV5" i="22" s="1"/>
  <c r="JI35" i="3"/>
  <c r="JI6" i="22" s="1"/>
  <c r="DY35" i="3"/>
  <c r="DY6" i="22" s="1"/>
  <c r="KL36" i="3"/>
  <c r="KL7" i="22" s="1"/>
  <c r="KG34" i="3"/>
  <c r="KG5" i="22" s="1"/>
  <c r="MR34" i="3"/>
  <c r="MR5" i="22" s="1"/>
  <c r="R36" i="3"/>
  <c r="R7" i="22" s="1"/>
  <c r="GE35" i="3"/>
  <c r="GE6" i="22" s="1"/>
  <c r="MD36" i="3"/>
  <c r="MD7" i="22" s="1"/>
  <c r="MM34" i="3"/>
  <c r="MM5" i="22" s="1"/>
  <c r="CJ35" i="3"/>
  <c r="CJ6" i="22" s="1"/>
  <c r="CF34" i="3"/>
  <c r="CF5" i="22" s="1"/>
  <c r="IR36" i="3"/>
  <c r="IR7" i="22" s="1"/>
  <c r="KX35" i="3"/>
  <c r="KX6" i="22" s="1"/>
  <c r="DB35" i="3"/>
  <c r="DB6" i="22" s="1"/>
  <c r="LH35" i="3"/>
  <c r="LH6" i="22" s="1"/>
  <c r="Z34" i="3"/>
  <c r="Z5" i="22" s="1"/>
  <c r="FP35" i="3"/>
  <c r="FP6" i="22" s="1"/>
  <c r="HH35" i="3"/>
  <c r="HH6" i="22" s="1"/>
  <c r="IV35" i="3"/>
  <c r="IV6" i="22" s="1"/>
  <c r="AF34" i="3"/>
  <c r="AF5" i="22" s="1"/>
  <c r="IR35" i="3"/>
  <c r="IR6" i="22" s="1"/>
  <c r="AA34" i="3"/>
  <c r="AA5" i="22" s="1"/>
  <c r="IN35" i="3"/>
  <c r="IN6" i="22" s="1"/>
  <c r="U34" i="3"/>
  <c r="U5" i="22" s="1"/>
  <c r="IJ35" i="3"/>
  <c r="IJ6" i="22" s="1"/>
  <c r="P34" i="3"/>
  <c r="P5" i="22" s="1"/>
  <c r="IF35" i="3"/>
  <c r="IF6" i="22" s="1"/>
  <c r="K34" i="3"/>
  <c r="K5" i="22" s="1"/>
  <c r="LA34" i="3"/>
  <c r="LA5" i="22" s="1"/>
  <c r="LZ35" i="3"/>
  <c r="LZ6" i="22" s="1"/>
  <c r="FM35" i="3"/>
  <c r="FM6" i="22" s="1"/>
  <c r="FQ36" i="3"/>
  <c r="FQ7" i="22" s="1"/>
  <c r="BE35" i="3"/>
  <c r="BE6" i="22" s="1"/>
  <c r="HK34" i="3"/>
  <c r="HK5" i="22" s="1"/>
  <c r="FR35" i="3"/>
  <c r="FR6" i="22" s="1"/>
  <c r="EW35" i="3"/>
  <c r="EW6" i="22" s="1"/>
  <c r="BG36" i="3"/>
  <c r="BG7" i="22" s="1"/>
  <c r="FB36" i="3"/>
  <c r="FB7" i="22" s="1"/>
  <c r="DK36" i="3"/>
  <c r="DK7" i="22" s="1"/>
  <c r="HZ36" i="3"/>
  <c r="HZ7" i="22" s="1"/>
  <c r="MK34" i="3"/>
  <c r="MK5" i="22" s="1"/>
  <c r="ME36" i="3"/>
  <c r="ME7" i="22" s="1"/>
  <c r="MO34" i="3"/>
  <c r="MO5" i="22" s="1"/>
  <c r="FY36" i="3"/>
  <c r="FY7" i="22" s="1"/>
  <c r="ES34" i="3"/>
  <c r="ES5" i="22" s="1"/>
  <c r="BG34" i="3"/>
  <c r="BG5" i="22" s="1"/>
  <c r="HG35" i="3"/>
  <c r="HG6" i="22" s="1"/>
  <c r="CX35" i="3"/>
  <c r="CX6" i="22" s="1"/>
  <c r="JR36" i="3"/>
  <c r="JR7" i="22" s="1"/>
  <c r="JF34" i="3"/>
  <c r="JF5" i="22" s="1"/>
  <c r="KV34" i="3"/>
  <c r="KV5" i="22" s="1"/>
  <c r="CO36" i="3"/>
  <c r="CO7" i="22" s="1"/>
  <c r="HQ35" i="3"/>
  <c r="HQ6" i="22" s="1"/>
  <c r="U35" i="3"/>
  <c r="U6" i="22" s="1"/>
  <c r="FH35" i="3"/>
  <c r="FH6" i="22" s="1"/>
  <c r="KV36" i="3"/>
  <c r="KV7" i="22" s="1"/>
  <c r="MI35" i="3"/>
  <c r="MI6" i="22" s="1"/>
  <c r="EM35" i="3"/>
  <c r="EM6" i="22" s="1"/>
  <c r="H36" i="3"/>
  <c r="H7" i="22" s="1"/>
  <c r="CX36" i="3"/>
  <c r="CX7" i="22" s="1"/>
  <c r="S34" i="3"/>
  <c r="S5" i="22" s="1"/>
  <c r="JF35" i="3"/>
  <c r="JF6" i="22" s="1"/>
  <c r="DT36" i="3"/>
  <c r="DT7" i="22" s="1"/>
  <c r="HO36" i="3"/>
  <c r="HO7" i="22" s="1"/>
  <c r="GK34" i="3"/>
  <c r="GK5" i="22" s="1"/>
  <c r="U36" i="3"/>
  <c r="U7" i="22" s="1"/>
  <c r="HH36" i="3"/>
  <c r="HH7" i="22" s="1"/>
  <c r="JN34" i="3"/>
  <c r="JN5" i="22" s="1"/>
  <c r="LC36" i="3"/>
  <c r="LC7" i="22" s="1"/>
  <c r="LC34" i="3"/>
  <c r="LC5" i="22" s="1"/>
  <c r="EM36" i="3"/>
  <c r="EM7" i="22" s="1"/>
  <c r="CW34" i="3"/>
  <c r="CW5" i="22" s="1"/>
  <c r="W35" i="3"/>
  <c r="W6" i="22" s="1"/>
  <c r="MU36" i="3"/>
  <c r="MU7" i="22" s="1"/>
  <c r="F35" i="3"/>
  <c r="F6" i="22" s="1"/>
  <c r="GT36" i="3"/>
  <c r="GT7" i="22" s="1"/>
  <c r="FN34" i="3"/>
  <c r="FN5" i="22" s="1"/>
  <c r="DL34" i="3"/>
  <c r="DL5" i="22" s="1"/>
  <c r="EK35" i="3"/>
  <c r="EK6" i="22" s="1"/>
  <c r="BM35" i="3"/>
  <c r="BM6" i="22" s="1"/>
  <c r="IP36" i="3"/>
  <c r="IP7" i="22" s="1"/>
  <c r="HU34" i="3"/>
  <c r="HU5" i="22" s="1"/>
  <c r="IJ34" i="3"/>
  <c r="IJ5" i="22" s="1"/>
  <c r="IX35" i="3"/>
  <c r="IX6" i="22" s="1"/>
  <c r="DS35" i="3"/>
  <c r="DS6" i="22" s="1"/>
  <c r="KH36" i="3"/>
  <c r="KH7" i="22" s="1"/>
  <c r="KA34" i="3"/>
  <c r="KA5" i="22" s="1"/>
  <c r="MN34" i="3"/>
  <c r="MN5" i="22" s="1"/>
  <c r="EE36" i="3"/>
  <c r="EE7" i="22" s="1"/>
  <c r="IL35" i="3"/>
  <c r="IL6" i="22" s="1"/>
  <c r="AP35" i="3"/>
  <c r="AP6" i="22" s="1"/>
  <c r="GF35" i="3"/>
  <c r="GF6" i="22" s="1"/>
  <c r="EA34" i="3"/>
  <c r="EA5" i="22" s="1"/>
  <c r="DT35" i="3"/>
  <c r="DT6" i="22" s="1"/>
  <c r="DW34" i="3"/>
  <c r="DW5" i="22" s="1"/>
  <c r="FL35" i="3"/>
  <c r="FL6" i="22" s="1"/>
  <c r="GZ35" i="3"/>
  <c r="GZ6" i="22" s="1"/>
  <c r="GV35" i="3"/>
  <c r="GV6" i="22" s="1"/>
  <c r="GR35" i="3"/>
  <c r="GR6" i="22" s="1"/>
  <c r="GN35" i="3"/>
  <c r="GN6" i="22" s="1"/>
  <c r="GJ35" i="3"/>
  <c r="GJ6" i="22" s="1"/>
  <c r="BT34" i="3"/>
  <c r="BT5" i="22" s="1"/>
  <c r="T34" i="3"/>
  <c r="T5" i="22" s="1"/>
  <c r="GC34" i="3"/>
  <c r="GC5" i="22" s="1"/>
  <c r="M34" i="3"/>
  <c r="M5" i="22" s="1"/>
  <c r="GW36" i="3"/>
  <c r="GW7" i="22" s="1"/>
  <c r="LA36" i="3"/>
  <c r="LA7" i="22" s="1"/>
  <c r="BO36" i="3"/>
  <c r="BO7" i="22" s="1"/>
  <c r="FB35" i="3"/>
  <c r="FB6" i="22" s="1"/>
  <c r="JM36" i="3"/>
  <c r="JM7" i="22" s="1"/>
  <c r="JY35" i="3"/>
  <c r="JY6" i="22" s="1"/>
  <c r="LF34" i="3"/>
  <c r="LF5" i="22" s="1"/>
  <c r="KU34" i="3"/>
  <c r="KU5" i="22" s="1"/>
  <c r="KK34" i="3"/>
  <c r="KK5" i="22" s="1"/>
  <c r="EY34" i="3"/>
  <c r="EY5" i="22" s="1"/>
  <c r="EJ36" i="3"/>
  <c r="EJ7" i="22" s="1"/>
  <c r="Y35" i="3"/>
  <c r="Y6" i="22" s="1"/>
  <c r="AD36" i="3"/>
  <c r="AD7" i="22" s="1"/>
  <c r="MS36" i="3"/>
  <c r="MS7" i="22" s="1"/>
  <c r="JX35" i="3"/>
  <c r="JX6" i="22" s="1"/>
  <c r="AE35" i="3"/>
  <c r="AE6" i="22" s="1"/>
  <c r="BO34" i="3"/>
  <c r="BO5" i="22" s="1"/>
  <c r="MQ35" i="3"/>
  <c r="MQ6" i="22" s="1"/>
  <c r="GY34" i="3"/>
  <c r="GY5" i="22" s="1"/>
  <c r="HM34" i="3"/>
  <c r="HM5" i="22" s="1"/>
  <c r="KI36" i="3"/>
  <c r="KI7" i="22" s="1"/>
  <c r="KC34" i="3"/>
  <c r="KC5" i="22" s="1"/>
  <c r="DM36" i="3"/>
  <c r="DM7" i="22" s="1"/>
  <c r="AW34" i="3"/>
  <c r="AW5" i="22" s="1"/>
  <c r="CI35" i="3"/>
  <c r="CI6" i="22" s="1"/>
  <c r="AL35" i="3"/>
  <c r="AL6" i="22" s="1"/>
  <c r="HV36" i="3"/>
  <c r="HV7" i="22" s="1"/>
  <c r="FP34" i="3"/>
  <c r="FP5" i="22" s="1"/>
  <c r="LU35" i="3"/>
  <c r="LU6" i="22" s="1"/>
  <c r="FE35" i="3"/>
  <c r="FE6" i="22" s="1"/>
  <c r="LJ36" i="3"/>
  <c r="LJ7" i="22" s="1"/>
  <c r="LM34" i="3"/>
  <c r="LM5" i="22" s="1"/>
  <c r="AN35" i="3"/>
  <c r="AN6" i="22" s="1"/>
  <c r="HB36" i="3"/>
  <c r="HB7" i="22" s="1"/>
  <c r="JW35" i="3"/>
  <c r="JW6" i="22" s="1"/>
  <c r="CA35" i="3"/>
  <c r="CA6" i="22" s="1"/>
  <c r="JL35" i="3"/>
  <c r="JL6" i="22" s="1"/>
  <c r="AL36" i="3"/>
  <c r="AL7" i="22" s="1"/>
  <c r="GT35" i="3"/>
  <c r="GT6" i="22" s="1"/>
  <c r="BX36" i="3"/>
  <c r="BX7" i="22" s="1"/>
  <c r="FE36" i="3"/>
  <c r="FE7" i="22" s="1"/>
  <c r="DV34" i="3"/>
  <c r="DV5" i="22" s="1"/>
  <c r="LM35" i="3"/>
  <c r="LM6" i="22" s="1"/>
  <c r="FL36" i="3"/>
  <c r="FL7" i="22" s="1"/>
  <c r="EP34" i="3"/>
  <c r="EP5" i="22" s="1"/>
  <c r="JG36" i="3"/>
  <c r="JG7" i="22" s="1"/>
  <c r="IQ34" i="3"/>
  <c r="IQ5" i="22" s="1"/>
  <c r="CA36" i="3"/>
  <c r="CA7" i="22" s="1"/>
  <c r="JC34" i="3"/>
  <c r="JC5" i="22" s="1"/>
  <c r="KY36" i="3"/>
  <c r="KY7" i="22" s="1"/>
  <c r="KX34" i="3"/>
  <c r="KX5" i="22" s="1"/>
  <c r="EH36" i="3"/>
  <c r="EH7" i="22" s="1"/>
  <c r="CN34" i="3"/>
  <c r="CN5" i="22" s="1"/>
  <c r="M35" i="3"/>
  <c r="M6" i="22" s="1"/>
  <c r="MQ36" i="3"/>
  <c r="MQ7" i="22" s="1"/>
  <c r="GO36" i="3"/>
  <c r="GO7" i="22" s="1"/>
  <c r="FI34" i="3"/>
  <c r="FI5" i="22" s="1"/>
  <c r="CV34" i="3"/>
  <c r="CV5" i="22" s="1"/>
  <c r="DZ35" i="3"/>
  <c r="DZ6" i="22" s="1"/>
  <c r="BG35" i="3"/>
  <c r="BG6" i="22" s="1"/>
  <c r="IL36" i="3"/>
  <c r="IL7" i="22" s="1"/>
  <c r="HO34" i="3"/>
  <c r="HO5" i="22" s="1"/>
  <c r="HL34" i="3"/>
  <c r="HL5" i="22" s="1"/>
  <c r="G36" i="3"/>
  <c r="G7" i="22" s="1"/>
  <c r="FZ35" i="3"/>
  <c r="FZ6" i="22" s="1"/>
  <c r="LZ36" i="3"/>
  <c r="LZ7" i="22" s="1"/>
  <c r="MH34" i="3"/>
  <c r="MH5" i="22" s="1"/>
  <c r="CF35" i="3"/>
  <c r="CF6" i="22" s="1"/>
  <c r="AE34" i="3"/>
  <c r="AE5" i="22" s="1"/>
  <c r="CA34" i="3"/>
  <c r="CA5" i="22" s="1"/>
  <c r="BX35" i="3"/>
  <c r="BX6" i="22" s="1"/>
  <c r="BU34" i="3"/>
  <c r="BU5" i="22" s="1"/>
  <c r="DP35" i="3"/>
  <c r="DP6" i="22" s="1"/>
  <c r="DS34" i="3"/>
  <c r="DS5" i="22" s="1"/>
  <c r="DO34" i="3"/>
  <c r="DO5" i="22" s="1"/>
  <c r="FD35" i="3"/>
  <c r="FD6" i="22" s="1"/>
  <c r="EZ35" i="3"/>
  <c r="EZ6" i="22" s="1"/>
  <c r="EV35" i="3"/>
  <c r="EV6" i="22" s="1"/>
  <c r="ER35" i="3"/>
  <c r="ER6" i="22" s="1"/>
  <c r="EN35" i="3"/>
  <c r="EN6" i="22" s="1"/>
  <c r="HF35" i="3"/>
  <c r="HF6" i="22" s="1"/>
  <c r="HI36" i="3"/>
  <c r="HI7" i="22" s="1"/>
  <c r="AK34" i="3"/>
  <c r="AK5" i="22" s="1"/>
  <c r="W36" i="3"/>
  <c r="W7" i="22" s="1"/>
  <c r="JI34" i="3"/>
  <c r="JI5" i="22" s="1"/>
  <c r="LE35" i="3"/>
  <c r="LE6" i="22" s="1"/>
  <c r="HY36" i="3"/>
  <c r="HY7" i="22" s="1"/>
  <c r="LQ35" i="3"/>
  <c r="LQ6" i="22" s="1"/>
  <c r="KS36" i="3"/>
  <c r="KS7" i="22" s="1"/>
  <c r="GM36" i="3"/>
  <c r="GM7" i="22" s="1"/>
  <c r="EG35" i="3"/>
  <c r="EG6" i="22" s="1"/>
  <c r="AI36" i="3"/>
  <c r="AI7" i="22" s="1"/>
  <c r="DA35" i="3"/>
  <c r="DA6" i="22" s="1"/>
  <c r="BC34" i="3"/>
  <c r="BC5" i="22" s="1"/>
  <c r="FW34" i="3"/>
  <c r="FW5" i="22" s="1"/>
  <c r="FM34" i="3"/>
  <c r="FM5" i="22" s="1"/>
  <c r="JZ34" i="3"/>
  <c r="JZ5" i="22" s="1"/>
  <c r="JY36" i="3"/>
  <c r="JY7" i="22" s="1"/>
  <c r="JE34" i="3"/>
  <c r="JE5" i="22" s="1"/>
  <c r="JJ35" i="3"/>
  <c r="JJ6" i="22" s="1"/>
  <c r="JA36" i="3"/>
  <c r="JA7" i="22" s="1"/>
  <c r="IB36" i="3"/>
  <c r="IB7" i="22" s="1"/>
  <c r="LR36" i="3"/>
  <c r="LR7" i="22" s="1"/>
  <c r="HS35" i="3"/>
  <c r="HS6" i="22" s="1"/>
  <c r="BM34" i="3"/>
  <c r="BM5" i="22" s="1"/>
  <c r="IM36" i="3"/>
  <c r="IM7" i="22" s="1"/>
  <c r="HQ34" i="3"/>
  <c r="HQ5" i="22" s="1"/>
  <c r="BA36" i="3"/>
  <c r="BA7" i="22" s="1"/>
  <c r="LO34" i="3"/>
  <c r="LO5" i="22" s="1"/>
  <c r="LW36" i="3"/>
  <c r="LW7" i="22" s="1"/>
  <c r="MD34" i="3"/>
  <c r="MD5" i="22" s="1"/>
  <c r="FN36" i="3"/>
  <c r="FN7" i="22" s="1"/>
  <c r="EH34" i="3"/>
  <c r="EH5" i="22" s="1"/>
  <c r="E34" i="3"/>
  <c r="E5" i="22" s="1"/>
  <c r="GW35" i="3"/>
  <c r="GW6" i="22" s="1"/>
  <c r="CS35" i="3"/>
  <c r="CS6" i="22" s="1"/>
  <c r="JN36" i="3"/>
  <c r="JN7" i="22" s="1"/>
  <c r="JA34" i="3"/>
  <c r="JA5" i="22" s="1"/>
  <c r="KR34" i="3"/>
  <c r="KR5" i="22" s="1"/>
  <c r="CD36" i="3"/>
  <c r="CD7" i="22" s="1"/>
  <c r="HK35" i="3"/>
  <c r="HK6" i="22" s="1"/>
  <c r="NB36" i="3"/>
  <c r="NB7" i="22" s="1"/>
  <c r="O35" i="3"/>
  <c r="O6" i="22" s="1"/>
  <c r="EJ35" i="3"/>
  <c r="EJ6" i="22" s="1"/>
  <c r="KN36" i="3"/>
  <c r="KN7" i="22" s="1"/>
  <c r="MD35" i="3"/>
  <c r="MD6" i="22" s="1"/>
  <c r="EH35" i="3"/>
  <c r="EH6" i="22" s="1"/>
  <c r="D36" i="3"/>
  <c r="D7" i="22" s="1"/>
  <c r="CS36" i="3"/>
  <c r="CS7" i="22" s="1"/>
  <c r="H34" i="3"/>
  <c r="H5" i="22" s="1"/>
  <c r="JA35" i="3"/>
  <c r="JA6" i="22" s="1"/>
  <c r="DP36" i="3"/>
  <c r="DP7" i="22" s="1"/>
  <c r="HK36" i="3"/>
  <c r="HK7" i="22" s="1"/>
  <c r="GE34" i="3"/>
  <c r="GE5" i="22" s="1"/>
  <c r="O36" i="3"/>
  <c r="O7" i="22" s="1"/>
  <c r="HD36" i="3"/>
  <c r="HD7" i="22" s="1"/>
  <c r="EE34" i="3"/>
  <c r="EE5" i="22" s="1"/>
  <c r="JC36" i="3"/>
  <c r="JC7" i="22" s="1"/>
  <c r="BV36" i="3"/>
  <c r="BV7" i="22" s="1"/>
  <c r="IS34" i="3"/>
  <c r="IS5" i="22" s="1"/>
  <c r="KU36" i="3"/>
  <c r="KU7" i="22" s="1"/>
  <c r="KS34" i="3"/>
  <c r="KS5" i="22" s="1"/>
  <c r="EC36" i="3"/>
  <c r="EC7" i="22" s="1"/>
  <c r="CC34" i="3"/>
  <c r="CC5" i="22" s="1"/>
  <c r="B35" i="3"/>
  <c r="B6" i="22" s="1"/>
  <c r="MM36" i="3"/>
  <c r="MM7" i="22" s="1"/>
  <c r="MY34" i="3"/>
  <c r="MY5" i="22" s="1"/>
  <c r="GI36" i="3"/>
  <c r="GI7" i="22" s="1"/>
  <c r="FC34" i="3"/>
  <c r="FC5" i="22" s="1"/>
  <c r="BQ34" i="3"/>
  <c r="BQ5" i="22" s="1"/>
  <c r="IM35" i="3"/>
  <c r="IM6" i="22" s="1"/>
  <c r="DN35" i="3"/>
  <c r="DN6" i="22" s="1"/>
  <c r="KD36" i="3"/>
  <c r="KD7" i="22" s="1"/>
  <c r="JV34" i="3"/>
  <c r="JV5" i="22" s="1"/>
  <c r="MB34" i="3"/>
  <c r="MB5" i="22" s="1"/>
  <c r="O34" i="3"/>
  <c r="O5" i="22" s="1"/>
  <c r="AB35" i="3"/>
  <c r="AB6" i="22" s="1"/>
  <c r="I34" i="3"/>
  <c r="I5" i="22" s="1"/>
  <c r="BT35" i="3"/>
  <c r="BT6" i="22" s="1"/>
  <c r="BP34" i="3"/>
  <c r="BP5" i="22" s="1"/>
  <c r="BK34" i="3"/>
  <c r="BK5" i="22" s="1"/>
  <c r="DH35" i="3"/>
  <c r="DH6" i="22" s="1"/>
  <c r="DK34" i="3"/>
  <c r="DK5" i="22" s="1"/>
  <c r="DD35" i="3"/>
  <c r="DD6" i="22" s="1"/>
  <c r="DG34" i="3"/>
  <c r="DG5" i="22" s="1"/>
  <c r="CZ35" i="3"/>
  <c r="CZ6" i="22" s="1"/>
  <c r="DC34" i="3"/>
  <c r="DC5" i="22" s="1"/>
  <c r="CV35" i="3"/>
  <c r="CV6" i="22" s="1"/>
  <c r="CY34" i="3"/>
  <c r="CY5" i="22" s="1"/>
  <c r="CR35" i="3"/>
  <c r="CR6" i="22" s="1"/>
  <c r="CU34" i="3"/>
  <c r="CU5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Gi-Su, Lee</author>
    <author>T1</author>
    <author>단군</author>
  </authors>
  <commentList>
    <comment ref="E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돋움"/>
            <family val="3"/>
            <charset val="129"/>
          </rPr>
          <t>칸씩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그룹</t>
        </r>
      </text>
    </comment>
    <comment ref="F2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요일</t>
        </r>
        <r>
          <rPr>
            <sz val="9"/>
            <color indexed="81"/>
            <rFont val="Tahoma"/>
            <family val="2"/>
          </rPr>
          <t xml:space="preserve"> &gt; "</t>
        </r>
        <r>
          <rPr>
            <sz val="9"/>
            <color indexed="81"/>
            <rFont val="돋움"/>
            <family val="3"/>
            <charset val="129"/>
          </rPr>
          <t>토</t>
        </r>
        <r>
          <rPr>
            <sz val="9"/>
            <color indexed="81"/>
            <rFont val="Tahoma"/>
            <family val="2"/>
          </rPr>
          <t>" , "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공유일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있으면
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휴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판정
</t>
        </r>
      </text>
    </comment>
    <comment ref="G2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공휴일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휴일로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판단
</t>
        </r>
      </text>
    </comment>
    <comment ref="I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- "</t>
        </r>
        <r>
          <rPr>
            <b/>
            <sz val="9"/>
            <color indexed="81"/>
            <rFont val="돋움"/>
            <family val="3"/>
            <charset val="129"/>
          </rPr>
          <t>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비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 xml:space="preserve">기본근무
</t>
        </r>
        <r>
          <rPr>
            <b/>
            <sz val="9"/>
            <color indexed="81"/>
            <rFont val="Tahoma"/>
            <family val="2"/>
          </rPr>
          <t>- "</t>
        </r>
        <r>
          <rPr>
            <b/>
            <sz val="9"/>
            <color indexed="81"/>
            <rFont val="돋움"/>
            <family val="3"/>
            <charset val="129"/>
          </rPr>
          <t>휴일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주간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휴무</t>
        </r>
        <r>
          <rPr>
            <b/>
            <sz val="9"/>
            <color indexed="81"/>
            <rFont val="Tahoma"/>
            <family val="2"/>
          </rPr>
          <t>"
- "</t>
        </r>
        <r>
          <rPr>
            <b/>
            <sz val="9"/>
            <color indexed="81"/>
            <rFont val="돋움"/>
            <family val="3"/>
            <charset val="129"/>
          </rPr>
          <t>휴일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야간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당직</t>
        </r>
        <r>
          <rPr>
            <b/>
            <sz val="9"/>
            <color indexed="81"/>
            <rFont val="Tahoma"/>
            <family val="2"/>
          </rPr>
          <t xml:space="preserve">"
- </t>
        </r>
        <r>
          <rPr>
            <b/>
            <sz val="9"/>
            <color indexed="81"/>
            <rFont val="돋움"/>
            <family val="3"/>
            <charset val="129"/>
          </rPr>
          <t>국정공휴일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, "</t>
        </r>
        <r>
          <rPr>
            <b/>
            <sz val="9"/>
            <color indexed="81"/>
            <rFont val="돋움"/>
            <family val="3"/>
            <charset val="129"/>
          </rPr>
          <t>휴일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판단</t>
        </r>
      </text>
    </comment>
    <comment ref="L2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=IF(ISERR(MOD($K249+4,3)),"",MOD($K249+4,3))
- </t>
        </r>
        <r>
          <rPr>
            <b/>
            <sz val="9"/>
            <color indexed="81"/>
            <rFont val="돋움"/>
            <family val="3"/>
            <charset val="129"/>
          </rPr>
          <t>근무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기준으로</t>
        </r>
        <r>
          <rPr>
            <b/>
            <sz val="9"/>
            <color indexed="81"/>
            <rFont val="Tahoma"/>
            <family val="2"/>
          </rPr>
          <t xml:space="preserve">, MOD </t>
        </r>
        <r>
          <rPr>
            <b/>
            <sz val="9"/>
            <color indexed="81"/>
            <rFont val="돋움"/>
            <family val="3"/>
            <charset val="129"/>
          </rPr>
          <t>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순번을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일정히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할당
</t>
        </r>
        <r>
          <rPr>
            <b/>
            <sz val="9"/>
            <color indexed="81"/>
            <rFont val="Tahoma"/>
            <family val="2"/>
          </rPr>
          <t xml:space="preserve">- !! </t>
        </r>
        <r>
          <rPr>
            <b/>
            <sz val="9"/>
            <color indexed="81"/>
            <rFont val="돋움"/>
            <family val="3"/>
            <charset val="129"/>
          </rPr>
          <t>근무인원수</t>
        </r>
        <r>
          <rPr>
            <b/>
            <sz val="9"/>
            <color indexed="81"/>
            <rFont val="Tahoma"/>
            <family val="2"/>
          </rPr>
          <t xml:space="preserve"> "3" </t>
        </r>
        <r>
          <rPr>
            <b/>
            <sz val="9"/>
            <color indexed="81"/>
            <rFont val="돋움"/>
            <family val="3"/>
            <charset val="129"/>
          </rPr>
          <t>부분에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이명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명인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조임</t>
        </r>
      </text>
    </comment>
    <comment ref="A280" authorId="2" shapeId="0" xr:uid="{00000000-0006-0000-0100-000006000000}">
      <text>
        <r>
          <rPr>
            <b/>
            <sz val="9"/>
            <color indexed="81"/>
            <rFont val="돋움"/>
            <family val="3"/>
            <charset val="129"/>
          </rPr>
          <t>장혁진 주임 근무 투입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tc={09209A25-E588-4634-BB62-D3FD68A1DF0A}</author>
  </authors>
  <commentList>
    <comment ref="L1" authorId="0" shapeId="0" xr:uid="{09209A25-E588-4634-BB62-D3FD68A1DF0A}">
      <text>
        <t>[Threaded comment]
Your version of Excel allows you to read this threaded comment; however, any edits to it will get removed if the file is opened in a newer version of Excel. Learn more: https://go.microsoft.com/fwlink/?linkid=870924
Comment:
    용역원실 취침</t>
      </text>
    </comment>
  </commentList>
</comments>
</file>

<file path=xl/sharedStrings.xml><?xml version="1.0" encoding="utf-8"?>
<sst xmlns="http://schemas.openxmlformats.org/spreadsheetml/2006/main" count="3497" uniqueCount="107">
  <si>
    <t>[근무형태]</t>
    <phoneticPr fontId="1" type="noConversion"/>
  </si>
  <si>
    <t>[필요기능]</t>
    <phoneticPr fontId="1" type="noConversion"/>
  </si>
  <si>
    <t>주/야/비</t>
    <phoneticPr fontId="1" type="noConversion"/>
  </si>
  <si>
    <t>엑셀 '숨기기' 셀 빼고, 선택 된 '보이는 셀'만 복사</t>
    <phoneticPr fontId="1" type="noConversion"/>
  </si>
  <si>
    <t>- 영역 선택, 2. Alt+; 눌러둠, 3.Ctrl+C 복사 후 붙여넣기</t>
    <phoneticPr fontId="1" type="noConversion"/>
  </si>
  <si>
    <t>[담당구역]</t>
    <phoneticPr fontId="1" type="noConversion"/>
  </si>
  <si>
    <t>산업지원동&gt;글로벌센터&gt;외곽</t>
    <phoneticPr fontId="1" type="noConversion"/>
  </si>
  <si>
    <t>[근무 순서]</t>
    <phoneticPr fontId="1" type="noConversion"/>
  </si>
  <si>
    <t>허지웅 &gt; 정윤준 &gt; 이기수 &gt; 박성현</t>
    <phoneticPr fontId="1" type="noConversion"/>
  </si>
  <si>
    <t>[설명]</t>
    <phoneticPr fontId="1" type="noConversion"/>
  </si>
  <si>
    <t>cal1 - 기준 문서 - 세로 정렬</t>
    <phoneticPr fontId="1" type="noConversion"/>
  </si>
  <si>
    <t>cal2 - 근무표 1차 가공, 각셀 필요내용 정리</t>
    <phoneticPr fontId="1" type="noConversion"/>
  </si>
  <si>
    <t>cal3 - cal2 의 내용 중 필요내용만 추출, 조건부 서식에 맞춰 색깔 칠한 형태</t>
    <phoneticPr fontId="1" type="noConversion"/>
  </si>
  <si>
    <t>shape1 - cal3 의 내용 복사(전체 다 복사해야 조건부 서식이 밀리지 않음)</t>
    <phoneticPr fontId="1" type="noConversion"/>
  </si>
  <si>
    <t xml:space="preserve">             매크로로 7칸씩 쪼개서 월별 스케줄표 생성</t>
    <phoneticPr fontId="1" type="noConversion"/>
  </si>
  <si>
    <t>주간 :</t>
    <phoneticPr fontId="1" type="noConversion"/>
  </si>
  <si>
    <t>허지웅</t>
    <phoneticPr fontId="1" type="noConversion"/>
  </si>
  <si>
    <t>정윤준</t>
    <phoneticPr fontId="1" type="noConversion"/>
  </si>
  <si>
    <t>이기수</t>
    <phoneticPr fontId="1" type="noConversion"/>
  </si>
  <si>
    <t>박성현</t>
    <phoneticPr fontId="1" type="noConversion"/>
  </si>
  <si>
    <t>회전:</t>
    <phoneticPr fontId="1" type="noConversion"/>
  </si>
  <si>
    <t>야간 :</t>
    <phoneticPr fontId="1" type="noConversion"/>
  </si>
  <si>
    <t>허지웅</t>
  </si>
  <si>
    <t>정윤준</t>
  </si>
  <si>
    <t>이기수</t>
  </si>
  <si>
    <t>박성현</t>
  </si>
  <si>
    <t>NO</t>
    <phoneticPr fontId="1" type="noConversion"/>
  </si>
  <si>
    <t>날   짜</t>
    <phoneticPr fontId="1" type="noConversion"/>
  </si>
  <si>
    <t>MON
TH</t>
    <phoneticPr fontId="1" type="noConversion"/>
  </si>
  <si>
    <t>DAYS</t>
    <phoneticPr fontId="1" type="noConversion"/>
  </si>
  <si>
    <t>요   일</t>
    <phoneticPr fontId="1" type="noConversion"/>
  </si>
  <si>
    <t>휴일</t>
    <phoneticPr fontId="1" type="noConversion"/>
  </si>
  <si>
    <t>공휴일</t>
    <phoneticPr fontId="1" type="noConversion"/>
  </si>
  <si>
    <t>기본
근무
(초기값조정)</t>
    <phoneticPr fontId="1" type="noConversion"/>
  </si>
  <si>
    <t>근무
형태</t>
    <phoneticPr fontId="1" type="noConversion"/>
  </si>
  <si>
    <t>주간
여부</t>
    <phoneticPr fontId="1" type="noConversion"/>
  </si>
  <si>
    <t>주간
개수</t>
    <phoneticPr fontId="1" type="noConversion"/>
  </si>
  <si>
    <t>주간_변환1
지원동</t>
    <phoneticPr fontId="1" type="noConversion"/>
  </si>
  <si>
    <t>주간_변환1
글로벌</t>
    <phoneticPr fontId="1" type="noConversion"/>
  </si>
  <si>
    <t>주간_변환1
외곽1</t>
    <phoneticPr fontId="1" type="noConversion"/>
  </si>
  <si>
    <t>주간_변환1
외곽2</t>
    <phoneticPr fontId="1" type="noConversion"/>
  </si>
  <si>
    <t>주간_변환1
외곽3
(5명근무시)</t>
    <phoneticPr fontId="1" type="noConversion"/>
  </si>
  <si>
    <t>주간근무
지원동</t>
    <phoneticPr fontId="1" type="noConversion"/>
  </si>
  <si>
    <t>주간근무
글로벌</t>
    <phoneticPr fontId="1" type="noConversion"/>
  </si>
  <si>
    <t>주간근무
외곽1</t>
    <phoneticPr fontId="1" type="noConversion"/>
  </si>
  <si>
    <t>주간근무
외곽2</t>
    <phoneticPr fontId="1" type="noConversion"/>
  </si>
  <si>
    <t>주간근무
외곽3
(5명근무시)</t>
    <phoneticPr fontId="1" type="noConversion"/>
  </si>
  <si>
    <t>야간
여부</t>
    <phoneticPr fontId="1" type="noConversion"/>
  </si>
  <si>
    <t>야간
개수</t>
    <phoneticPr fontId="1" type="noConversion"/>
  </si>
  <si>
    <t>야간_변환1
지원동</t>
    <phoneticPr fontId="1" type="noConversion"/>
  </si>
  <si>
    <t>야간_변환1
글로벌</t>
    <phoneticPr fontId="1" type="noConversion"/>
  </si>
  <si>
    <t>야간_변환1
외곽1</t>
    <phoneticPr fontId="1" type="noConversion"/>
  </si>
  <si>
    <t>야간_변환1
외곽2</t>
    <phoneticPr fontId="1" type="noConversion"/>
  </si>
  <si>
    <t>야간_변환1
외곽3
(5명근무시)</t>
    <phoneticPr fontId="1" type="noConversion"/>
  </si>
  <si>
    <t>야간근무
지원동</t>
  </si>
  <si>
    <t>야간근무
글로벌</t>
  </si>
  <si>
    <t>야간근무
외곽1</t>
    <phoneticPr fontId="1" type="noConversion"/>
  </si>
  <si>
    <t>야간근무
외곽2</t>
    <phoneticPr fontId="1" type="noConversion"/>
  </si>
  <si>
    <t>야간근무
외곽3
(5명근무시)</t>
    <phoneticPr fontId="1" type="noConversion"/>
  </si>
  <si>
    <t>근무
겹치는
여부</t>
  </si>
  <si>
    <t>근무
겹치는
개수</t>
  </si>
  <si>
    <t>용역원실
취침</t>
  </si>
  <si>
    <t>신정</t>
  </si>
  <si>
    <t>야간</t>
    <phoneticPr fontId="1" type="noConversion"/>
  </si>
  <si>
    <t>비번</t>
    <phoneticPr fontId="1" type="noConversion"/>
  </si>
  <si>
    <t>주간</t>
    <phoneticPr fontId="1" type="noConversion"/>
  </si>
  <si>
    <t>설휴무</t>
    <phoneticPr fontId="1" type="noConversion"/>
  </si>
  <si>
    <t>설날</t>
    <phoneticPr fontId="1" type="noConversion"/>
  </si>
  <si>
    <t>삼일절(대체)</t>
  </si>
  <si>
    <t>노동절</t>
  </si>
  <si>
    <t>어린이날</t>
  </si>
  <si>
    <t>부처님오신날(대체)</t>
  </si>
  <si>
    <t>지방선거</t>
    <phoneticPr fontId="1" type="noConversion"/>
  </si>
  <si>
    <t>현충일</t>
    <phoneticPr fontId="1" type="noConversion"/>
  </si>
  <si>
    <t>제헌절</t>
    <phoneticPr fontId="1" type="noConversion"/>
  </si>
  <si>
    <t>광복절</t>
  </si>
  <si>
    <t>광복절(대체)</t>
    <phoneticPr fontId="1" type="noConversion"/>
  </si>
  <si>
    <t>추석휴무</t>
    <phoneticPr fontId="1" type="noConversion"/>
  </si>
  <si>
    <t>추석</t>
    <phoneticPr fontId="1" type="noConversion"/>
  </si>
  <si>
    <t>개천절</t>
  </si>
  <si>
    <t>개천절(대체)</t>
    <phoneticPr fontId="1" type="noConversion"/>
  </si>
  <si>
    <t>한글날</t>
    <phoneticPr fontId="1" type="noConversion"/>
  </si>
  <si>
    <t>성탄절</t>
  </si>
  <si>
    <t>지원동</t>
    <phoneticPr fontId="1" type="noConversion"/>
  </si>
  <si>
    <t>글로벌</t>
    <phoneticPr fontId="1" type="noConversion"/>
  </si>
  <si>
    <t>외곽-1</t>
    <phoneticPr fontId="1" type="noConversion"/>
  </si>
  <si>
    <t>외곽-2</t>
    <phoneticPr fontId="1" type="noConversion"/>
  </si>
  <si>
    <t>날   짜</t>
  </si>
  <si>
    <t>요   일</t>
  </si>
  <si>
    <t>공휴일</t>
  </si>
  <si>
    <t>근무
형태</t>
  </si>
  <si>
    <t>당직</t>
  </si>
  <si>
    <t>비번</t>
  </si>
  <si>
    <t>휴무</t>
  </si>
  <si>
    <t>-</t>
  </si>
  <si>
    <t>주간</t>
  </si>
  <si>
    <t>야간</t>
  </si>
  <si>
    <t>설휴무</t>
  </si>
  <si>
    <t>설날</t>
  </si>
  <si>
    <t>지방선거</t>
  </si>
  <si>
    <t>현충일</t>
  </si>
  <si>
    <t>제헌절</t>
  </si>
  <si>
    <t>광복절(대체)</t>
  </si>
  <si>
    <t>추석휴무</t>
  </si>
  <si>
    <t>추석</t>
  </si>
  <si>
    <t>개천절(대체)</t>
  </si>
  <si>
    <t>한글날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</si>
</sst>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aaa"/>
    <numFmt numFmtId="178" formatCode="0;0;&quot;&quot;"/>
    <numFmt numFmtId="179" formatCode="m&quot;/&quot;d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slantDashDot">
        <color rgb="FFFF0000"/>
      </left>
      <right/>
      <top style="slantDashDot">
        <color rgb="FFFF0000"/>
      </top>
      <bottom/>
      <diagonal/>
    </border>
    <border>
      <left/>
      <right/>
      <top style="slantDashDot">
        <color rgb="FFFF0000"/>
      </top>
      <bottom/>
      <diagonal/>
    </border>
    <border>
      <left style="slantDashDot">
        <color rgb="FFFF0000"/>
      </left>
      <right/>
      <top/>
      <bottom style="slantDashDot">
        <color rgb="FFFF0000"/>
      </bottom>
      <diagonal/>
    </border>
    <border>
      <left/>
      <right/>
      <top/>
      <bottom style="slantDashDot">
        <color rgb="FFFF0000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Dashed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0" fillId="2" borderId="0" xfId="0" applyFill="1" applyAlignment="1">
      <alignment horizontal="center" vertical="center" wrapText="1"/>
    </xf>
    <xf numFmtId="176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176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 applyAlignment="1">
      <alignment horizontal="center" vertical="center" wrapText="1"/>
    </xf>
    <xf numFmtId="177" fontId="0" fillId="4" borderId="0" xfId="0" applyNumberFormat="1" applyFill="1" applyAlignment="1">
      <alignment horizontal="center" vertical="center"/>
    </xf>
    <xf numFmtId="179" fontId="6" fillId="3" borderId="1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8" fontId="6" fillId="3" borderId="12" xfId="0" applyNumberFormat="1" applyFont="1" applyFill="1" applyBorder="1" applyAlignment="1">
      <alignment horizontal="center" vertical="center"/>
    </xf>
    <xf numFmtId="177" fontId="6" fillId="3" borderId="1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9" fontId="6" fillId="0" borderId="2" xfId="0" applyNumberFormat="1" applyFont="1" applyBorder="1" applyAlignment="1">
      <alignment horizontal="center" vertical="center"/>
    </xf>
    <xf numFmtId="177" fontId="6" fillId="0" borderId="11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78" fontId="6" fillId="0" borderId="10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9" fontId="6" fillId="0" borderId="14" xfId="0" applyNumberFormat="1" applyFont="1" applyBorder="1" applyAlignment="1">
      <alignment horizontal="center" vertical="center"/>
    </xf>
    <xf numFmtId="179" fontId="6" fillId="0" borderId="15" xfId="0" applyNumberFormat="1" applyFont="1" applyBorder="1" applyAlignment="1">
      <alignment horizontal="center" vertical="center"/>
    </xf>
    <xf numFmtId="179" fontId="0" fillId="0" borderId="15" xfId="0" applyNumberFormat="1" applyBorder="1" applyAlignment="1">
      <alignment horizontal="center" vertical="center"/>
    </xf>
    <xf numFmtId="177" fontId="6" fillId="0" borderId="14" xfId="0" applyNumberFormat="1" applyFont="1" applyBorder="1" applyAlignment="1">
      <alignment horizontal="center" vertical="center"/>
    </xf>
    <xf numFmtId="177" fontId="6" fillId="0" borderId="15" xfId="0" applyNumberFormat="1" applyFont="1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178" fontId="7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6" fillId="0" borderId="16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7" fillId="0" borderId="18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79" fontId="6" fillId="6" borderId="19" xfId="0" applyNumberFormat="1" applyFont="1" applyFill="1" applyBorder="1" applyAlignment="1">
      <alignment horizontal="center" vertical="center"/>
    </xf>
    <xf numFmtId="177" fontId="6" fillId="6" borderId="19" xfId="0" applyNumberFormat="1" applyFont="1" applyFill="1" applyBorder="1" applyAlignment="1">
      <alignment horizontal="center" vertical="center"/>
    </xf>
    <xf numFmtId="178" fontId="6" fillId="6" borderId="20" xfId="0" applyNumberFormat="1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7" borderId="0" xfId="0" applyFill="1" applyAlignment="1">
      <alignment horizontal="center" vertical="center"/>
    </xf>
    <xf numFmtId="14" fontId="0" fillId="0" borderId="25" xfId="0" applyNumberFormat="1" applyBorder="1" applyAlignment="1">
      <alignment horizontal="center" vertical="center"/>
    </xf>
    <xf numFmtId="177" fontId="0" fillId="0" borderId="26" xfId="0" applyNumberFormat="1" applyBorder="1" applyAlignment="1">
      <alignment horizontal="center" vertical="center" wrapText="1"/>
    </xf>
    <xf numFmtId="177" fontId="0" fillId="0" borderId="27" xfId="0" applyNumberFormat="1" applyBorder="1" applyAlignment="1">
      <alignment horizontal="center" vertical="center"/>
    </xf>
    <xf numFmtId="177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표준" xfId="0" builtinId="0"/>
  </cellStyles>
  <dxfs count="335"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</dxfs>
  <tableStyles count="0" defaultTableStyle="TableStyleMedium2" defaultPivotStyle="PivotStyleLight16"/>
  <colors>
    <mruColors>
      <color rgb="FF00FFFF"/>
      <color rgb="FFFF66FF"/>
      <color rgb="FFC0C0C0"/>
      <color rgb="FFB2B2B2"/>
      <color rgb="FFFF99FF"/>
      <color rgb="FF3399FF"/>
      <color rgb="FF0066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9525</xdr:colOff>
      <xdr:row>8</xdr:row>
      <xdr:rowOff>9525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357" y="0"/>
          <a:ext cx="2050597" cy="17784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18</xdr:col>
      <xdr:colOff>9525</xdr:colOff>
      <xdr:row>43</xdr:row>
      <xdr:rowOff>66675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0" y="209550"/>
          <a:ext cx="5495925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28</xdr:col>
      <xdr:colOff>9525</xdr:colOff>
      <xdr:row>51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209550"/>
          <a:ext cx="5495925" cy="1063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9</xdr:col>
      <xdr:colOff>9525</xdr:colOff>
      <xdr:row>91</xdr:row>
      <xdr:rowOff>66675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0267950"/>
          <a:ext cx="5495925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50</xdr:row>
      <xdr:rowOff>0</xdr:rowOff>
    </xdr:from>
    <xdr:to>
      <xdr:col>18</xdr:col>
      <xdr:colOff>9525</xdr:colOff>
      <xdr:row>92</xdr:row>
      <xdr:rowOff>66675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0" y="10477500"/>
          <a:ext cx="5495925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55</xdr:row>
      <xdr:rowOff>0</xdr:rowOff>
    </xdr:from>
    <xdr:to>
      <xdr:col>28</xdr:col>
      <xdr:colOff>9525</xdr:colOff>
      <xdr:row>97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11525250"/>
          <a:ext cx="5495925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9</xdr:col>
      <xdr:colOff>9525</xdr:colOff>
      <xdr:row>135</xdr:row>
      <xdr:rowOff>66675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488150"/>
          <a:ext cx="5495925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619125</xdr:colOff>
      <xdr:row>1</xdr:row>
      <xdr:rowOff>104775</xdr:rowOff>
    </xdr:from>
    <xdr:to>
      <xdr:col>8</xdr:col>
      <xdr:colOff>647700</xdr:colOff>
      <xdr:row>44</xdr:row>
      <xdr:rowOff>200025</xdr:rowOff>
    </xdr:to>
    <xdr:grpSp>
      <xdr:nvGrpSpPr>
        <xdr:cNvPr id="6155" name="Group 11">
          <a:extLst>
            <a:ext uri="{FF2B5EF4-FFF2-40B4-BE49-F238E27FC236}">
              <a16:creationId xmlns:a16="http://schemas.microsoft.com/office/drawing/2014/main" id="{00000000-0008-0000-0500-00000B180000}"/>
            </a:ext>
          </a:extLst>
        </xdr:cNvPr>
        <xdr:cNvGrpSpPr>
          <a:grpSpLocks noChangeAspect="1"/>
        </xdr:cNvGrpSpPr>
      </xdr:nvGrpSpPr>
      <xdr:grpSpPr bwMode="auto">
        <a:xfrm>
          <a:off x="619125" y="323850"/>
          <a:ext cx="5514975" cy="9515475"/>
          <a:chOff x="65" y="33"/>
          <a:chExt cx="579" cy="956"/>
        </a:xfrm>
      </xdr:grpSpPr>
      <xdr:sp macro="" textlink="">
        <xdr:nvSpPr>
          <xdr:cNvPr id="6154" name="AutoShape 10">
            <a:extLst>
              <a:ext uri="{FF2B5EF4-FFF2-40B4-BE49-F238E27FC236}">
                <a16:creationId xmlns:a16="http://schemas.microsoft.com/office/drawing/2014/main" id="{00000000-0008-0000-0500-00000A18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66" y="34"/>
            <a:ext cx="577" cy="9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grpSp>
        <xdr:nvGrpSpPr>
          <xdr:cNvPr id="6356" name="Group 212">
            <a:extLst>
              <a:ext uri="{FF2B5EF4-FFF2-40B4-BE49-F238E27FC236}">
                <a16:creationId xmlns:a16="http://schemas.microsoft.com/office/drawing/2014/main" id="{00000000-0008-0000-0500-0000D4180000}"/>
              </a:ext>
            </a:extLst>
          </xdr:cNvPr>
          <xdr:cNvGrpSpPr>
            <a:grpSpLocks/>
          </xdr:cNvGrpSpPr>
        </xdr:nvGrpSpPr>
        <xdr:grpSpPr bwMode="auto">
          <a:xfrm>
            <a:off x="66" y="34"/>
            <a:ext cx="577" cy="955"/>
            <a:chOff x="66" y="34"/>
            <a:chExt cx="577" cy="955"/>
          </a:xfrm>
        </xdr:grpSpPr>
        <xdr:sp macro="" textlink="">
          <xdr:nvSpPr>
            <xdr:cNvPr id="6156" name="Rectangle 12">
              <a:extLs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34"/>
              <a:ext cx="73" cy="96"/>
            </a:xfrm>
            <a:prstGeom prst="rect">
              <a:avLst/>
            </a:prstGeom>
            <a:solidFill>
              <a:srgbClr val="C9C9C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57" name="Rectangle 13">
              <a:extLs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34"/>
              <a:ext cx="73" cy="96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58" name="Rectangle 14">
              <a:extLs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34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59" name="Rectangle 15">
              <a:extLs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34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0" name="Rectangle 16">
              <a:extLs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34"/>
              <a:ext cx="73" cy="9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1" name="Rectangle 17">
              <a:extLst>
                <a:ext uri="{FF2B5EF4-FFF2-40B4-BE49-F238E27FC236}">
                  <a16:creationId xmlns:a16="http://schemas.microsoft.com/office/drawing/2014/main" id="{00000000-0008-0000-0500-00001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129"/>
              <a:ext cx="73" cy="92"/>
            </a:xfrm>
            <a:prstGeom prst="rect">
              <a:avLst/>
            </a:prstGeom>
            <a:solidFill>
              <a:srgbClr val="D9E1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2" name="Rectangle 18">
              <a:extLst>
                <a:ext uri="{FF2B5EF4-FFF2-40B4-BE49-F238E27FC236}">
                  <a16:creationId xmlns:a16="http://schemas.microsoft.com/office/drawing/2014/main" id="{00000000-0008-0000-0500-00001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29"/>
              <a:ext cx="73" cy="92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3" name="Rectangle 19">
              <a:extLst>
                <a:ext uri="{FF2B5EF4-FFF2-40B4-BE49-F238E27FC236}">
                  <a16:creationId xmlns:a16="http://schemas.microsoft.com/office/drawing/2014/main" id="{00000000-0008-0000-0500-00001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129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4" name="Rectangle 20">
              <a:extLst>
                <a:ext uri="{FF2B5EF4-FFF2-40B4-BE49-F238E27FC236}">
                  <a16:creationId xmlns:a16="http://schemas.microsoft.com/office/drawing/2014/main" id="{00000000-0008-0000-0500-00001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129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5" name="Rectangle 21">
              <a:extLst>
                <a:ext uri="{FF2B5EF4-FFF2-40B4-BE49-F238E27FC236}">
                  <a16:creationId xmlns:a16="http://schemas.microsoft.com/office/drawing/2014/main" id="{00000000-0008-0000-0500-00001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129"/>
              <a:ext cx="73" cy="92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6" name="Rectangle 22">
              <a:extLst>
                <a:ext uri="{FF2B5EF4-FFF2-40B4-BE49-F238E27FC236}">
                  <a16:creationId xmlns:a16="http://schemas.microsoft.com/office/drawing/2014/main" id="{00000000-0008-0000-0500-00001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220"/>
              <a:ext cx="73" cy="96"/>
            </a:xfrm>
            <a:prstGeom prst="rect">
              <a:avLst/>
            </a:prstGeom>
            <a:solidFill>
              <a:srgbClr val="C9C9C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7" name="Rectangle 23">
              <a:extLst>
                <a:ext uri="{FF2B5EF4-FFF2-40B4-BE49-F238E27FC236}">
                  <a16:creationId xmlns:a16="http://schemas.microsoft.com/office/drawing/2014/main" id="{00000000-0008-0000-0500-00001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220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8" name="Rectangle 24">
              <a:extLst>
                <a:ext uri="{FF2B5EF4-FFF2-40B4-BE49-F238E27FC236}">
                  <a16:creationId xmlns:a16="http://schemas.microsoft.com/office/drawing/2014/main" id="{00000000-0008-0000-0500-00001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20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69" name="Rectangle 25">
              <a:extLst>
                <a:ext uri="{FF2B5EF4-FFF2-40B4-BE49-F238E27FC236}">
                  <a16:creationId xmlns:a16="http://schemas.microsoft.com/office/drawing/2014/main" id="{00000000-0008-0000-0500-00001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220"/>
              <a:ext cx="73" cy="9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0" name="Rectangle 26">
              <a:extLst>
                <a:ext uri="{FF2B5EF4-FFF2-40B4-BE49-F238E27FC236}">
                  <a16:creationId xmlns:a16="http://schemas.microsoft.com/office/drawing/2014/main" id="{00000000-0008-0000-0500-00001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220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1" name="Rectangle 27">
              <a:extLst>
                <a:ext uri="{FF2B5EF4-FFF2-40B4-BE49-F238E27FC236}">
                  <a16:creationId xmlns:a16="http://schemas.microsoft.com/office/drawing/2014/main" id="{00000000-0008-0000-0500-00001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220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2" name="Rectangle 28">
              <a:extLst>
                <a:ext uri="{FF2B5EF4-FFF2-40B4-BE49-F238E27FC236}">
                  <a16:creationId xmlns:a16="http://schemas.microsoft.com/office/drawing/2014/main" id="{00000000-0008-0000-0500-00001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220"/>
              <a:ext cx="73" cy="96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3" name="Rectangle 29">
              <a:extLst>
                <a:ext uri="{FF2B5EF4-FFF2-40B4-BE49-F238E27FC236}">
                  <a16:creationId xmlns:a16="http://schemas.microsoft.com/office/drawing/2014/main" id="{00000000-0008-0000-0500-00001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220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4" name="Rectangle 30">
              <a:extLst>
                <a:ext uri="{FF2B5EF4-FFF2-40B4-BE49-F238E27FC236}">
                  <a16:creationId xmlns:a16="http://schemas.microsoft.com/office/drawing/2014/main" id="{00000000-0008-0000-0500-00001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315"/>
              <a:ext cx="73" cy="92"/>
            </a:xfrm>
            <a:prstGeom prst="rect">
              <a:avLst/>
            </a:prstGeom>
            <a:solidFill>
              <a:srgbClr val="D9E1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5" name="Rectangle 31">
              <a:extLst>
                <a:ext uri="{FF2B5EF4-FFF2-40B4-BE49-F238E27FC236}">
                  <a16:creationId xmlns:a16="http://schemas.microsoft.com/office/drawing/2014/main" id="{00000000-0008-0000-0500-00001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315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6" name="Rectangle 32">
              <a:extLst>
                <a:ext uri="{FF2B5EF4-FFF2-40B4-BE49-F238E27FC236}">
                  <a16:creationId xmlns:a16="http://schemas.microsoft.com/office/drawing/2014/main" id="{00000000-0008-0000-0500-00002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315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7" name="Rectangle 33">
              <a:extLst>
                <a:ext uri="{FF2B5EF4-FFF2-40B4-BE49-F238E27FC236}">
                  <a16:creationId xmlns:a16="http://schemas.microsoft.com/office/drawing/2014/main" id="{00000000-0008-0000-0500-00002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315"/>
              <a:ext cx="73" cy="92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8" name="Rectangle 34">
              <a:extLst>
                <a:ext uri="{FF2B5EF4-FFF2-40B4-BE49-F238E27FC236}">
                  <a16:creationId xmlns:a16="http://schemas.microsoft.com/office/drawing/2014/main" id="{00000000-0008-0000-0500-00002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315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79" name="Rectangle 35">
              <a:extLst>
                <a:ext uri="{FF2B5EF4-FFF2-40B4-BE49-F238E27FC236}">
                  <a16:creationId xmlns:a16="http://schemas.microsoft.com/office/drawing/2014/main" id="{00000000-0008-0000-0500-00002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315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0" name="Rectangle 36">
              <a:extLst>
                <a:ext uri="{FF2B5EF4-FFF2-40B4-BE49-F238E27FC236}">
                  <a16:creationId xmlns:a16="http://schemas.microsoft.com/office/drawing/2014/main" id="{00000000-0008-0000-0500-00002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315"/>
              <a:ext cx="73" cy="92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1" name="Rectangle 37">
              <a:extLst>
                <a:ext uri="{FF2B5EF4-FFF2-40B4-BE49-F238E27FC236}">
                  <a16:creationId xmlns:a16="http://schemas.microsoft.com/office/drawing/2014/main" id="{00000000-0008-0000-0500-00002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315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2" name="Rectangle 38">
              <a:extLst>
                <a:ext uri="{FF2B5EF4-FFF2-40B4-BE49-F238E27FC236}">
                  <a16:creationId xmlns:a16="http://schemas.microsoft.com/office/drawing/2014/main" id="{00000000-0008-0000-0500-00002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406"/>
              <a:ext cx="73" cy="96"/>
            </a:xfrm>
            <a:prstGeom prst="rect">
              <a:avLst/>
            </a:prstGeom>
            <a:solidFill>
              <a:srgbClr val="C9C9C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3" name="Rectangle 39">
              <a:extLst>
                <a:ext uri="{FF2B5EF4-FFF2-40B4-BE49-F238E27FC236}">
                  <a16:creationId xmlns:a16="http://schemas.microsoft.com/office/drawing/2014/main" id="{00000000-0008-0000-0500-00002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406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4" name="Rectangle 40">
              <a:extLst>
                <a:ext uri="{FF2B5EF4-FFF2-40B4-BE49-F238E27FC236}">
                  <a16:creationId xmlns:a16="http://schemas.microsoft.com/office/drawing/2014/main" id="{00000000-0008-0000-0500-00002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6"/>
              <a:ext cx="73" cy="9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5" name="Rectangle 41">
              <a:extLst>
                <a:ext uri="{FF2B5EF4-FFF2-40B4-BE49-F238E27FC236}">
                  <a16:creationId xmlns:a16="http://schemas.microsoft.com/office/drawing/2014/main" id="{00000000-0008-0000-0500-00002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406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6" name="Rectangle 42">
              <a:extLst>
                <a:ext uri="{FF2B5EF4-FFF2-40B4-BE49-F238E27FC236}">
                  <a16:creationId xmlns:a16="http://schemas.microsoft.com/office/drawing/2014/main" id="{00000000-0008-0000-0500-00002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406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7" name="Rectangle 43">
              <a:extLst>
                <a:ext uri="{FF2B5EF4-FFF2-40B4-BE49-F238E27FC236}">
                  <a16:creationId xmlns:a16="http://schemas.microsoft.com/office/drawing/2014/main" id="{00000000-0008-0000-0500-00002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406"/>
              <a:ext cx="73" cy="9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8" name="Rectangle 44">
              <a:extLst>
                <a:ext uri="{FF2B5EF4-FFF2-40B4-BE49-F238E27FC236}">
                  <a16:creationId xmlns:a16="http://schemas.microsoft.com/office/drawing/2014/main" id="{00000000-0008-0000-0500-00002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406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89" name="Rectangle 45">
              <a:extLst>
                <a:ext uri="{FF2B5EF4-FFF2-40B4-BE49-F238E27FC236}">
                  <a16:creationId xmlns:a16="http://schemas.microsoft.com/office/drawing/2014/main" id="{00000000-0008-0000-0500-00002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406"/>
              <a:ext cx="73" cy="96"/>
            </a:xfrm>
            <a:prstGeom prst="rect">
              <a:avLst/>
            </a:prstGeom>
            <a:solidFill>
              <a:srgbClr val="B2B2B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0" name="Rectangle 46">
              <a:extLst>
                <a:ext uri="{FF2B5EF4-FFF2-40B4-BE49-F238E27FC236}">
                  <a16:creationId xmlns:a16="http://schemas.microsoft.com/office/drawing/2014/main" id="{00000000-0008-0000-0500-00002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501"/>
              <a:ext cx="73" cy="92"/>
            </a:xfrm>
            <a:prstGeom prst="rect">
              <a:avLst/>
            </a:prstGeom>
            <a:solidFill>
              <a:srgbClr val="D9E1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1" name="Rectangle 47">
              <a:extLst>
                <a:ext uri="{FF2B5EF4-FFF2-40B4-BE49-F238E27FC236}">
                  <a16:creationId xmlns:a16="http://schemas.microsoft.com/office/drawing/2014/main" id="{00000000-0008-0000-0500-00002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501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2" name="Rectangle 48">
              <a:extLst>
                <a:ext uri="{FF2B5EF4-FFF2-40B4-BE49-F238E27FC236}">
                  <a16:creationId xmlns:a16="http://schemas.microsoft.com/office/drawing/2014/main" id="{00000000-0008-0000-0500-00003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501"/>
              <a:ext cx="73" cy="92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3" name="Rectangle 49">
              <a:extLst>
                <a:ext uri="{FF2B5EF4-FFF2-40B4-BE49-F238E27FC236}">
                  <a16:creationId xmlns:a16="http://schemas.microsoft.com/office/drawing/2014/main" id="{00000000-0008-0000-0500-00003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501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4" name="Rectangle 50">
              <a:extLst>
                <a:ext uri="{FF2B5EF4-FFF2-40B4-BE49-F238E27FC236}">
                  <a16:creationId xmlns:a16="http://schemas.microsoft.com/office/drawing/2014/main" id="{00000000-0008-0000-0500-00003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501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5" name="Rectangle 51">
              <a:extLst>
                <a:ext uri="{FF2B5EF4-FFF2-40B4-BE49-F238E27FC236}">
                  <a16:creationId xmlns:a16="http://schemas.microsoft.com/office/drawing/2014/main" id="{00000000-0008-0000-0500-00003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501"/>
              <a:ext cx="73" cy="92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6" name="Rectangle 52">
              <a:extLst>
                <a:ext uri="{FF2B5EF4-FFF2-40B4-BE49-F238E27FC236}">
                  <a16:creationId xmlns:a16="http://schemas.microsoft.com/office/drawing/2014/main" id="{00000000-0008-0000-0500-00003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501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7" name="Rectangle 53">
              <a:extLst>
                <a:ext uri="{FF2B5EF4-FFF2-40B4-BE49-F238E27FC236}">
                  <a16:creationId xmlns:a16="http://schemas.microsoft.com/office/drawing/2014/main" id="{00000000-0008-0000-0500-00003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501"/>
              <a:ext cx="73" cy="92"/>
            </a:xfrm>
            <a:prstGeom prst="rect">
              <a:avLst/>
            </a:prstGeom>
            <a:solidFill>
              <a:srgbClr val="B2B2B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8" name="Rectangle 54">
              <a:extLst>
                <a:ext uri="{FF2B5EF4-FFF2-40B4-BE49-F238E27FC236}">
                  <a16:creationId xmlns:a16="http://schemas.microsoft.com/office/drawing/2014/main" id="{00000000-0008-0000-0500-00003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592"/>
              <a:ext cx="73" cy="96"/>
            </a:xfrm>
            <a:prstGeom prst="rect">
              <a:avLst/>
            </a:prstGeom>
            <a:solidFill>
              <a:srgbClr val="C9C9C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199" name="Rectangle 55">
              <a:extLst>
                <a:ext uri="{FF2B5EF4-FFF2-40B4-BE49-F238E27FC236}">
                  <a16:creationId xmlns:a16="http://schemas.microsoft.com/office/drawing/2014/main" id="{00000000-0008-0000-0500-00003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592"/>
              <a:ext cx="73" cy="9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0" name="Rectangle 56">
              <a:extLst>
                <a:ext uri="{FF2B5EF4-FFF2-40B4-BE49-F238E27FC236}">
                  <a16:creationId xmlns:a16="http://schemas.microsoft.com/office/drawing/2014/main" id="{00000000-0008-0000-0500-00003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592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1" name="Rectangle 57">
              <a:extLst>
                <a:ext uri="{FF2B5EF4-FFF2-40B4-BE49-F238E27FC236}">
                  <a16:creationId xmlns:a16="http://schemas.microsoft.com/office/drawing/2014/main" id="{00000000-0008-0000-0500-00003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592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2" name="Rectangle 58">
              <a:extLst>
                <a:ext uri="{FF2B5EF4-FFF2-40B4-BE49-F238E27FC236}">
                  <a16:creationId xmlns:a16="http://schemas.microsoft.com/office/drawing/2014/main" id="{00000000-0008-0000-0500-00003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592"/>
              <a:ext cx="73" cy="9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3" name="Rectangle 59">
              <a:extLst>
                <a:ext uri="{FF2B5EF4-FFF2-40B4-BE49-F238E27FC236}">
                  <a16:creationId xmlns:a16="http://schemas.microsoft.com/office/drawing/2014/main" id="{00000000-0008-0000-0500-00003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592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4" name="Rectangle 60">
              <a:extLst>
                <a:ext uri="{FF2B5EF4-FFF2-40B4-BE49-F238E27FC236}">
                  <a16:creationId xmlns:a16="http://schemas.microsoft.com/office/drawing/2014/main" id="{00000000-0008-0000-0500-00003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592"/>
              <a:ext cx="73" cy="96"/>
            </a:xfrm>
            <a:prstGeom prst="rect">
              <a:avLst/>
            </a:prstGeom>
            <a:solidFill>
              <a:srgbClr val="B2B2B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5" name="Rectangle 61">
              <a:extLst>
                <a:ext uri="{FF2B5EF4-FFF2-40B4-BE49-F238E27FC236}">
                  <a16:creationId xmlns:a16="http://schemas.microsoft.com/office/drawing/2014/main" id="{00000000-0008-0000-0500-00003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592"/>
              <a:ext cx="73" cy="96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6" name="Rectangle 62">
              <a:extLst>
                <a:ext uri="{FF2B5EF4-FFF2-40B4-BE49-F238E27FC236}">
                  <a16:creationId xmlns:a16="http://schemas.microsoft.com/office/drawing/2014/main" id="{00000000-0008-0000-0500-00003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687"/>
              <a:ext cx="73" cy="92"/>
            </a:xfrm>
            <a:prstGeom prst="rect">
              <a:avLst/>
            </a:prstGeom>
            <a:solidFill>
              <a:srgbClr val="D9E1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7" name="Rectangle 63">
              <a:extLst>
                <a:ext uri="{FF2B5EF4-FFF2-40B4-BE49-F238E27FC236}">
                  <a16:creationId xmlns:a16="http://schemas.microsoft.com/office/drawing/2014/main" id="{00000000-0008-0000-0500-00003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687"/>
              <a:ext cx="73" cy="92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8" name="Rectangle 64">
              <a:extLst>
                <a:ext uri="{FF2B5EF4-FFF2-40B4-BE49-F238E27FC236}">
                  <a16:creationId xmlns:a16="http://schemas.microsoft.com/office/drawing/2014/main" id="{00000000-0008-0000-0500-00004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687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09" name="Rectangle 65">
              <a:extLst>
                <a:ext uri="{FF2B5EF4-FFF2-40B4-BE49-F238E27FC236}">
                  <a16:creationId xmlns:a16="http://schemas.microsoft.com/office/drawing/2014/main" id="{00000000-0008-0000-0500-00004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687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0" name="Rectangle 66">
              <a:extLst>
                <a:ext uri="{FF2B5EF4-FFF2-40B4-BE49-F238E27FC236}">
                  <a16:creationId xmlns:a16="http://schemas.microsoft.com/office/drawing/2014/main" id="{00000000-0008-0000-0500-00004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687"/>
              <a:ext cx="73" cy="92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1" name="Rectangle 67">
              <a:extLst>
                <a:ext uri="{FF2B5EF4-FFF2-40B4-BE49-F238E27FC236}">
                  <a16:creationId xmlns:a16="http://schemas.microsoft.com/office/drawing/2014/main" id="{00000000-0008-0000-0500-00004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687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2" name="Rectangle 68">
              <a:extLst>
                <a:ext uri="{FF2B5EF4-FFF2-40B4-BE49-F238E27FC236}">
                  <a16:creationId xmlns:a16="http://schemas.microsoft.com/office/drawing/2014/main" id="{00000000-0008-0000-0500-00004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687"/>
              <a:ext cx="73" cy="92"/>
            </a:xfrm>
            <a:prstGeom prst="rect">
              <a:avLst/>
            </a:prstGeom>
            <a:solidFill>
              <a:srgbClr val="B2B2B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3" name="Rectangle 69">
              <a:extLst>
                <a:ext uri="{FF2B5EF4-FFF2-40B4-BE49-F238E27FC236}">
                  <a16:creationId xmlns:a16="http://schemas.microsoft.com/office/drawing/2014/main" id="{00000000-0008-0000-0500-00004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687"/>
              <a:ext cx="73" cy="92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4" name="Rectangle 70">
              <a:extLst>
                <a:ext uri="{FF2B5EF4-FFF2-40B4-BE49-F238E27FC236}">
                  <a16:creationId xmlns:a16="http://schemas.microsoft.com/office/drawing/2014/main" id="{00000000-0008-0000-0500-00004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778"/>
              <a:ext cx="73" cy="96"/>
            </a:xfrm>
            <a:prstGeom prst="rect">
              <a:avLst/>
            </a:prstGeom>
            <a:solidFill>
              <a:srgbClr val="C9C9C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5" name="Rectangle 71">
              <a:extLst>
                <a:ext uri="{FF2B5EF4-FFF2-40B4-BE49-F238E27FC236}">
                  <a16:creationId xmlns:a16="http://schemas.microsoft.com/office/drawing/2014/main" id="{00000000-0008-0000-0500-00004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778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6" name="Rectangle 72">
              <a:extLst>
                <a:ext uri="{FF2B5EF4-FFF2-40B4-BE49-F238E27FC236}">
                  <a16:creationId xmlns:a16="http://schemas.microsoft.com/office/drawing/2014/main" id="{00000000-0008-0000-0500-00004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778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7" name="Rectangle 73">
              <a:extLst>
                <a:ext uri="{FF2B5EF4-FFF2-40B4-BE49-F238E27FC236}">
                  <a16:creationId xmlns:a16="http://schemas.microsoft.com/office/drawing/2014/main" id="{00000000-0008-0000-0500-00004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778"/>
              <a:ext cx="73" cy="9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8" name="Rectangle 74">
              <a:extLst>
                <a:ext uri="{FF2B5EF4-FFF2-40B4-BE49-F238E27FC236}">
                  <a16:creationId xmlns:a16="http://schemas.microsoft.com/office/drawing/2014/main" id="{00000000-0008-0000-0500-00004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778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19" name="Rectangle 75">
              <a:extLst>
                <a:ext uri="{FF2B5EF4-FFF2-40B4-BE49-F238E27FC236}">
                  <a16:creationId xmlns:a16="http://schemas.microsoft.com/office/drawing/2014/main" id="{00000000-0008-0000-0500-00004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778"/>
              <a:ext cx="73" cy="9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0" name="Rectangle 76">
              <a:extLst>
                <a:ext uri="{FF2B5EF4-FFF2-40B4-BE49-F238E27FC236}">
                  <a16:creationId xmlns:a16="http://schemas.microsoft.com/office/drawing/2014/main" id="{00000000-0008-0000-0500-00004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778"/>
              <a:ext cx="73" cy="96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1" name="Rectangle 77">
              <a:extLst>
                <a:ext uri="{FF2B5EF4-FFF2-40B4-BE49-F238E27FC236}">
                  <a16:creationId xmlns:a16="http://schemas.microsoft.com/office/drawing/2014/main" id="{00000000-0008-0000-0500-00004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778"/>
              <a:ext cx="73" cy="9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2" name="Rectangle 78">
              <a:extLst>
                <a:ext uri="{FF2B5EF4-FFF2-40B4-BE49-F238E27FC236}">
                  <a16:creationId xmlns:a16="http://schemas.microsoft.com/office/drawing/2014/main" id="{00000000-0008-0000-0500-00004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873"/>
              <a:ext cx="73" cy="92"/>
            </a:xfrm>
            <a:prstGeom prst="rect">
              <a:avLst/>
            </a:prstGeom>
            <a:solidFill>
              <a:srgbClr val="D9E1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3" name="Rectangle 79">
              <a:extLst>
                <a:ext uri="{FF2B5EF4-FFF2-40B4-BE49-F238E27FC236}">
                  <a16:creationId xmlns:a16="http://schemas.microsoft.com/office/drawing/2014/main" id="{00000000-0008-0000-0500-00004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873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4" name="Rectangle 80">
              <a:extLst>
                <a:ext uri="{FF2B5EF4-FFF2-40B4-BE49-F238E27FC236}">
                  <a16:creationId xmlns:a16="http://schemas.microsoft.com/office/drawing/2014/main" id="{00000000-0008-0000-0500-00005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873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5" name="Rectangle 81">
              <a:extLst>
                <a:ext uri="{FF2B5EF4-FFF2-40B4-BE49-F238E27FC236}">
                  <a16:creationId xmlns:a16="http://schemas.microsoft.com/office/drawing/2014/main" id="{00000000-0008-0000-0500-00005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873"/>
              <a:ext cx="73" cy="92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6" name="Rectangle 82">
              <a:extLst>
                <a:ext uri="{FF2B5EF4-FFF2-40B4-BE49-F238E27FC236}">
                  <a16:creationId xmlns:a16="http://schemas.microsoft.com/office/drawing/2014/main" id="{00000000-0008-0000-0500-00005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873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7" name="Rectangle 83">
              <a:extLst>
                <a:ext uri="{FF2B5EF4-FFF2-40B4-BE49-F238E27FC236}">
                  <a16:creationId xmlns:a16="http://schemas.microsoft.com/office/drawing/2014/main" id="{00000000-0008-0000-0500-00005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873"/>
              <a:ext cx="73" cy="92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8" name="Rectangle 84">
              <a:extLst>
                <a:ext uri="{FF2B5EF4-FFF2-40B4-BE49-F238E27FC236}">
                  <a16:creationId xmlns:a16="http://schemas.microsoft.com/office/drawing/2014/main" id="{00000000-0008-0000-0500-00005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873"/>
              <a:ext cx="73" cy="92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29" name="Rectangle 85">
              <a:extLst>
                <a:ext uri="{FF2B5EF4-FFF2-40B4-BE49-F238E27FC236}">
                  <a16:creationId xmlns:a16="http://schemas.microsoft.com/office/drawing/2014/main" id="{00000000-0008-0000-0500-00005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873"/>
              <a:ext cx="73" cy="92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0" name="Rectangle 86">
              <a:extLst>
                <a:ext uri="{FF2B5EF4-FFF2-40B4-BE49-F238E27FC236}">
                  <a16:creationId xmlns:a16="http://schemas.microsoft.com/office/drawing/2014/main" id="{00000000-0008-0000-0500-00005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964"/>
              <a:ext cx="73" cy="25"/>
            </a:xfrm>
            <a:prstGeom prst="rect">
              <a:avLst/>
            </a:prstGeom>
            <a:solidFill>
              <a:srgbClr val="C9C9C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1" name="Rectangle 87">
              <a:extLst>
                <a:ext uri="{FF2B5EF4-FFF2-40B4-BE49-F238E27FC236}">
                  <a16:creationId xmlns:a16="http://schemas.microsoft.com/office/drawing/2014/main" id="{00000000-0008-0000-0500-00005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964"/>
              <a:ext cx="73" cy="25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2" name="Rectangle 88">
              <a:extLst>
                <a:ext uri="{FF2B5EF4-FFF2-40B4-BE49-F238E27FC236}">
                  <a16:creationId xmlns:a16="http://schemas.microsoft.com/office/drawing/2014/main" id="{00000000-0008-0000-0500-00005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964"/>
              <a:ext cx="73" cy="25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3" name="Rectangle 89">
              <a:extLst>
                <a:ext uri="{FF2B5EF4-FFF2-40B4-BE49-F238E27FC236}">
                  <a16:creationId xmlns:a16="http://schemas.microsoft.com/office/drawing/2014/main" id="{00000000-0008-0000-0500-00005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964"/>
              <a:ext cx="73" cy="25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4" name="Rectangle 90">
              <a:extLst>
                <a:ext uri="{FF2B5EF4-FFF2-40B4-BE49-F238E27FC236}">
                  <a16:creationId xmlns:a16="http://schemas.microsoft.com/office/drawing/2014/main" id="{00000000-0008-0000-0500-00005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964"/>
              <a:ext cx="73" cy="25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5" name="Rectangle 91">
              <a:extLst>
                <a:ext uri="{FF2B5EF4-FFF2-40B4-BE49-F238E27FC236}">
                  <a16:creationId xmlns:a16="http://schemas.microsoft.com/office/drawing/2014/main" id="{00000000-0008-0000-0500-00005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964"/>
              <a:ext cx="73" cy="25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6" name="Rectangle 92">
              <a:extLst>
                <a:ext uri="{FF2B5EF4-FFF2-40B4-BE49-F238E27FC236}">
                  <a16:creationId xmlns:a16="http://schemas.microsoft.com/office/drawing/2014/main" id="{00000000-0008-0000-0500-00005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964"/>
              <a:ext cx="73" cy="25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7" name="Rectangle 93">
              <a:extLst>
                <a:ext uri="{FF2B5EF4-FFF2-40B4-BE49-F238E27FC236}">
                  <a16:creationId xmlns:a16="http://schemas.microsoft.com/office/drawing/2014/main" id="{00000000-0008-0000-0500-00005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964"/>
              <a:ext cx="73" cy="25"/>
            </a:xfrm>
            <a:prstGeom prst="rect">
              <a:avLst/>
            </a:prstGeom>
            <a:solidFill>
              <a:srgbClr val="B2B2B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238" name="Rectangle 94">
              <a:extLst>
                <a:ext uri="{FF2B5EF4-FFF2-40B4-BE49-F238E27FC236}">
                  <a16:creationId xmlns:a16="http://schemas.microsoft.com/office/drawing/2014/main" id="{00000000-0008-0000-0500-00005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9" y="37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   짜</a:t>
              </a:r>
            </a:p>
          </xdr:txBody>
        </xdr:sp>
        <xdr:sp macro="" textlink="">
          <xdr:nvSpPr>
            <xdr:cNvPr id="6239" name="Rectangle 95">
              <a:extLst>
                <a:ext uri="{FF2B5EF4-FFF2-40B4-BE49-F238E27FC236}">
                  <a16:creationId xmlns:a16="http://schemas.microsoft.com/office/drawing/2014/main" id="{00000000-0008-0000-0500-00005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6" y="37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</a:t>
              </a:r>
            </a:p>
          </xdr:txBody>
        </xdr:sp>
        <xdr:sp macro="" textlink="">
          <xdr:nvSpPr>
            <xdr:cNvPr id="6240" name="Rectangle 96">
              <a:extLst>
                <a:ext uri="{FF2B5EF4-FFF2-40B4-BE49-F238E27FC236}">
                  <a16:creationId xmlns:a16="http://schemas.microsoft.com/office/drawing/2014/main" id="{00000000-0008-0000-0500-00006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8" y="37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</a:t>
              </a:r>
            </a:p>
          </xdr:txBody>
        </xdr:sp>
        <xdr:sp macro="" textlink="">
          <xdr:nvSpPr>
            <xdr:cNvPr id="6241" name="Rectangle 97">
              <a:extLst>
                <a:ext uri="{FF2B5EF4-FFF2-40B4-BE49-F238E27FC236}">
                  <a16:creationId xmlns:a16="http://schemas.microsoft.com/office/drawing/2014/main" id="{00000000-0008-0000-0500-00006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0" y="37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1/3</a:t>
              </a:r>
            </a:p>
          </xdr:txBody>
        </xdr:sp>
        <xdr:sp macro="" textlink="">
          <xdr:nvSpPr>
            <xdr:cNvPr id="6242" name="Rectangle 98">
              <a:extLst>
                <a:ext uri="{FF2B5EF4-FFF2-40B4-BE49-F238E27FC236}">
                  <a16:creationId xmlns:a16="http://schemas.microsoft.com/office/drawing/2014/main" id="{00000000-0008-0000-0500-00006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" y="37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1/4</a:t>
              </a:r>
            </a:p>
          </xdr:txBody>
        </xdr:sp>
        <xdr:sp macro="" textlink="">
          <xdr:nvSpPr>
            <xdr:cNvPr id="6243" name="Rectangle 99">
              <a:extLst>
                <a:ext uri="{FF2B5EF4-FFF2-40B4-BE49-F238E27FC236}">
                  <a16:creationId xmlns:a16="http://schemas.microsoft.com/office/drawing/2014/main" id="{00000000-0008-0000-0500-00006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60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   일</a:t>
              </a:r>
            </a:p>
          </xdr:txBody>
        </xdr:sp>
        <xdr:sp macro="" textlink="">
          <xdr:nvSpPr>
            <xdr:cNvPr id="6244" name="Rectangle 100">
              <a:extLst>
                <a:ext uri="{FF2B5EF4-FFF2-40B4-BE49-F238E27FC236}">
                  <a16:creationId xmlns:a16="http://schemas.microsoft.com/office/drawing/2014/main" id="{00000000-0008-0000-0500-00006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2" y="60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</a:t>
              </a:r>
            </a:p>
          </xdr:txBody>
        </xdr:sp>
        <xdr:sp macro="" textlink="">
          <xdr:nvSpPr>
            <xdr:cNvPr id="6245" name="Rectangle 101">
              <a:extLst>
                <a:ext uri="{FF2B5EF4-FFF2-40B4-BE49-F238E27FC236}">
                  <a16:creationId xmlns:a16="http://schemas.microsoft.com/office/drawing/2014/main" id="{00000000-0008-0000-0500-00006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4" y="60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</a:t>
              </a:r>
            </a:p>
          </xdr:txBody>
        </xdr:sp>
        <xdr:sp macro="" textlink="">
          <xdr:nvSpPr>
            <xdr:cNvPr id="6246" name="Rectangle 102">
              <a:extLst>
                <a:ext uri="{FF2B5EF4-FFF2-40B4-BE49-F238E27FC236}">
                  <a16:creationId xmlns:a16="http://schemas.microsoft.com/office/drawing/2014/main" id="{00000000-0008-0000-0500-00006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6" y="60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</a:t>
              </a:r>
            </a:p>
          </xdr:txBody>
        </xdr:sp>
        <xdr:sp macro="" textlink="">
          <xdr:nvSpPr>
            <xdr:cNvPr id="6247" name="Rectangle 103">
              <a:extLst>
                <a:ext uri="{FF2B5EF4-FFF2-40B4-BE49-F238E27FC236}">
                  <a16:creationId xmlns:a16="http://schemas.microsoft.com/office/drawing/2014/main" id="{00000000-0008-0000-0500-00006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8" y="60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</a:t>
              </a:r>
            </a:p>
          </xdr:txBody>
        </xdr:sp>
        <xdr:sp macro="" textlink="">
          <xdr:nvSpPr>
            <xdr:cNvPr id="6248" name="Rectangle 104">
              <a:extLst>
                <a:ext uri="{FF2B5EF4-FFF2-40B4-BE49-F238E27FC236}">
                  <a16:creationId xmlns:a16="http://schemas.microsoft.com/office/drawing/2014/main" id="{00000000-0008-0000-0500-00006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8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</a:t>
              </a:r>
            </a:p>
          </xdr:txBody>
        </xdr:sp>
        <xdr:sp macro="" textlink="">
          <xdr:nvSpPr>
            <xdr:cNvPr id="6249" name="Rectangle 105">
              <a:extLst>
                <a:ext uri="{FF2B5EF4-FFF2-40B4-BE49-F238E27FC236}">
                  <a16:creationId xmlns:a16="http://schemas.microsoft.com/office/drawing/2014/main" id="{00000000-0008-0000-0500-00006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5" y="84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신정</a:t>
              </a:r>
            </a:p>
          </xdr:txBody>
        </xdr:sp>
        <xdr:sp macro="" textlink="">
          <xdr:nvSpPr>
            <xdr:cNvPr id="6250" name="Rectangle 106">
              <a:extLst>
                <a:ext uri="{FF2B5EF4-FFF2-40B4-BE49-F238E27FC236}">
                  <a16:creationId xmlns:a16="http://schemas.microsoft.com/office/drawing/2014/main" id="{00000000-0008-0000-0500-00006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" y="108"/>
              <a:ext cx="59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근무형태</a:t>
              </a:r>
            </a:p>
          </xdr:txBody>
        </xdr:sp>
        <xdr:sp macro="" textlink="">
          <xdr:nvSpPr>
            <xdr:cNvPr id="6251" name="Rectangle 107">
              <a:extLst>
                <a:ext uri="{FF2B5EF4-FFF2-40B4-BE49-F238E27FC236}">
                  <a16:creationId xmlns:a16="http://schemas.microsoft.com/office/drawing/2014/main" id="{00000000-0008-0000-0500-00006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5" y="108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당직</a:t>
              </a:r>
            </a:p>
          </xdr:txBody>
        </xdr:sp>
        <xdr:sp macro="" textlink="">
          <xdr:nvSpPr>
            <xdr:cNvPr id="6252" name="Rectangle 108">
              <a:extLst>
                <a:ext uri="{FF2B5EF4-FFF2-40B4-BE49-F238E27FC236}">
                  <a16:creationId xmlns:a16="http://schemas.microsoft.com/office/drawing/2014/main" id="{00000000-0008-0000-0500-00006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7" y="108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253" name="Rectangle 109">
              <a:extLst>
                <a:ext uri="{FF2B5EF4-FFF2-40B4-BE49-F238E27FC236}">
                  <a16:creationId xmlns:a16="http://schemas.microsoft.com/office/drawing/2014/main" id="{00000000-0008-0000-0500-00006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9" y="108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휴무</a:t>
              </a:r>
            </a:p>
          </xdr:txBody>
        </xdr:sp>
        <xdr:sp macro="" textlink="">
          <xdr:nvSpPr>
            <xdr:cNvPr id="6254" name="Rectangle 110">
              <a:extLst>
                <a:ext uri="{FF2B5EF4-FFF2-40B4-BE49-F238E27FC236}">
                  <a16:creationId xmlns:a16="http://schemas.microsoft.com/office/drawing/2014/main" id="{00000000-0008-0000-0500-00006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1" y="108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당직</a:t>
              </a:r>
            </a:p>
          </xdr:txBody>
        </xdr:sp>
        <xdr:sp macro="" textlink="">
          <xdr:nvSpPr>
            <xdr:cNvPr id="6255" name="Rectangle 111">
              <a:extLst>
                <a:ext uri="{FF2B5EF4-FFF2-40B4-BE49-F238E27FC236}">
                  <a16:creationId xmlns:a16="http://schemas.microsoft.com/office/drawing/2014/main" id="{00000000-0008-0000-0500-00006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13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지원동</a:t>
              </a:r>
            </a:p>
          </xdr:txBody>
        </xdr:sp>
        <xdr:sp macro="" textlink="">
          <xdr:nvSpPr>
            <xdr:cNvPr id="6256" name="Rectangle 112">
              <a:extLst>
                <a:ext uri="{FF2B5EF4-FFF2-40B4-BE49-F238E27FC236}">
                  <a16:creationId xmlns:a16="http://schemas.microsoft.com/office/drawing/2014/main" id="{00000000-0008-0000-0500-00007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13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257" name="Rectangle 113">
              <a:extLst>
                <a:ext uri="{FF2B5EF4-FFF2-40B4-BE49-F238E27FC236}">
                  <a16:creationId xmlns:a16="http://schemas.microsoft.com/office/drawing/2014/main" id="{00000000-0008-0000-0500-00007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13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58" name="Rectangle 114">
              <a:extLst>
                <a:ext uri="{FF2B5EF4-FFF2-40B4-BE49-F238E27FC236}">
                  <a16:creationId xmlns:a16="http://schemas.microsoft.com/office/drawing/2014/main" id="{00000000-0008-0000-0500-00007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13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59" name="Rectangle 115">
              <a:extLst>
                <a:ext uri="{FF2B5EF4-FFF2-40B4-BE49-F238E27FC236}">
                  <a16:creationId xmlns:a16="http://schemas.microsoft.com/office/drawing/2014/main" id="{00000000-0008-0000-0500-00007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13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260" name="Rectangle 116">
              <a:extLst>
                <a:ext uri="{FF2B5EF4-FFF2-40B4-BE49-F238E27FC236}">
                  <a16:creationId xmlns:a16="http://schemas.microsoft.com/office/drawing/2014/main" id="{00000000-0008-0000-0500-00007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15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글로벌</a:t>
              </a:r>
            </a:p>
          </xdr:txBody>
        </xdr:sp>
        <xdr:sp macro="" textlink="">
          <xdr:nvSpPr>
            <xdr:cNvPr id="6261" name="Rectangle 117">
              <a:extLst>
                <a:ext uri="{FF2B5EF4-FFF2-40B4-BE49-F238E27FC236}">
                  <a16:creationId xmlns:a16="http://schemas.microsoft.com/office/drawing/2014/main" id="{00000000-0008-0000-0500-00007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15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262" name="Rectangle 118">
              <a:extLst>
                <a:ext uri="{FF2B5EF4-FFF2-40B4-BE49-F238E27FC236}">
                  <a16:creationId xmlns:a16="http://schemas.microsoft.com/office/drawing/2014/main" id="{00000000-0008-0000-0500-00007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154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63" name="Rectangle 119">
              <a:extLst>
                <a:ext uri="{FF2B5EF4-FFF2-40B4-BE49-F238E27FC236}">
                  <a16:creationId xmlns:a16="http://schemas.microsoft.com/office/drawing/2014/main" id="{00000000-0008-0000-0500-00007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154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64" name="Rectangle 120">
              <a:extLst>
                <a:ext uri="{FF2B5EF4-FFF2-40B4-BE49-F238E27FC236}">
                  <a16:creationId xmlns:a16="http://schemas.microsoft.com/office/drawing/2014/main" id="{00000000-0008-0000-0500-00007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15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265" name="Rectangle 121">
              <a:extLst>
                <a:ext uri="{FF2B5EF4-FFF2-40B4-BE49-F238E27FC236}">
                  <a16:creationId xmlns:a16="http://schemas.microsoft.com/office/drawing/2014/main" id="{00000000-0008-0000-0500-00007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17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외곽-1</a:t>
              </a:r>
            </a:p>
          </xdr:txBody>
        </xdr:sp>
        <xdr:sp macro="" textlink="">
          <xdr:nvSpPr>
            <xdr:cNvPr id="6266" name="Rectangle 122">
              <a:extLst>
                <a:ext uri="{FF2B5EF4-FFF2-40B4-BE49-F238E27FC236}">
                  <a16:creationId xmlns:a16="http://schemas.microsoft.com/office/drawing/2014/main" id="{00000000-0008-0000-0500-00007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17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267" name="Rectangle 123">
              <a:extLst>
                <a:ext uri="{FF2B5EF4-FFF2-40B4-BE49-F238E27FC236}">
                  <a16:creationId xmlns:a16="http://schemas.microsoft.com/office/drawing/2014/main" id="{00000000-0008-0000-0500-00007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176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68" name="Rectangle 124">
              <a:extLst>
                <a:ext uri="{FF2B5EF4-FFF2-40B4-BE49-F238E27FC236}">
                  <a16:creationId xmlns:a16="http://schemas.microsoft.com/office/drawing/2014/main" id="{00000000-0008-0000-0500-00007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176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69" name="Rectangle 125">
              <a:extLst>
                <a:ext uri="{FF2B5EF4-FFF2-40B4-BE49-F238E27FC236}">
                  <a16:creationId xmlns:a16="http://schemas.microsoft.com/office/drawing/2014/main" id="{00000000-0008-0000-0500-00007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17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270" name="Rectangle 126">
              <a:extLst>
                <a:ext uri="{FF2B5EF4-FFF2-40B4-BE49-F238E27FC236}">
                  <a16:creationId xmlns:a16="http://schemas.microsoft.com/office/drawing/2014/main" id="{00000000-0008-0000-0500-00007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1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외곽-2</a:t>
              </a:r>
            </a:p>
          </xdr:txBody>
        </xdr:sp>
        <xdr:sp macro="" textlink="">
          <xdr:nvSpPr>
            <xdr:cNvPr id="6271" name="Rectangle 127">
              <a:extLst>
                <a:ext uri="{FF2B5EF4-FFF2-40B4-BE49-F238E27FC236}">
                  <a16:creationId xmlns:a16="http://schemas.microsoft.com/office/drawing/2014/main" id="{00000000-0008-0000-0500-00007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1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272" name="Rectangle 128">
              <a:extLst>
                <a:ext uri="{FF2B5EF4-FFF2-40B4-BE49-F238E27FC236}">
                  <a16:creationId xmlns:a16="http://schemas.microsoft.com/office/drawing/2014/main" id="{00000000-0008-0000-0500-00008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19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73" name="Rectangle 129">
              <a:extLst>
                <a:ext uri="{FF2B5EF4-FFF2-40B4-BE49-F238E27FC236}">
                  <a16:creationId xmlns:a16="http://schemas.microsoft.com/office/drawing/2014/main" id="{00000000-0008-0000-0500-00008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19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274" name="Rectangle 130">
              <a:extLst>
                <a:ext uri="{FF2B5EF4-FFF2-40B4-BE49-F238E27FC236}">
                  <a16:creationId xmlns:a16="http://schemas.microsoft.com/office/drawing/2014/main" id="{00000000-0008-0000-0500-00008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1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275" name="Rectangle 131">
              <a:extLst>
                <a:ext uri="{FF2B5EF4-FFF2-40B4-BE49-F238E27FC236}">
                  <a16:creationId xmlns:a16="http://schemas.microsoft.com/office/drawing/2014/main" id="{00000000-0008-0000-0500-00008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224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   짜</a:t>
              </a:r>
            </a:p>
          </xdr:txBody>
        </xdr:sp>
        <xdr:sp macro="" textlink="">
          <xdr:nvSpPr>
            <xdr:cNvPr id="6276" name="Rectangle 132">
              <a:extLst>
                <a:ext uri="{FF2B5EF4-FFF2-40B4-BE49-F238E27FC236}">
                  <a16:creationId xmlns:a16="http://schemas.microsoft.com/office/drawing/2014/main" id="{00000000-0008-0000-0500-00008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" y="224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1/5</a:t>
              </a:r>
            </a:p>
          </xdr:txBody>
        </xdr:sp>
        <xdr:sp macro="" textlink="">
          <xdr:nvSpPr>
            <xdr:cNvPr id="6277" name="Rectangle 133">
              <a:extLst>
                <a:ext uri="{FF2B5EF4-FFF2-40B4-BE49-F238E27FC236}">
                  <a16:creationId xmlns:a16="http://schemas.microsoft.com/office/drawing/2014/main" id="{00000000-0008-0000-0500-00008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4" y="224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1/6</a:t>
              </a:r>
            </a:p>
          </xdr:txBody>
        </xdr:sp>
        <xdr:sp macro="" textlink="">
          <xdr:nvSpPr>
            <xdr:cNvPr id="6278" name="Rectangle 134">
              <a:extLst>
                <a:ext uri="{FF2B5EF4-FFF2-40B4-BE49-F238E27FC236}">
                  <a16:creationId xmlns:a16="http://schemas.microsoft.com/office/drawing/2014/main" id="{00000000-0008-0000-0500-00008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6" y="224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1/7</a:t>
              </a:r>
            </a:p>
          </xdr:txBody>
        </xdr:sp>
        <xdr:sp macro="" textlink="">
          <xdr:nvSpPr>
            <xdr:cNvPr id="6279" name="Rectangle 135">
              <a:extLst>
                <a:ext uri="{FF2B5EF4-FFF2-40B4-BE49-F238E27FC236}">
                  <a16:creationId xmlns:a16="http://schemas.microsoft.com/office/drawing/2014/main" id="{00000000-0008-0000-0500-00008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6" y="224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1/8</a:t>
              </a:r>
            </a:p>
          </xdr:txBody>
        </xdr:sp>
        <xdr:sp macro="" textlink="">
          <xdr:nvSpPr>
            <xdr:cNvPr id="6280" name="Rectangle 136">
              <a:extLst>
                <a:ext uri="{FF2B5EF4-FFF2-40B4-BE49-F238E27FC236}">
                  <a16:creationId xmlns:a16="http://schemas.microsoft.com/office/drawing/2014/main" id="{00000000-0008-0000-0500-00008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8" y="224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1/9</a:t>
              </a:r>
            </a:p>
          </xdr:txBody>
        </xdr:sp>
        <xdr:sp macro="" textlink="">
          <xdr:nvSpPr>
            <xdr:cNvPr id="6281" name="Rectangle 137">
              <a:extLst>
                <a:ext uri="{FF2B5EF4-FFF2-40B4-BE49-F238E27FC236}">
                  <a16:creationId xmlns:a16="http://schemas.microsoft.com/office/drawing/2014/main" id="{00000000-0008-0000-0500-00008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7" y="22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1/10</a:t>
              </a:r>
            </a:p>
          </xdr:txBody>
        </xdr:sp>
        <xdr:sp macro="" textlink="">
          <xdr:nvSpPr>
            <xdr:cNvPr id="6282" name="Rectangle 138">
              <a:extLst>
                <a:ext uri="{FF2B5EF4-FFF2-40B4-BE49-F238E27FC236}">
                  <a16:creationId xmlns:a16="http://schemas.microsoft.com/office/drawing/2014/main" id="{00000000-0008-0000-0500-00008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9" y="22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1/11</a:t>
              </a:r>
            </a:p>
          </xdr:txBody>
        </xdr:sp>
        <xdr:sp macro="" textlink="">
          <xdr:nvSpPr>
            <xdr:cNvPr id="6283" name="Rectangle 139">
              <a:extLst>
                <a:ext uri="{FF2B5EF4-FFF2-40B4-BE49-F238E27FC236}">
                  <a16:creationId xmlns:a16="http://schemas.microsoft.com/office/drawing/2014/main" id="{00000000-0008-0000-0500-00008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247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   일</a:t>
              </a:r>
            </a:p>
          </xdr:txBody>
        </xdr:sp>
        <xdr:sp macro="" textlink="">
          <xdr:nvSpPr>
            <xdr:cNvPr id="6284" name="Rectangle 140">
              <a:extLst>
                <a:ext uri="{FF2B5EF4-FFF2-40B4-BE49-F238E27FC236}">
                  <a16:creationId xmlns:a16="http://schemas.microsoft.com/office/drawing/2014/main" id="{00000000-0008-0000-0500-00008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8" y="247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</a:t>
              </a:r>
            </a:p>
          </xdr:txBody>
        </xdr:sp>
        <xdr:sp macro="" textlink="">
          <xdr:nvSpPr>
            <xdr:cNvPr id="6285" name="Rectangle 141">
              <a:extLst>
                <a:ext uri="{FF2B5EF4-FFF2-40B4-BE49-F238E27FC236}">
                  <a16:creationId xmlns:a16="http://schemas.microsoft.com/office/drawing/2014/main" id="{00000000-0008-0000-0500-00008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0" y="247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</a:t>
              </a:r>
            </a:p>
          </xdr:txBody>
        </xdr:sp>
        <xdr:sp macro="" textlink="">
          <xdr:nvSpPr>
            <xdr:cNvPr id="6286" name="Rectangle 142">
              <a:extLst>
                <a:ext uri="{FF2B5EF4-FFF2-40B4-BE49-F238E27FC236}">
                  <a16:creationId xmlns:a16="http://schemas.microsoft.com/office/drawing/2014/main" id="{00000000-0008-0000-0500-00008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0" y="247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</a:t>
              </a:r>
            </a:p>
          </xdr:txBody>
        </xdr:sp>
        <xdr:sp macro="" textlink="">
          <xdr:nvSpPr>
            <xdr:cNvPr id="6287" name="Rectangle 143">
              <a:extLst>
                <a:ext uri="{FF2B5EF4-FFF2-40B4-BE49-F238E27FC236}">
                  <a16:creationId xmlns:a16="http://schemas.microsoft.com/office/drawing/2014/main" id="{00000000-0008-0000-0500-00008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2" y="247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</a:t>
              </a:r>
            </a:p>
          </xdr:txBody>
        </xdr:sp>
        <xdr:sp macro="" textlink="">
          <xdr:nvSpPr>
            <xdr:cNvPr id="6288" name="Rectangle 144">
              <a:extLst>
                <a:ext uri="{FF2B5EF4-FFF2-40B4-BE49-F238E27FC236}">
                  <a16:creationId xmlns:a16="http://schemas.microsoft.com/office/drawing/2014/main" id="{00000000-0008-0000-0500-00009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4" y="247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</a:t>
              </a:r>
            </a:p>
          </xdr:txBody>
        </xdr:sp>
        <xdr:sp macro="" textlink="">
          <xdr:nvSpPr>
            <xdr:cNvPr id="6289" name="Rectangle 145">
              <a:extLst>
                <a:ext uri="{FF2B5EF4-FFF2-40B4-BE49-F238E27FC236}">
                  <a16:creationId xmlns:a16="http://schemas.microsoft.com/office/drawing/2014/main" id="{00000000-0008-0000-0500-00009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6" y="247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</a:t>
              </a:r>
            </a:p>
          </xdr:txBody>
        </xdr:sp>
        <xdr:sp macro="" textlink="">
          <xdr:nvSpPr>
            <xdr:cNvPr id="6290" name="Rectangle 146">
              <a:extLst>
                <a:ext uri="{FF2B5EF4-FFF2-40B4-BE49-F238E27FC236}">
                  <a16:creationId xmlns:a16="http://schemas.microsoft.com/office/drawing/2014/main" id="{00000000-0008-0000-0500-00009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8" y="247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</a:t>
              </a:r>
            </a:p>
          </xdr:txBody>
        </xdr:sp>
        <xdr:sp macro="" textlink="">
          <xdr:nvSpPr>
            <xdr:cNvPr id="6291" name="Rectangle 147">
              <a:extLst>
                <a:ext uri="{FF2B5EF4-FFF2-40B4-BE49-F238E27FC236}">
                  <a16:creationId xmlns:a16="http://schemas.microsoft.com/office/drawing/2014/main" id="{00000000-0008-0000-0500-00009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271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</a:t>
              </a:r>
            </a:p>
          </xdr:txBody>
        </xdr:sp>
        <xdr:sp macro="" textlink="">
          <xdr:nvSpPr>
            <xdr:cNvPr id="6292" name="Rectangle 148">
              <a:extLst>
                <a:ext uri="{FF2B5EF4-FFF2-40B4-BE49-F238E27FC236}">
                  <a16:creationId xmlns:a16="http://schemas.microsoft.com/office/drawing/2014/main" id="{00000000-0008-0000-0500-00009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" y="293"/>
              <a:ext cx="59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근무형태</a:t>
              </a:r>
            </a:p>
          </xdr:txBody>
        </xdr:sp>
        <xdr:sp macro="" textlink="">
          <xdr:nvSpPr>
            <xdr:cNvPr id="6293" name="Rectangle 149">
              <a:extLst>
                <a:ext uri="{FF2B5EF4-FFF2-40B4-BE49-F238E27FC236}">
                  <a16:creationId xmlns:a16="http://schemas.microsoft.com/office/drawing/2014/main" id="{00000000-0008-0000-0500-00009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" y="293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294" name="Rectangle 150">
              <a:extLst>
                <a:ext uri="{FF2B5EF4-FFF2-40B4-BE49-F238E27FC236}">
                  <a16:creationId xmlns:a16="http://schemas.microsoft.com/office/drawing/2014/main" id="{00000000-0008-0000-0500-00009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2" y="293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295" name="Rectangle 151">
              <a:extLst>
                <a:ext uri="{FF2B5EF4-FFF2-40B4-BE49-F238E27FC236}">
                  <a16:creationId xmlns:a16="http://schemas.microsoft.com/office/drawing/2014/main" id="{00000000-0008-0000-0500-00009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4" y="293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야간</a:t>
              </a:r>
            </a:p>
          </xdr:txBody>
        </xdr:sp>
        <xdr:sp macro="" textlink="">
          <xdr:nvSpPr>
            <xdr:cNvPr id="6296" name="Rectangle 152">
              <a:extLst>
                <a:ext uri="{FF2B5EF4-FFF2-40B4-BE49-F238E27FC236}">
                  <a16:creationId xmlns:a16="http://schemas.microsoft.com/office/drawing/2014/main" id="{00000000-0008-0000-0500-00009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5" y="293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297" name="Rectangle 153">
              <a:extLst>
                <a:ext uri="{FF2B5EF4-FFF2-40B4-BE49-F238E27FC236}">
                  <a16:creationId xmlns:a16="http://schemas.microsoft.com/office/drawing/2014/main" id="{00000000-0008-0000-0500-00009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7" y="293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298" name="Rectangle 154">
              <a:extLst>
                <a:ext uri="{FF2B5EF4-FFF2-40B4-BE49-F238E27FC236}">
                  <a16:creationId xmlns:a16="http://schemas.microsoft.com/office/drawing/2014/main" id="{00000000-0008-0000-0500-00009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9" y="293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당직</a:t>
              </a:r>
            </a:p>
          </xdr:txBody>
        </xdr:sp>
        <xdr:sp macro="" textlink="">
          <xdr:nvSpPr>
            <xdr:cNvPr id="6299" name="Rectangle 155">
              <a:extLst>
                <a:ext uri="{FF2B5EF4-FFF2-40B4-BE49-F238E27FC236}">
                  <a16:creationId xmlns:a16="http://schemas.microsoft.com/office/drawing/2014/main" id="{00000000-0008-0000-0500-00009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1" y="293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300" name="Rectangle 156">
              <a:extLst>
                <a:ext uri="{FF2B5EF4-FFF2-40B4-BE49-F238E27FC236}">
                  <a16:creationId xmlns:a16="http://schemas.microsoft.com/office/drawing/2014/main" id="{00000000-0008-0000-0500-00009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31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지원동</a:t>
              </a:r>
            </a:p>
          </xdr:txBody>
        </xdr:sp>
        <xdr:sp macro="" textlink="">
          <xdr:nvSpPr>
            <xdr:cNvPr id="6301" name="Rectangle 157">
              <a:extLst>
                <a:ext uri="{FF2B5EF4-FFF2-40B4-BE49-F238E27FC236}">
                  <a16:creationId xmlns:a16="http://schemas.microsoft.com/office/drawing/2014/main" id="{00000000-0008-0000-0500-00009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317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02" name="Rectangle 158">
              <a:extLst>
                <a:ext uri="{FF2B5EF4-FFF2-40B4-BE49-F238E27FC236}">
                  <a16:creationId xmlns:a16="http://schemas.microsoft.com/office/drawing/2014/main" id="{00000000-0008-0000-0500-00009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31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03" name="Rectangle 159">
              <a:extLst>
                <a:ext uri="{FF2B5EF4-FFF2-40B4-BE49-F238E27FC236}">
                  <a16:creationId xmlns:a16="http://schemas.microsoft.com/office/drawing/2014/main" id="{00000000-0008-0000-0500-00009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31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04" name="Rectangle 160">
              <a:extLst>
                <a:ext uri="{FF2B5EF4-FFF2-40B4-BE49-F238E27FC236}">
                  <a16:creationId xmlns:a16="http://schemas.microsoft.com/office/drawing/2014/main" id="{00000000-0008-0000-0500-0000A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317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05" name="Rectangle 161">
              <a:extLst>
                <a:ext uri="{FF2B5EF4-FFF2-40B4-BE49-F238E27FC236}">
                  <a16:creationId xmlns:a16="http://schemas.microsoft.com/office/drawing/2014/main" id="{00000000-0008-0000-0500-0000A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31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06" name="Rectangle 162">
              <a:extLst>
                <a:ext uri="{FF2B5EF4-FFF2-40B4-BE49-F238E27FC236}">
                  <a16:creationId xmlns:a16="http://schemas.microsoft.com/office/drawing/2014/main" id="{00000000-0008-0000-0500-0000A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31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07" name="Rectangle 163">
              <a:extLst>
                <a:ext uri="{FF2B5EF4-FFF2-40B4-BE49-F238E27FC236}">
                  <a16:creationId xmlns:a16="http://schemas.microsoft.com/office/drawing/2014/main" id="{00000000-0008-0000-0500-0000A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317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08" name="Rectangle 164">
              <a:extLst>
                <a:ext uri="{FF2B5EF4-FFF2-40B4-BE49-F238E27FC236}">
                  <a16:creationId xmlns:a16="http://schemas.microsoft.com/office/drawing/2014/main" id="{00000000-0008-0000-0500-0000A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33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글로벌</a:t>
              </a:r>
            </a:p>
          </xdr:txBody>
        </xdr:sp>
        <xdr:sp macro="" textlink="">
          <xdr:nvSpPr>
            <xdr:cNvPr id="6309" name="Rectangle 165">
              <a:extLst>
                <a:ext uri="{FF2B5EF4-FFF2-40B4-BE49-F238E27FC236}">
                  <a16:creationId xmlns:a16="http://schemas.microsoft.com/office/drawing/2014/main" id="{00000000-0008-0000-0500-0000A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339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10" name="Rectangle 166">
              <a:extLst>
                <a:ext uri="{FF2B5EF4-FFF2-40B4-BE49-F238E27FC236}">
                  <a16:creationId xmlns:a16="http://schemas.microsoft.com/office/drawing/2014/main" id="{00000000-0008-0000-0500-0000A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33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11" name="Rectangle 167">
              <a:extLst>
                <a:ext uri="{FF2B5EF4-FFF2-40B4-BE49-F238E27FC236}">
                  <a16:creationId xmlns:a16="http://schemas.microsoft.com/office/drawing/2014/main" id="{00000000-0008-0000-0500-0000A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33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12" name="Rectangle 168">
              <a:extLst>
                <a:ext uri="{FF2B5EF4-FFF2-40B4-BE49-F238E27FC236}">
                  <a16:creationId xmlns:a16="http://schemas.microsoft.com/office/drawing/2014/main" id="{00000000-0008-0000-0500-0000A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339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13" name="Rectangle 169">
              <a:extLst>
                <a:ext uri="{FF2B5EF4-FFF2-40B4-BE49-F238E27FC236}">
                  <a16:creationId xmlns:a16="http://schemas.microsoft.com/office/drawing/2014/main" id="{00000000-0008-0000-0500-0000A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33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14" name="Rectangle 170">
              <a:extLst>
                <a:ext uri="{FF2B5EF4-FFF2-40B4-BE49-F238E27FC236}">
                  <a16:creationId xmlns:a16="http://schemas.microsoft.com/office/drawing/2014/main" id="{00000000-0008-0000-0500-0000A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33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15" name="Rectangle 171">
              <a:extLst>
                <a:ext uri="{FF2B5EF4-FFF2-40B4-BE49-F238E27FC236}">
                  <a16:creationId xmlns:a16="http://schemas.microsoft.com/office/drawing/2014/main" id="{00000000-0008-0000-0500-0000A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339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16" name="Rectangle 172">
              <a:extLst>
                <a:ext uri="{FF2B5EF4-FFF2-40B4-BE49-F238E27FC236}">
                  <a16:creationId xmlns:a16="http://schemas.microsoft.com/office/drawing/2014/main" id="{00000000-0008-0000-0500-0000A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363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외곽-1</a:t>
              </a:r>
            </a:p>
          </xdr:txBody>
        </xdr:sp>
        <xdr:sp macro="" textlink="">
          <xdr:nvSpPr>
            <xdr:cNvPr id="6317" name="Rectangle 173">
              <a:extLst>
                <a:ext uri="{FF2B5EF4-FFF2-40B4-BE49-F238E27FC236}">
                  <a16:creationId xmlns:a16="http://schemas.microsoft.com/office/drawing/2014/main" id="{00000000-0008-0000-0500-0000A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363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18" name="Rectangle 174">
              <a:extLst>
                <a:ext uri="{FF2B5EF4-FFF2-40B4-BE49-F238E27FC236}">
                  <a16:creationId xmlns:a16="http://schemas.microsoft.com/office/drawing/2014/main" id="{00000000-0008-0000-0500-0000A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363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19" name="Rectangle 175">
              <a:extLst>
                <a:ext uri="{FF2B5EF4-FFF2-40B4-BE49-F238E27FC236}">
                  <a16:creationId xmlns:a16="http://schemas.microsoft.com/office/drawing/2014/main" id="{00000000-0008-0000-0500-0000A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363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20" name="Rectangle 176">
              <a:extLst>
                <a:ext uri="{FF2B5EF4-FFF2-40B4-BE49-F238E27FC236}">
                  <a16:creationId xmlns:a16="http://schemas.microsoft.com/office/drawing/2014/main" id="{00000000-0008-0000-0500-0000B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363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21" name="Rectangle 177">
              <a:extLst>
                <a:ext uri="{FF2B5EF4-FFF2-40B4-BE49-F238E27FC236}">
                  <a16:creationId xmlns:a16="http://schemas.microsoft.com/office/drawing/2014/main" id="{00000000-0008-0000-0500-0000B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363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22" name="Rectangle 178">
              <a:extLst>
                <a:ext uri="{FF2B5EF4-FFF2-40B4-BE49-F238E27FC236}">
                  <a16:creationId xmlns:a16="http://schemas.microsoft.com/office/drawing/2014/main" id="{00000000-0008-0000-0500-0000B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363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23" name="Rectangle 179">
              <a:extLst>
                <a:ext uri="{FF2B5EF4-FFF2-40B4-BE49-F238E27FC236}">
                  <a16:creationId xmlns:a16="http://schemas.microsoft.com/office/drawing/2014/main" id="{00000000-0008-0000-0500-0000B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363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24" name="Rectangle 180">
              <a:extLst>
                <a:ext uri="{FF2B5EF4-FFF2-40B4-BE49-F238E27FC236}">
                  <a16:creationId xmlns:a16="http://schemas.microsoft.com/office/drawing/2014/main" id="{00000000-0008-0000-0500-0000B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38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외곽-2</a:t>
              </a:r>
            </a:p>
          </xdr:txBody>
        </xdr:sp>
        <xdr:sp macro="" textlink="">
          <xdr:nvSpPr>
            <xdr:cNvPr id="6325" name="Rectangle 181">
              <a:extLst>
                <a:ext uri="{FF2B5EF4-FFF2-40B4-BE49-F238E27FC236}">
                  <a16:creationId xmlns:a16="http://schemas.microsoft.com/office/drawing/2014/main" id="{00000000-0008-0000-0500-0000B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385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26" name="Rectangle 182">
              <a:extLst>
                <a:ext uri="{FF2B5EF4-FFF2-40B4-BE49-F238E27FC236}">
                  <a16:creationId xmlns:a16="http://schemas.microsoft.com/office/drawing/2014/main" id="{00000000-0008-0000-0500-0000B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38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27" name="Rectangle 183">
              <a:extLst>
                <a:ext uri="{FF2B5EF4-FFF2-40B4-BE49-F238E27FC236}">
                  <a16:creationId xmlns:a16="http://schemas.microsoft.com/office/drawing/2014/main" id="{00000000-0008-0000-0500-0000B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38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28" name="Rectangle 184">
              <a:extLst>
                <a:ext uri="{FF2B5EF4-FFF2-40B4-BE49-F238E27FC236}">
                  <a16:creationId xmlns:a16="http://schemas.microsoft.com/office/drawing/2014/main" id="{00000000-0008-0000-0500-0000B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385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29" name="Rectangle 185">
              <a:extLst>
                <a:ext uri="{FF2B5EF4-FFF2-40B4-BE49-F238E27FC236}">
                  <a16:creationId xmlns:a16="http://schemas.microsoft.com/office/drawing/2014/main" id="{00000000-0008-0000-0500-0000B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38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30" name="Rectangle 186">
              <a:extLst>
                <a:ext uri="{FF2B5EF4-FFF2-40B4-BE49-F238E27FC236}">
                  <a16:creationId xmlns:a16="http://schemas.microsoft.com/office/drawing/2014/main" id="{00000000-0008-0000-0500-0000B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38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31" name="Rectangle 187">
              <a:extLst>
                <a:ext uri="{FF2B5EF4-FFF2-40B4-BE49-F238E27FC236}">
                  <a16:creationId xmlns:a16="http://schemas.microsoft.com/office/drawing/2014/main" id="{00000000-0008-0000-0500-0000B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385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32" name="Rectangle 188">
              <a:extLst>
                <a:ext uri="{FF2B5EF4-FFF2-40B4-BE49-F238E27FC236}">
                  <a16:creationId xmlns:a16="http://schemas.microsoft.com/office/drawing/2014/main" id="{00000000-0008-0000-0500-0000B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409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   짜</a:t>
              </a:r>
            </a:p>
          </xdr:txBody>
        </xdr:sp>
        <xdr:sp macro="" textlink="">
          <xdr:nvSpPr>
            <xdr:cNvPr id="6333" name="Rectangle 189">
              <a:extLst>
                <a:ext uri="{FF2B5EF4-FFF2-40B4-BE49-F238E27FC236}">
                  <a16:creationId xmlns:a16="http://schemas.microsoft.com/office/drawing/2014/main" id="{00000000-0008-0000-0500-0000B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9" y="409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1/12</a:t>
              </a:r>
            </a:p>
          </xdr:txBody>
        </xdr:sp>
        <xdr:sp macro="" textlink="">
          <xdr:nvSpPr>
            <xdr:cNvPr id="6334" name="Rectangle 190">
              <a:extLst>
                <a:ext uri="{FF2B5EF4-FFF2-40B4-BE49-F238E27FC236}">
                  <a16:creationId xmlns:a16="http://schemas.microsoft.com/office/drawing/2014/main" id="{00000000-0008-0000-0500-0000B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1" y="409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1/13</a:t>
              </a:r>
            </a:p>
          </xdr:txBody>
        </xdr:sp>
        <xdr:sp macro="" textlink="">
          <xdr:nvSpPr>
            <xdr:cNvPr id="6335" name="Rectangle 191">
              <a:extLst>
                <a:ext uri="{FF2B5EF4-FFF2-40B4-BE49-F238E27FC236}">
                  <a16:creationId xmlns:a16="http://schemas.microsoft.com/office/drawing/2014/main" id="{00000000-0008-0000-0500-0000B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" y="409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1/14</a:t>
              </a:r>
            </a:p>
          </xdr:txBody>
        </xdr:sp>
        <xdr:sp macro="" textlink="">
          <xdr:nvSpPr>
            <xdr:cNvPr id="6336" name="Rectangle 192">
              <a:extLst>
                <a:ext uri="{FF2B5EF4-FFF2-40B4-BE49-F238E27FC236}">
                  <a16:creationId xmlns:a16="http://schemas.microsoft.com/office/drawing/2014/main" id="{00000000-0008-0000-0500-0000C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3" y="409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1/15</a:t>
              </a:r>
            </a:p>
          </xdr:txBody>
        </xdr:sp>
        <xdr:sp macro="" textlink="">
          <xdr:nvSpPr>
            <xdr:cNvPr id="6337" name="Rectangle 193">
              <a:extLst>
                <a:ext uri="{FF2B5EF4-FFF2-40B4-BE49-F238E27FC236}">
                  <a16:creationId xmlns:a16="http://schemas.microsoft.com/office/drawing/2014/main" id="{00000000-0008-0000-0500-0000C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5" y="409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1/16</a:t>
              </a:r>
            </a:p>
          </xdr:txBody>
        </xdr:sp>
        <xdr:sp macro="" textlink="">
          <xdr:nvSpPr>
            <xdr:cNvPr id="6338" name="Rectangle 194">
              <a:extLst>
                <a:ext uri="{FF2B5EF4-FFF2-40B4-BE49-F238E27FC236}">
                  <a16:creationId xmlns:a16="http://schemas.microsoft.com/office/drawing/2014/main" id="{00000000-0008-0000-0500-0000C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7" y="409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1/17</a:t>
              </a:r>
            </a:p>
          </xdr:txBody>
        </xdr:sp>
        <xdr:sp macro="" textlink="">
          <xdr:nvSpPr>
            <xdr:cNvPr id="6339" name="Rectangle 195">
              <a:extLst>
                <a:ext uri="{FF2B5EF4-FFF2-40B4-BE49-F238E27FC236}">
                  <a16:creationId xmlns:a16="http://schemas.microsoft.com/office/drawing/2014/main" id="{00000000-0008-0000-0500-0000C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9" y="409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1/18</a:t>
              </a:r>
            </a:p>
          </xdr:txBody>
        </xdr:sp>
        <xdr:sp macro="" textlink="">
          <xdr:nvSpPr>
            <xdr:cNvPr id="6340" name="Rectangle 196">
              <a:extLst>
                <a:ext uri="{FF2B5EF4-FFF2-40B4-BE49-F238E27FC236}">
                  <a16:creationId xmlns:a16="http://schemas.microsoft.com/office/drawing/2014/main" id="{00000000-0008-0000-0500-0000C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433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   일</a:t>
              </a:r>
            </a:p>
          </xdr:txBody>
        </xdr:sp>
        <xdr:sp macro="" textlink="">
          <xdr:nvSpPr>
            <xdr:cNvPr id="6341" name="Rectangle 197">
              <a:extLst>
                <a:ext uri="{FF2B5EF4-FFF2-40B4-BE49-F238E27FC236}">
                  <a16:creationId xmlns:a16="http://schemas.microsoft.com/office/drawing/2014/main" id="{00000000-0008-0000-0500-0000C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8" y="433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</a:t>
              </a:r>
            </a:p>
          </xdr:txBody>
        </xdr:sp>
        <xdr:sp macro="" textlink="">
          <xdr:nvSpPr>
            <xdr:cNvPr id="6342" name="Rectangle 198">
              <a:extLst>
                <a:ext uri="{FF2B5EF4-FFF2-40B4-BE49-F238E27FC236}">
                  <a16:creationId xmlns:a16="http://schemas.microsoft.com/office/drawing/2014/main" id="{00000000-0008-0000-0500-0000C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0" y="433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</a:t>
              </a:r>
            </a:p>
          </xdr:txBody>
        </xdr:sp>
        <xdr:sp macro="" textlink="">
          <xdr:nvSpPr>
            <xdr:cNvPr id="6343" name="Rectangle 199">
              <a:extLst>
                <a:ext uri="{FF2B5EF4-FFF2-40B4-BE49-F238E27FC236}">
                  <a16:creationId xmlns:a16="http://schemas.microsoft.com/office/drawing/2014/main" id="{00000000-0008-0000-0500-0000C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0" y="433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</a:t>
              </a:r>
            </a:p>
          </xdr:txBody>
        </xdr:sp>
        <xdr:sp macro="" textlink="">
          <xdr:nvSpPr>
            <xdr:cNvPr id="6344" name="Rectangle 200">
              <a:extLst>
                <a:ext uri="{FF2B5EF4-FFF2-40B4-BE49-F238E27FC236}">
                  <a16:creationId xmlns:a16="http://schemas.microsoft.com/office/drawing/2014/main" id="{00000000-0008-0000-0500-0000C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2" y="433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</a:t>
              </a:r>
            </a:p>
          </xdr:txBody>
        </xdr:sp>
        <xdr:sp macro="" textlink="">
          <xdr:nvSpPr>
            <xdr:cNvPr id="6345" name="Rectangle 201">
              <a:extLst>
                <a:ext uri="{FF2B5EF4-FFF2-40B4-BE49-F238E27FC236}">
                  <a16:creationId xmlns:a16="http://schemas.microsoft.com/office/drawing/2014/main" id="{00000000-0008-0000-0500-0000C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4" y="433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</a:t>
              </a:r>
            </a:p>
          </xdr:txBody>
        </xdr:sp>
        <xdr:sp macro="" textlink="">
          <xdr:nvSpPr>
            <xdr:cNvPr id="6346" name="Rectangle 202">
              <a:extLst>
                <a:ext uri="{FF2B5EF4-FFF2-40B4-BE49-F238E27FC236}">
                  <a16:creationId xmlns:a16="http://schemas.microsoft.com/office/drawing/2014/main" id="{00000000-0008-0000-0500-0000C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6" y="433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</a:t>
              </a:r>
            </a:p>
          </xdr:txBody>
        </xdr:sp>
        <xdr:sp macro="" textlink="">
          <xdr:nvSpPr>
            <xdr:cNvPr id="6347" name="Rectangle 203">
              <a:extLst>
                <a:ext uri="{FF2B5EF4-FFF2-40B4-BE49-F238E27FC236}">
                  <a16:creationId xmlns:a16="http://schemas.microsoft.com/office/drawing/2014/main" id="{00000000-0008-0000-0500-0000C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8" y="433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</a:t>
              </a:r>
            </a:p>
          </xdr:txBody>
        </xdr:sp>
        <xdr:sp macro="" textlink="">
          <xdr:nvSpPr>
            <xdr:cNvPr id="6348" name="Rectangle 204">
              <a:extLst>
                <a:ext uri="{FF2B5EF4-FFF2-40B4-BE49-F238E27FC236}">
                  <a16:creationId xmlns:a16="http://schemas.microsoft.com/office/drawing/2014/main" id="{00000000-0008-0000-0500-0000C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45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</a:t>
              </a:r>
            </a:p>
          </xdr:txBody>
        </xdr:sp>
        <xdr:sp macro="" textlink="">
          <xdr:nvSpPr>
            <xdr:cNvPr id="6349" name="Rectangle 205">
              <a:extLst>
                <a:ext uri="{FF2B5EF4-FFF2-40B4-BE49-F238E27FC236}">
                  <a16:creationId xmlns:a16="http://schemas.microsoft.com/office/drawing/2014/main" id="{00000000-0008-0000-0500-0000C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" y="480"/>
              <a:ext cx="59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근무형태</a:t>
              </a:r>
            </a:p>
          </xdr:txBody>
        </xdr:sp>
        <xdr:sp macro="" textlink="">
          <xdr:nvSpPr>
            <xdr:cNvPr id="6350" name="Rectangle 206">
              <a:extLst>
                <a:ext uri="{FF2B5EF4-FFF2-40B4-BE49-F238E27FC236}">
                  <a16:creationId xmlns:a16="http://schemas.microsoft.com/office/drawing/2014/main" id="{00000000-0008-0000-0500-0000C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" y="480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351" name="Rectangle 207">
              <a:extLst>
                <a:ext uri="{FF2B5EF4-FFF2-40B4-BE49-F238E27FC236}">
                  <a16:creationId xmlns:a16="http://schemas.microsoft.com/office/drawing/2014/main" id="{00000000-0008-0000-0500-0000C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2" y="480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야간</a:t>
              </a:r>
            </a:p>
          </xdr:txBody>
        </xdr:sp>
        <xdr:sp macro="" textlink="">
          <xdr:nvSpPr>
            <xdr:cNvPr id="6352" name="Rectangle 208">
              <a:extLst>
                <a:ext uri="{FF2B5EF4-FFF2-40B4-BE49-F238E27FC236}">
                  <a16:creationId xmlns:a16="http://schemas.microsoft.com/office/drawing/2014/main" id="{00000000-0008-0000-0500-0000D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4" y="480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353" name="Rectangle 209">
              <a:extLst>
                <a:ext uri="{FF2B5EF4-FFF2-40B4-BE49-F238E27FC236}">
                  <a16:creationId xmlns:a16="http://schemas.microsoft.com/office/drawing/2014/main" id="{00000000-0008-0000-0500-0000D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5" y="480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354" name="Rectangle 210">
              <a:extLst>
                <a:ext uri="{FF2B5EF4-FFF2-40B4-BE49-F238E27FC236}">
                  <a16:creationId xmlns:a16="http://schemas.microsoft.com/office/drawing/2014/main" id="{00000000-0008-0000-0500-0000D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7" y="480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야간</a:t>
              </a:r>
            </a:p>
          </xdr:txBody>
        </xdr:sp>
        <xdr:sp macro="" textlink="">
          <xdr:nvSpPr>
            <xdr:cNvPr id="6355" name="Rectangle 211">
              <a:extLst>
                <a:ext uri="{FF2B5EF4-FFF2-40B4-BE49-F238E27FC236}">
                  <a16:creationId xmlns:a16="http://schemas.microsoft.com/office/drawing/2014/main" id="{00000000-0008-0000-0500-0000D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9" y="480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</xdr:grpSp>
      <xdr:grpSp>
        <xdr:nvGrpSpPr>
          <xdr:cNvPr id="6557" name="Group 413">
            <a:extLst>
              <a:ext uri="{FF2B5EF4-FFF2-40B4-BE49-F238E27FC236}">
                <a16:creationId xmlns:a16="http://schemas.microsoft.com/office/drawing/2014/main" id="{00000000-0008-0000-0500-00009D190000}"/>
              </a:ext>
            </a:extLst>
          </xdr:cNvPr>
          <xdr:cNvGrpSpPr>
            <a:grpSpLocks/>
          </xdr:cNvGrpSpPr>
        </xdr:nvGrpSpPr>
        <xdr:grpSpPr bwMode="auto">
          <a:xfrm>
            <a:off x="66" y="33"/>
            <a:ext cx="577" cy="931"/>
            <a:chOff x="66" y="33"/>
            <a:chExt cx="577" cy="931"/>
          </a:xfrm>
        </xdr:grpSpPr>
        <xdr:sp macro="" textlink="">
          <xdr:nvSpPr>
            <xdr:cNvPr id="6357" name="Rectangle 213">
              <a:extLst>
                <a:ext uri="{FF2B5EF4-FFF2-40B4-BE49-F238E27FC236}">
                  <a16:creationId xmlns:a16="http://schemas.microsoft.com/office/drawing/2014/main" id="{00000000-0008-0000-0500-0000D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1" y="480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휴무</a:t>
              </a:r>
            </a:p>
          </xdr:txBody>
        </xdr:sp>
        <xdr:sp macro="" textlink="">
          <xdr:nvSpPr>
            <xdr:cNvPr id="6358" name="Rectangle 214">
              <a:extLst>
                <a:ext uri="{FF2B5EF4-FFF2-40B4-BE49-F238E27FC236}">
                  <a16:creationId xmlns:a16="http://schemas.microsoft.com/office/drawing/2014/main" id="{00000000-0008-0000-0500-0000D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50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지원동</a:t>
              </a:r>
            </a:p>
          </xdr:txBody>
        </xdr:sp>
        <xdr:sp macro="" textlink="">
          <xdr:nvSpPr>
            <xdr:cNvPr id="6359" name="Rectangle 215">
              <a:extLst>
                <a:ext uri="{FF2B5EF4-FFF2-40B4-BE49-F238E27FC236}">
                  <a16:creationId xmlns:a16="http://schemas.microsoft.com/office/drawing/2014/main" id="{00000000-0008-0000-0500-0000D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50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60" name="Rectangle 216">
              <a:extLst>
                <a:ext uri="{FF2B5EF4-FFF2-40B4-BE49-F238E27FC236}">
                  <a16:creationId xmlns:a16="http://schemas.microsoft.com/office/drawing/2014/main" id="{00000000-0008-0000-0500-0000D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50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61" name="Rectangle 217">
              <a:extLst>
                <a:ext uri="{FF2B5EF4-FFF2-40B4-BE49-F238E27FC236}">
                  <a16:creationId xmlns:a16="http://schemas.microsoft.com/office/drawing/2014/main" id="{00000000-0008-0000-0500-0000D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5" y="502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62" name="Rectangle 218">
              <a:extLst>
                <a:ext uri="{FF2B5EF4-FFF2-40B4-BE49-F238E27FC236}">
                  <a16:creationId xmlns:a16="http://schemas.microsoft.com/office/drawing/2014/main" id="{00000000-0008-0000-0500-0000D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50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63" name="Rectangle 219">
              <a:extLst>
                <a:ext uri="{FF2B5EF4-FFF2-40B4-BE49-F238E27FC236}">
                  <a16:creationId xmlns:a16="http://schemas.microsoft.com/office/drawing/2014/main" id="{00000000-0008-0000-0500-0000D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50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64" name="Rectangle 220">
              <a:extLst>
                <a:ext uri="{FF2B5EF4-FFF2-40B4-BE49-F238E27FC236}">
                  <a16:creationId xmlns:a16="http://schemas.microsoft.com/office/drawing/2014/main" id="{00000000-0008-0000-0500-0000D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502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65" name="Rectangle 221">
              <a:extLst>
                <a:ext uri="{FF2B5EF4-FFF2-40B4-BE49-F238E27FC236}">
                  <a16:creationId xmlns:a16="http://schemas.microsoft.com/office/drawing/2014/main" id="{00000000-0008-0000-0500-0000D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502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66" name="Rectangle 222">
              <a:extLst>
                <a:ext uri="{FF2B5EF4-FFF2-40B4-BE49-F238E27FC236}">
                  <a16:creationId xmlns:a16="http://schemas.microsoft.com/office/drawing/2014/main" id="{00000000-0008-0000-0500-0000D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52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글로벌</a:t>
              </a:r>
            </a:p>
          </xdr:txBody>
        </xdr:sp>
        <xdr:sp macro="" textlink="">
          <xdr:nvSpPr>
            <xdr:cNvPr id="6367" name="Rectangle 223">
              <a:extLst>
                <a:ext uri="{FF2B5EF4-FFF2-40B4-BE49-F238E27FC236}">
                  <a16:creationId xmlns:a16="http://schemas.microsoft.com/office/drawing/2014/main" id="{00000000-0008-0000-0500-0000D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52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68" name="Rectangle 224">
              <a:extLst>
                <a:ext uri="{FF2B5EF4-FFF2-40B4-BE49-F238E27FC236}">
                  <a16:creationId xmlns:a16="http://schemas.microsoft.com/office/drawing/2014/main" id="{00000000-0008-0000-0500-0000E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52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69" name="Rectangle 225">
              <a:extLst>
                <a:ext uri="{FF2B5EF4-FFF2-40B4-BE49-F238E27FC236}">
                  <a16:creationId xmlns:a16="http://schemas.microsoft.com/office/drawing/2014/main" id="{00000000-0008-0000-0500-0000E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5" y="526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70" name="Rectangle 226">
              <a:extLst>
                <a:ext uri="{FF2B5EF4-FFF2-40B4-BE49-F238E27FC236}">
                  <a16:creationId xmlns:a16="http://schemas.microsoft.com/office/drawing/2014/main" id="{00000000-0008-0000-0500-0000E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52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71" name="Rectangle 227">
              <a:extLst>
                <a:ext uri="{FF2B5EF4-FFF2-40B4-BE49-F238E27FC236}">
                  <a16:creationId xmlns:a16="http://schemas.microsoft.com/office/drawing/2014/main" id="{00000000-0008-0000-0500-0000E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52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72" name="Rectangle 228">
              <a:extLst>
                <a:ext uri="{FF2B5EF4-FFF2-40B4-BE49-F238E27FC236}">
                  <a16:creationId xmlns:a16="http://schemas.microsoft.com/office/drawing/2014/main" id="{00000000-0008-0000-0500-0000E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526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73" name="Rectangle 229">
              <a:extLst>
                <a:ext uri="{FF2B5EF4-FFF2-40B4-BE49-F238E27FC236}">
                  <a16:creationId xmlns:a16="http://schemas.microsoft.com/office/drawing/2014/main" id="{00000000-0008-0000-0500-0000E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526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74" name="Rectangle 230">
              <a:extLst>
                <a:ext uri="{FF2B5EF4-FFF2-40B4-BE49-F238E27FC236}">
                  <a16:creationId xmlns:a16="http://schemas.microsoft.com/office/drawing/2014/main" id="{00000000-0008-0000-0500-0000E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54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외곽-1</a:t>
              </a:r>
            </a:p>
          </xdr:txBody>
        </xdr:sp>
        <xdr:sp macro="" textlink="">
          <xdr:nvSpPr>
            <xdr:cNvPr id="6375" name="Rectangle 231">
              <a:extLst>
                <a:ext uri="{FF2B5EF4-FFF2-40B4-BE49-F238E27FC236}">
                  <a16:creationId xmlns:a16="http://schemas.microsoft.com/office/drawing/2014/main" id="{00000000-0008-0000-0500-0000E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54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76" name="Rectangle 232">
              <a:extLst>
                <a:ext uri="{FF2B5EF4-FFF2-40B4-BE49-F238E27FC236}">
                  <a16:creationId xmlns:a16="http://schemas.microsoft.com/office/drawing/2014/main" id="{00000000-0008-0000-0500-0000E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54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77" name="Rectangle 233">
              <a:extLst>
                <a:ext uri="{FF2B5EF4-FFF2-40B4-BE49-F238E27FC236}">
                  <a16:creationId xmlns:a16="http://schemas.microsoft.com/office/drawing/2014/main" id="{00000000-0008-0000-0500-0000E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5" y="54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78" name="Rectangle 234">
              <a:extLst>
                <a:ext uri="{FF2B5EF4-FFF2-40B4-BE49-F238E27FC236}">
                  <a16:creationId xmlns:a16="http://schemas.microsoft.com/office/drawing/2014/main" id="{00000000-0008-0000-0500-0000E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54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79" name="Rectangle 235">
              <a:extLst>
                <a:ext uri="{FF2B5EF4-FFF2-40B4-BE49-F238E27FC236}">
                  <a16:creationId xmlns:a16="http://schemas.microsoft.com/office/drawing/2014/main" id="{00000000-0008-0000-0500-0000E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54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80" name="Rectangle 236">
              <a:extLst>
                <a:ext uri="{FF2B5EF4-FFF2-40B4-BE49-F238E27FC236}">
                  <a16:creationId xmlns:a16="http://schemas.microsoft.com/office/drawing/2014/main" id="{00000000-0008-0000-0500-0000E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54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81" name="Rectangle 237">
              <a:extLst>
                <a:ext uri="{FF2B5EF4-FFF2-40B4-BE49-F238E27FC236}">
                  <a16:creationId xmlns:a16="http://schemas.microsoft.com/office/drawing/2014/main" id="{00000000-0008-0000-0500-0000E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54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82" name="Rectangle 238">
              <a:extLst>
                <a:ext uri="{FF2B5EF4-FFF2-40B4-BE49-F238E27FC236}">
                  <a16:creationId xmlns:a16="http://schemas.microsoft.com/office/drawing/2014/main" id="{00000000-0008-0000-0500-0000E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57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외곽-2</a:t>
              </a:r>
            </a:p>
          </xdr:txBody>
        </xdr:sp>
        <xdr:sp macro="" textlink="">
          <xdr:nvSpPr>
            <xdr:cNvPr id="6383" name="Rectangle 239">
              <a:extLst>
                <a:ext uri="{FF2B5EF4-FFF2-40B4-BE49-F238E27FC236}">
                  <a16:creationId xmlns:a16="http://schemas.microsoft.com/office/drawing/2014/main" id="{00000000-0008-0000-0500-0000E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57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384" name="Rectangle 240">
              <a:extLst>
                <a:ext uri="{FF2B5EF4-FFF2-40B4-BE49-F238E27FC236}">
                  <a16:creationId xmlns:a16="http://schemas.microsoft.com/office/drawing/2014/main" id="{00000000-0008-0000-0500-0000F0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57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385" name="Rectangle 241">
              <a:extLst>
                <a:ext uri="{FF2B5EF4-FFF2-40B4-BE49-F238E27FC236}">
                  <a16:creationId xmlns:a16="http://schemas.microsoft.com/office/drawing/2014/main" id="{00000000-0008-0000-0500-0000F1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5" y="57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86" name="Rectangle 242">
              <a:extLst>
                <a:ext uri="{FF2B5EF4-FFF2-40B4-BE49-F238E27FC236}">
                  <a16:creationId xmlns:a16="http://schemas.microsoft.com/office/drawing/2014/main" id="{00000000-0008-0000-0500-0000F2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57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387" name="Rectangle 243">
              <a:extLst>
                <a:ext uri="{FF2B5EF4-FFF2-40B4-BE49-F238E27FC236}">
                  <a16:creationId xmlns:a16="http://schemas.microsoft.com/office/drawing/2014/main" id="{00000000-0008-0000-0500-0000F3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57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388" name="Rectangle 244">
              <a:extLst>
                <a:ext uri="{FF2B5EF4-FFF2-40B4-BE49-F238E27FC236}">
                  <a16:creationId xmlns:a16="http://schemas.microsoft.com/office/drawing/2014/main" id="{00000000-0008-0000-0500-0000F4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57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89" name="Rectangle 245">
              <a:extLst>
                <a:ext uri="{FF2B5EF4-FFF2-40B4-BE49-F238E27FC236}">
                  <a16:creationId xmlns:a16="http://schemas.microsoft.com/office/drawing/2014/main" id="{00000000-0008-0000-0500-0000F5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57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390" name="Rectangle 246">
              <a:extLst>
                <a:ext uri="{FF2B5EF4-FFF2-40B4-BE49-F238E27FC236}">
                  <a16:creationId xmlns:a16="http://schemas.microsoft.com/office/drawing/2014/main" id="{00000000-0008-0000-0500-0000F6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594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   짜</a:t>
              </a:r>
            </a:p>
          </xdr:txBody>
        </xdr:sp>
        <xdr:sp macro="" textlink="">
          <xdr:nvSpPr>
            <xdr:cNvPr id="6391" name="Rectangle 247">
              <a:extLst>
                <a:ext uri="{FF2B5EF4-FFF2-40B4-BE49-F238E27FC236}">
                  <a16:creationId xmlns:a16="http://schemas.microsoft.com/office/drawing/2014/main" id="{00000000-0008-0000-0500-0000F7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9" y="59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1/19</a:t>
              </a:r>
            </a:p>
          </xdr:txBody>
        </xdr:sp>
        <xdr:sp macro="" textlink="">
          <xdr:nvSpPr>
            <xdr:cNvPr id="6392" name="Rectangle 248">
              <a:extLst>
                <a:ext uri="{FF2B5EF4-FFF2-40B4-BE49-F238E27FC236}">
                  <a16:creationId xmlns:a16="http://schemas.microsoft.com/office/drawing/2014/main" id="{00000000-0008-0000-0500-0000F8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1" y="59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1/20</a:t>
              </a:r>
            </a:p>
          </xdr:txBody>
        </xdr:sp>
        <xdr:sp macro="" textlink="">
          <xdr:nvSpPr>
            <xdr:cNvPr id="6393" name="Rectangle 249">
              <a:extLst>
                <a:ext uri="{FF2B5EF4-FFF2-40B4-BE49-F238E27FC236}">
                  <a16:creationId xmlns:a16="http://schemas.microsoft.com/office/drawing/2014/main" id="{00000000-0008-0000-0500-0000F9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" y="59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1/21</a:t>
              </a:r>
            </a:p>
          </xdr:txBody>
        </xdr:sp>
        <xdr:sp macro="" textlink="">
          <xdr:nvSpPr>
            <xdr:cNvPr id="6394" name="Rectangle 250">
              <a:extLst>
                <a:ext uri="{FF2B5EF4-FFF2-40B4-BE49-F238E27FC236}">
                  <a16:creationId xmlns:a16="http://schemas.microsoft.com/office/drawing/2014/main" id="{00000000-0008-0000-0500-0000FA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3" y="59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1/22</a:t>
              </a:r>
            </a:p>
          </xdr:txBody>
        </xdr:sp>
        <xdr:sp macro="" textlink="">
          <xdr:nvSpPr>
            <xdr:cNvPr id="6395" name="Rectangle 251">
              <a:extLst>
                <a:ext uri="{FF2B5EF4-FFF2-40B4-BE49-F238E27FC236}">
                  <a16:creationId xmlns:a16="http://schemas.microsoft.com/office/drawing/2014/main" id="{00000000-0008-0000-0500-0000FB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5" y="59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1/23</a:t>
              </a:r>
            </a:p>
          </xdr:txBody>
        </xdr:sp>
        <xdr:sp macro="" textlink="">
          <xdr:nvSpPr>
            <xdr:cNvPr id="6396" name="Rectangle 252">
              <a:extLst>
                <a:ext uri="{FF2B5EF4-FFF2-40B4-BE49-F238E27FC236}">
                  <a16:creationId xmlns:a16="http://schemas.microsoft.com/office/drawing/2014/main" id="{00000000-0008-0000-0500-0000FC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7" y="59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1/24</a:t>
              </a:r>
            </a:p>
          </xdr:txBody>
        </xdr:sp>
        <xdr:sp macro="" textlink="">
          <xdr:nvSpPr>
            <xdr:cNvPr id="6397" name="Rectangle 253">
              <a:extLst>
                <a:ext uri="{FF2B5EF4-FFF2-40B4-BE49-F238E27FC236}">
                  <a16:creationId xmlns:a16="http://schemas.microsoft.com/office/drawing/2014/main" id="{00000000-0008-0000-0500-0000FD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9" y="594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1/25</a:t>
              </a:r>
            </a:p>
          </xdr:txBody>
        </xdr:sp>
        <xdr:sp macro="" textlink="">
          <xdr:nvSpPr>
            <xdr:cNvPr id="6398" name="Rectangle 254">
              <a:extLst>
                <a:ext uri="{FF2B5EF4-FFF2-40B4-BE49-F238E27FC236}">
                  <a16:creationId xmlns:a16="http://schemas.microsoft.com/office/drawing/2014/main" id="{00000000-0008-0000-0500-0000FE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618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   일</a:t>
              </a:r>
            </a:p>
          </xdr:txBody>
        </xdr:sp>
        <xdr:sp macro="" textlink="">
          <xdr:nvSpPr>
            <xdr:cNvPr id="6399" name="Rectangle 255">
              <a:extLst>
                <a:ext uri="{FF2B5EF4-FFF2-40B4-BE49-F238E27FC236}">
                  <a16:creationId xmlns:a16="http://schemas.microsoft.com/office/drawing/2014/main" id="{00000000-0008-0000-0500-0000FF18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8" y="618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</a:t>
              </a:r>
            </a:p>
          </xdr:txBody>
        </xdr:sp>
        <xdr:sp macro="" textlink="">
          <xdr:nvSpPr>
            <xdr:cNvPr id="6400" name="Rectangle 256">
              <a:extLst>
                <a:ext uri="{FF2B5EF4-FFF2-40B4-BE49-F238E27FC236}">
                  <a16:creationId xmlns:a16="http://schemas.microsoft.com/office/drawing/2014/main" id="{00000000-0008-0000-0500-00000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0" y="618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</a:t>
              </a:r>
            </a:p>
          </xdr:txBody>
        </xdr:sp>
        <xdr:sp macro="" textlink="">
          <xdr:nvSpPr>
            <xdr:cNvPr id="6401" name="Rectangle 257">
              <a:extLst>
                <a:ext uri="{FF2B5EF4-FFF2-40B4-BE49-F238E27FC236}">
                  <a16:creationId xmlns:a16="http://schemas.microsoft.com/office/drawing/2014/main" id="{00000000-0008-0000-0500-00000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0" y="618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</a:t>
              </a:r>
            </a:p>
          </xdr:txBody>
        </xdr:sp>
        <xdr:sp macro="" textlink="">
          <xdr:nvSpPr>
            <xdr:cNvPr id="6402" name="Rectangle 258">
              <a:extLst>
                <a:ext uri="{FF2B5EF4-FFF2-40B4-BE49-F238E27FC236}">
                  <a16:creationId xmlns:a16="http://schemas.microsoft.com/office/drawing/2014/main" id="{00000000-0008-0000-0500-00000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2" y="618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</a:t>
              </a:r>
            </a:p>
          </xdr:txBody>
        </xdr:sp>
        <xdr:sp macro="" textlink="">
          <xdr:nvSpPr>
            <xdr:cNvPr id="6403" name="Rectangle 259">
              <a:extLst>
                <a:ext uri="{FF2B5EF4-FFF2-40B4-BE49-F238E27FC236}">
                  <a16:creationId xmlns:a16="http://schemas.microsoft.com/office/drawing/2014/main" id="{00000000-0008-0000-0500-00000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4" y="618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</a:t>
              </a:r>
            </a:p>
          </xdr:txBody>
        </xdr:sp>
        <xdr:sp macro="" textlink="">
          <xdr:nvSpPr>
            <xdr:cNvPr id="6404" name="Rectangle 260">
              <a:extLst>
                <a:ext uri="{FF2B5EF4-FFF2-40B4-BE49-F238E27FC236}">
                  <a16:creationId xmlns:a16="http://schemas.microsoft.com/office/drawing/2014/main" id="{00000000-0008-0000-0500-00000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6" y="618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</a:t>
              </a:r>
            </a:p>
          </xdr:txBody>
        </xdr:sp>
        <xdr:sp macro="" textlink="">
          <xdr:nvSpPr>
            <xdr:cNvPr id="6405" name="Rectangle 261">
              <a:extLst>
                <a:ext uri="{FF2B5EF4-FFF2-40B4-BE49-F238E27FC236}">
                  <a16:creationId xmlns:a16="http://schemas.microsoft.com/office/drawing/2014/main" id="{00000000-0008-0000-0500-00000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8" y="618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</a:t>
              </a:r>
            </a:p>
          </xdr:txBody>
        </xdr:sp>
        <xdr:sp macro="" textlink="">
          <xdr:nvSpPr>
            <xdr:cNvPr id="6406" name="Rectangle 262">
              <a:extLst>
                <a:ext uri="{FF2B5EF4-FFF2-40B4-BE49-F238E27FC236}">
                  <a16:creationId xmlns:a16="http://schemas.microsoft.com/office/drawing/2014/main" id="{00000000-0008-0000-0500-00000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643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</a:t>
              </a:r>
            </a:p>
          </xdr:txBody>
        </xdr:sp>
        <xdr:sp macro="" textlink="">
          <xdr:nvSpPr>
            <xdr:cNvPr id="6407" name="Rectangle 263">
              <a:extLst>
                <a:ext uri="{FF2B5EF4-FFF2-40B4-BE49-F238E27FC236}">
                  <a16:creationId xmlns:a16="http://schemas.microsoft.com/office/drawing/2014/main" id="{00000000-0008-0000-0500-00000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" y="665"/>
              <a:ext cx="59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근무형태</a:t>
              </a:r>
            </a:p>
          </xdr:txBody>
        </xdr:sp>
        <xdr:sp macro="" textlink="">
          <xdr:nvSpPr>
            <xdr:cNvPr id="6408" name="Rectangle 264">
              <a:extLst>
                <a:ext uri="{FF2B5EF4-FFF2-40B4-BE49-F238E27FC236}">
                  <a16:creationId xmlns:a16="http://schemas.microsoft.com/office/drawing/2014/main" id="{00000000-0008-0000-0500-00000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" y="665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야간</a:t>
              </a:r>
            </a:p>
          </xdr:txBody>
        </xdr:sp>
        <xdr:sp macro="" textlink="">
          <xdr:nvSpPr>
            <xdr:cNvPr id="6409" name="Rectangle 265">
              <a:extLst>
                <a:ext uri="{FF2B5EF4-FFF2-40B4-BE49-F238E27FC236}">
                  <a16:creationId xmlns:a16="http://schemas.microsoft.com/office/drawing/2014/main" id="{00000000-0008-0000-0500-00000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2" y="665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410" name="Rectangle 266">
              <a:extLst>
                <a:ext uri="{FF2B5EF4-FFF2-40B4-BE49-F238E27FC236}">
                  <a16:creationId xmlns:a16="http://schemas.microsoft.com/office/drawing/2014/main" id="{00000000-0008-0000-0500-00000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4" y="665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411" name="Rectangle 267">
              <a:extLst>
                <a:ext uri="{FF2B5EF4-FFF2-40B4-BE49-F238E27FC236}">
                  <a16:creationId xmlns:a16="http://schemas.microsoft.com/office/drawing/2014/main" id="{00000000-0008-0000-0500-00000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5" y="665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야간</a:t>
              </a:r>
            </a:p>
          </xdr:txBody>
        </xdr:sp>
        <xdr:sp macro="" textlink="">
          <xdr:nvSpPr>
            <xdr:cNvPr id="6412" name="Rectangle 268">
              <a:extLst>
                <a:ext uri="{FF2B5EF4-FFF2-40B4-BE49-F238E27FC236}">
                  <a16:creationId xmlns:a16="http://schemas.microsoft.com/office/drawing/2014/main" id="{00000000-0008-0000-0500-00000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7" y="665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413" name="Rectangle 269">
              <a:extLst>
                <a:ext uri="{FF2B5EF4-FFF2-40B4-BE49-F238E27FC236}">
                  <a16:creationId xmlns:a16="http://schemas.microsoft.com/office/drawing/2014/main" id="{00000000-0008-0000-0500-00000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9" y="665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휴무</a:t>
              </a:r>
            </a:p>
          </xdr:txBody>
        </xdr:sp>
        <xdr:sp macro="" textlink="">
          <xdr:nvSpPr>
            <xdr:cNvPr id="6414" name="Rectangle 270">
              <a:extLst>
                <a:ext uri="{FF2B5EF4-FFF2-40B4-BE49-F238E27FC236}">
                  <a16:creationId xmlns:a16="http://schemas.microsoft.com/office/drawing/2014/main" id="{00000000-0008-0000-0500-00000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1" y="665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당직</a:t>
              </a:r>
            </a:p>
          </xdr:txBody>
        </xdr:sp>
        <xdr:sp macro="" textlink="">
          <xdr:nvSpPr>
            <xdr:cNvPr id="6415" name="Rectangle 271">
              <a:extLst>
                <a:ext uri="{FF2B5EF4-FFF2-40B4-BE49-F238E27FC236}">
                  <a16:creationId xmlns:a16="http://schemas.microsoft.com/office/drawing/2014/main" id="{00000000-0008-0000-0500-00000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68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지원동</a:t>
              </a:r>
            </a:p>
          </xdr:txBody>
        </xdr:sp>
        <xdr:sp macro="" textlink="">
          <xdr:nvSpPr>
            <xdr:cNvPr id="6416" name="Rectangle 272">
              <a:extLst>
                <a:ext uri="{FF2B5EF4-FFF2-40B4-BE49-F238E27FC236}">
                  <a16:creationId xmlns:a16="http://schemas.microsoft.com/office/drawing/2014/main" id="{00000000-0008-0000-0500-00001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68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417" name="Rectangle 273">
              <a:extLst>
                <a:ext uri="{FF2B5EF4-FFF2-40B4-BE49-F238E27FC236}">
                  <a16:creationId xmlns:a16="http://schemas.microsoft.com/office/drawing/2014/main" id="{00000000-0008-0000-0500-00001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689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18" name="Rectangle 274">
              <a:extLst>
                <a:ext uri="{FF2B5EF4-FFF2-40B4-BE49-F238E27FC236}">
                  <a16:creationId xmlns:a16="http://schemas.microsoft.com/office/drawing/2014/main" id="{00000000-0008-0000-0500-00001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68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19" name="Rectangle 275">
              <a:extLst>
                <a:ext uri="{FF2B5EF4-FFF2-40B4-BE49-F238E27FC236}">
                  <a16:creationId xmlns:a16="http://schemas.microsoft.com/office/drawing/2014/main" id="{00000000-0008-0000-0500-00001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68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420" name="Rectangle 276">
              <a:extLst>
                <a:ext uri="{FF2B5EF4-FFF2-40B4-BE49-F238E27FC236}">
                  <a16:creationId xmlns:a16="http://schemas.microsoft.com/office/drawing/2014/main" id="{00000000-0008-0000-0500-00001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689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21" name="Rectangle 277">
              <a:extLst>
                <a:ext uri="{FF2B5EF4-FFF2-40B4-BE49-F238E27FC236}">
                  <a16:creationId xmlns:a16="http://schemas.microsoft.com/office/drawing/2014/main" id="{00000000-0008-0000-0500-00001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689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22" name="Rectangle 278">
              <a:extLst>
                <a:ext uri="{FF2B5EF4-FFF2-40B4-BE49-F238E27FC236}">
                  <a16:creationId xmlns:a16="http://schemas.microsoft.com/office/drawing/2014/main" id="{00000000-0008-0000-0500-00001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68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23" name="Rectangle 279">
              <a:extLst>
                <a:ext uri="{FF2B5EF4-FFF2-40B4-BE49-F238E27FC236}">
                  <a16:creationId xmlns:a16="http://schemas.microsoft.com/office/drawing/2014/main" id="{00000000-0008-0000-0500-00001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711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글로벌</a:t>
              </a:r>
            </a:p>
          </xdr:txBody>
        </xdr:sp>
        <xdr:sp macro="" textlink="">
          <xdr:nvSpPr>
            <xdr:cNvPr id="6424" name="Rectangle 280">
              <a:extLst>
                <a:ext uri="{FF2B5EF4-FFF2-40B4-BE49-F238E27FC236}">
                  <a16:creationId xmlns:a16="http://schemas.microsoft.com/office/drawing/2014/main" id="{00000000-0008-0000-0500-00001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711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25" name="Rectangle 281">
              <a:extLst>
                <a:ext uri="{FF2B5EF4-FFF2-40B4-BE49-F238E27FC236}">
                  <a16:creationId xmlns:a16="http://schemas.microsoft.com/office/drawing/2014/main" id="{00000000-0008-0000-0500-00001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711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26" name="Rectangle 282">
              <a:extLst>
                <a:ext uri="{FF2B5EF4-FFF2-40B4-BE49-F238E27FC236}">
                  <a16:creationId xmlns:a16="http://schemas.microsoft.com/office/drawing/2014/main" id="{00000000-0008-0000-0500-00001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711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427" name="Rectangle 283">
              <a:extLst>
                <a:ext uri="{FF2B5EF4-FFF2-40B4-BE49-F238E27FC236}">
                  <a16:creationId xmlns:a16="http://schemas.microsoft.com/office/drawing/2014/main" id="{00000000-0008-0000-0500-00001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711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428" name="Rectangle 284">
              <a:extLst>
                <a:ext uri="{FF2B5EF4-FFF2-40B4-BE49-F238E27FC236}">
                  <a16:creationId xmlns:a16="http://schemas.microsoft.com/office/drawing/2014/main" id="{00000000-0008-0000-0500-00001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711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29" name="Rectangle 285">
              <a:extLst>
                <a:ext uri="{FF2B5EF4-FFF2-40B4-BE49-F238E27FC236}">
                  <a16:creationId xmlns:a16="http://schemas.microsoft.com/office/drawing/2014/main" id="{00000000-0008-0000-0500-00001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711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30" name="Rectangle 286">
              <a:extLst>
                <a:ext uri="{FF2B5EF4-FFF2-40B4-BE49-F238E27FC236}">
                  <a16:creationId xmlns:a16="http://schemas.microsoft.com/office/drawing/2014/main" id="{00000000-0008-0000-0500-00001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711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431" name="Rectangle 287">
              <a:extLst>
                <a:ext uri="{FF2B5EF4-FFF2-40B4-BE49-F238E27FC236}">
                  <a16:creationId xmlns:a16="http://schemas.microsoft.com/office/drawing/2014/main" id="{00000000-0008-0000-0500-00001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73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외곽-1</a:t>
              </a:r>
            </a:p>
          </xdr:txBody>
        </xdr:sp>
        <xdr:sp macro="" textlink="">
          <xdr:nvSpPr>
            <xdr:cNvPr id="6432" name="Rectangle 288">
              <a:extLst>
                <a:ext uri="{FF2B5EF4-FFF2-40B4-BE49-F238E27FC236}">
                  <a16:creationId xmlns:a16="http://schemas.microsoft.com/office/drawing/2014/main" id="{00000000-0008-0000-0500-00002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73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33" name="Rectangle 289">
              <a:extLst>
                <a:ext uri="{FF2B5EF4-FFF2-40B4-BE49-F238E27FC236}">
                  <a16:creationId xmlns:a16="http://schemas.microsoft.com/office/drawing/2014/main" id="{00000000-0008-0000-0500-00002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735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34" name="Rectangle 290">
              <a:extLst>
                <a:ext uri="{FF2B5EF4-FFF2-40B4-BE49-F238E27FC236}">
                  <a16:creationId xmlns:a16="http://schemas.microsoft.com/office/drawing/2014/main" id="{00000000-0008-0000-0500-00002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73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435" name="Rectangle 291">
              <a:extLst>
                <a:ext uri="{FF2B5EF4-FFF2-40B4-BE49-F238E27FC236}">
                  <a16:creationId xmlns:a16="http://schemas.microsoft.com/office/drawing/2014/main" id="{00000000-0008-0000-0500-00002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73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36" name="Rectangle 292">
              <a:extLst>
                <a:ext uri="{FF2B5EF4-FFF2-40B4-BE49-F238E27FC236}">
                  <a16:creationId xmlns:a16="http://schemas.microsoft.com/office/drawing/2014/main" id="{00000000-0008-0000-0500-00002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735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37" name="Rectangle 293">
              <a:extLst>
                <a:ext uri="{FF2B5EF4-FFF2-40B4-BE49-F238E27FC236}">
                  <a16:creationId xmlns:a16="http://schemas.microsoft.com/office/drawing/2014/main" id="{00000000-0008-0000-0500-00002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735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38" name="Rectangle 294">
              <a:extLst>
                <a:ext uri="{FF2B5EF4-FFF2-40B4-BE49-F238E27FC236}">
                  <a16:creationId xmlns:a16="http://schemas.microsoft.com/office/drawing/2014/main" id="{00000000-0008-0000-0500-00002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735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439" name="Rectangle 295">
              <a:extLst>
                <a:ext uri="{FF2B5EF4-FFF2-40B4-BE49-F238E27FC236}">
                  <a16:creationId xmlns:a16="http://schemas.microsoft.com/office/drawing/2014/main" id="{00000000-0008-0000-0500-00002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75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외곽-2</a:t>
              </a:r>
            </a:p>
          </xdr:txBody>
        </xdr:sp>
        <xdr:sp macro="" textlink="">
          <xdr:nvSpPr>
            <xdr:cNvPr id="6440" name="Rectangle 296">
              <a:extLst>
                <a:ext uri="{FF2B5EF4-FFF2-40B4-BE49-F238E27FC236}">
                  <a16:creationId xmlns:a16="http://schemas.microsoft.com/office/drawing/2014/main" id="{00000000-0008-0000-0500-00002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75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441" name="Rectangle 297">
              <a:extLst>
                <a:ext uri="{FF2B5EF4-FFF2-40B4-BE49-F238E27FC236}">
                  <a16:creationId xmlns:a16="http://schemas.microsoft.com/office/drawing/2014/main" id="{00000000-0008-0000-0500-00002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757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42" name="Rectangle 298">
              <a:extLst>
                <a:ext uri="{FF2B5EF4-FFF2-40B4-BE49-F238E27FC236}">
                  <a16:creationId xmlns:a16="http://schemas.microsoft.com/office/drawing/2014/main" id="{00000000-0008-0000-0500-00002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75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43" name="Rectangle 299">
              <a:extLst>
                <a:ext uri="{FF2B5EF4-FFF2-40B4-BE49-F238E27FC236}">
                  <a16:creationId xmlns:a16="http://schemas.microsoft.com/office/drawing/2014/main" id="{00000000-0008-0000-0500-00002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7" y="75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44" name="Rectangle 300">
              <a:extLst>
                <a:ext uri="{FF2B5EF4-FFF2-40B4-BE49-F238E27FC236}">
                  <a16:creationId xmlns:a16="http://schemas.microsoft.com/office/drawing/2014/main" id="{00000000-0008-0000-0500-00002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9" y="757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45" name="Rectangle 301">
              <a:extLst>
                <a:ext uri="{FF2B5EF4-FFF2-40B4-BE49-F238E27FC236}">
                  <a16:creationId xmlns:a16="http://schemas.microsoft.com/office/drawing/2014/main" id="{00000000-0008-0000-0500-00002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1" y="757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46" name="Rectangle 302">
              <a:extLst>
                <a:ext uri="{FF2B5EF4-FFF2-40B4-BE49-F238E27FC236}">
                  <a16:creationId xmlns:a16="http://schemas.microsoft.com/office/drawing/2014/main" id="{00000000-0008-0000-0500-00002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1" y="757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47" name="Rectangle 303">
              <a:extLst>
                <a:ext uri="{FF2B5EF4-FFF2-40B4-BE49-F238E27FC236}">
                  <a16:creationId xmlns:a16="http://schemas.microsoft.com/office/drawing/2014/main" id="{00000000-0008-0000-0500-00002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781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   짜</a:t>
              </a:r>
            </a:p>
          </xdr:txBody>
        </xdr:sp>
        <xdr:sp macro="" textlink="">
          <xdr:nvSpPr>
            <xdr:cNvPr id="6448" name="Rectangle 304">
              <a:extLst>
                <a:ext uri="{FF2B5EF4-FFF2-40B4-BE49-F238E27FC236}">
                  <a16:creationId xmlns:a16="http://schemas.microsoft.com/office/drawing/2014/main" id="{00000000-0008-0000-0500-00003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9" y="781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1/26</a:t>
              </a:r>
            </a:p>
          </xdr:txBody>
        </xdr:sp>
        <xdr:sp macro="" textlink="">
          <xdr:nvSpPr>
            <xdr:cNvPr id="6449" name="Rectangle 305">
              <a:extLst>
                <a:ext uri="{FF2B5EF4-FFF2-40B4-BE49-F238E27FC236}">
                  <a16:creationId xmlns:a16="http://schemas.microsoft.com/office/drawing/2014/main" id="{00000000-0008-0000-0500-00003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1" y="781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1/27</a:t>
              </a:r>
            </a:p>
          </xdr:txBody>
        </xdr:sp>
        <xdr:sp macro="" textlink="">
          <xdr:nvSpPr>
            <xdr:cNvPr id="6450" name="Rectangle 306">
              <a:extLst>
                <a:ext uri="{FF2B5EF4-FFF2-40B4-BE49-F238E27FC236}">
                  <a16:creationId xmlns:a16="http://schemas.microsoft.com/office/drawing/2014/main" id="{00000000-0008-0000-0500-00003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" y="781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1/28</a:t>
              </a:r>
            </a:p>
          </xdr:txBody>
        </xdr:sp>
        <xdr:sp macro="" textlink="">
          <xdr:nvSpPr>
            <xdr:cNvPr id="6451" name="Rectangle 307">
              <a:extLst>
                <a:ext uri="{FF2B5EF4-FFF2-40B4-BE49-F238E27FC236}">
                  <a16:creationId xmlns:a16="http://schemas.microsoft.com/office/drawing/2014/main" id="{00000000-0008-0000-0500-00003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3" y="781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1/29</a:t>
              </a:r>
            </a:p>
          </xdr:txBody>
        </xdr:sp>
        <xdr:sp macro="" textlink="">
          <xdr:nvSpPr>
            <xdr:cNvPr id="6452" name="Rectangle 308">
              <a:extLst>
                <a:ext uri="{FF2B5EF4-FFF2-40B4-BE49-F238E27FC236}">
                  <a16:creationId xmlns:a16="http://schemas.microsoft.com/office/drawing/2014/main" id="{00000000-0008-0000-0500-00003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5" y="781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1/30</a:t>
              </a:r>
            </a:p>
          </xdr:txBody>
        </xdr:sp>
        <xdr:sp macro="" textlink="">
          <xdr:nvSpPr>
            <xdr:cNvPr id="6453" name="Rectangle 309">
              <a:extLst>
                <a:ext uri="{FF2B5EF4-FFF2-40B4-BE49-F238E27FC236}">
                  <a16:creationId xmlns:a16="http://schemas.microsoft.com/office/drawing/2014/main" id="{00000000-0008-0000-0500-00003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7" y="781"/>
              <a:ext cx="32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1/31</a:t>
              </a:r>
            </a:p>
          </xdr:txBody>
        </xdr:sp>
        <xdr:sp macro="" textlink="">
          <xdr:nvSpPr>
            <xdr:cNvPr id="6454" name="Rectangle 310">
              <a:extLst>
                <a:ext uri="{FF2B5EF4-FFF2-40B4-BE49-F238E27FC236}">
                  <a16:creationId xmlns:a16="http://schemas.microsoft.com/office/drawing/2014/main" id="{00000000-0008-0000-0500-00003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2" y="781"/>
              <a:ext cx="2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2/1</a:t>
              </a:r>
            </a:p>
          </xdr:txBody>
        </xdr:sp>
        <xdr:sp macro="" textlink="">
          <xdr:nvSpPr>
            <xdr:cNvPr id="6455" name="Rectangle 311">
              <a:extLst>
                <a:ext uri="{FF2B5EF4-FFF2-40B4-BE49-F238E27FC236}">
                  <a16:creationId xmlns:a16="http://schemas.microsoft.com/office/drawing/2014/main" id="{00000000-0008-0000-0500-00003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805"/>
              <a:ext cx="4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   일</a:t>
              </a:r>
            </a:p>
          </xdr:txBody>
        </xdr:sp>
        <xdr:sp macro="" textlink="">
          <xdr:nvSpPr>
            <xdr:cNvPr id="6456" name="Rectangle 312">
              <a:extLst>
                <a:ext uri="{FF2B5EF4-FFF2-40B4-BE49-F238E27FC236}">
                  <a16:creationId xmlns:a16="http://schemas.microsoft.com/office/drawing/2014/main" id="{00000000-0008-0000-0500-00003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8" y="805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</a:t>
              </a:r>
            </a:p>
          </xdr:txBody>
        </xdr:sp>
        <xdr:sp macro="" textlink="">
          <xdr:nvSpPr>
            <xdr:cNvPr id="6457" name="Rectangle 313">
              <a:extLst>
                <a:ext uri="{FF2B5EF4-FFF2-40B4-BE49-F238E27FC236}">
                  <a16:creationId xmlns:a16="http://schemas.microsoft.com/office/drawing/2014/main" id="{00000000-0008-0000-0500-00003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0" y="805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</a:t>
              </a:r>
            </a:p>
          </xdr:txBody>
        </xdr:sp>
        <xdr:sp macro="" textlink="">
          <xdr:nvSpPr>
            <xdr:cNvPr id="6458" name="Rectangle 314">
              <a:extLst>
                <a:ext uri="{FF2B5EF4-FFF2-40B4-BE49-F238E27FC236}">
                  <a16:creationId xmlns:a16="http://schemas.microsoft.com/office/drawing/2014/main" id="{00000000-0008-0000-0500-00003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0" y="805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</a:t>
              </a:r>
            </a:p>
          </xdr:txBody>
        </xdr:sp>
        <xdr:sp macro="" textlink="">
          <xdr:nvSpPr>
            <xdr:cNvPr id="6459" name="Rectangle 315">
              <a:extLst>
                <a:ext uri="{FF2B5EF4-FFF2-40B4-BE49-F238E27FC236}">
                  <a16:creationId xmlns:a16="http://schemas.microsoft.com/office/drawing/2014/main" id="{00000000-0008-0000-0500-00003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2" y="805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</a:t>
              </a:r>
            </a:p>
          </xdr:txBody>
        </xdr:sp>
        <xdr:sp macro="" textlink="">
          <xdr:nvSpPr>
            <xdr:cNvPr id="6460" name="Rectangle 316">
              <a:extLst>
                <a:ext uri="{FF2B5EF4-FFF2-40B4-BE49-F238E27FC236}">
                  <a16:creationId xmlns:a16="http://schemas.microsoft.com/office/drawing/2014/main" id="{00000000-0008-0000-0500-00003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4" y="805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</a:t>
              </a:r>
            </a:p>
          </xdr:txBody>
        </xdr:sp>
        <xdr:sp macro="" textlink="">
          <xdr:nvSpPr>
            <xdr:cNvPr id="6461" name="Rectangle 317">
              <a:extLst>
                <a:ext uri="{FF2B5EF4-FFF2-40B4-BE49-F238E27FC236}">
                  <a16:creationId xmlns:a16="http://schemas.microsoft.com/office/drawing/2014/main" id="{00000000-0008-0000-0500-00003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6" y="805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토</a:t>
              </a:r>
            </a:p>
          </xdr:txBody>
        </xdr:sp>
        <xdr:sp macro="" textlink="">
          <xdr:nvSpPr>
            <xdr:cNvPr id="6462" name="Rectangle 318">
              <a:extLst>
                <a:ext uri="{FF2B5EF4-FFF2-40B4-BE49-F238E27FC236}">
                  <a16:creationId xmlns:a16="http://schemas.microsoft.com/office/drawing/2014/main" id="{00000000-0008-0000-0500-00003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8" y="805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</a:t>
              </a:r>
            </a:p>
          </xdr:txBody>
        </xdr:sp>
        <xdr:sp macro="" textlink="">
          <xdr:nvSpPr>
            <xdr:cNvPr id="6463" name="Rectangle 319">
              <a:extLst>
                <a:ext uri="{FF2B5EF4-FFF2-40B4-BE49-F238E27FC236}">
                  <a16:creationId xmlns:a16="http://schemas.microsoft.com/office/drawing/2014/main" id="{00000000-0008-0000-0500-00003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829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</a:t>
              </a:r>
            </a:p>
          </xdr:txBody>
        </xdr:sp>
        <xdr:sp macro="" textlink="">
          <xdr:nvSpPr>
            <xdr:cNvPr id="6464" name="Rectangle 320">
              <a:extLst>
                <a:ext uri="{FF2B5EF4-FFF2-40B4-BE49-F238E27FC236}">
                  <a16:creationId xmlns:a16="http://schemas.microsoft.com/office/drawing/2014/main" id="{00000000-0008-0000-0500-00004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" y="852"/>
              <a:ext cx="59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근무형태</a:t>
              </a:r>
            </a:p>
          </xdr:txBody>
        </xdr:sp>
        <xdr:sp macro="" textlink="">
          <xdr:nvSpPr>
            <xdr:cNvPr id="6465" name="Rectangle 321">
              <a:extLst>
                <a:ext uri="{FF2B5EF4-FFF2-40B4-BE49-F238E27FC236}">
                  <a16:creationId xmlns:a16="http://schemas.microsoft.com/office/drawing/2014/main" id="{00000000-0008-0000-0500-00004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" y="852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466" name="Rectangle 322">
              <a:extLst>
                <a:ext uri="{FF2B5EF4-FFF2-40B4-BE49-F238E27FC236}">
                  <a16:creationId xmlns:a16="http://schemas.microsoft.com/office/drawing/2014/main" id="{00000000-0008-0000-0500-00004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2" y="852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467" name="Rectangle 323">
              <a:extLst>
                <a:ext uri="{FF2B5EF4-FFF2-40B4-BE49-F238E27FC236}">
                  <a16:creationId xmlns:a16="http://schemas.microsoft.com/office/drawing/2014/main" id="{00000000-0008-0000-0500-00004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4" y="852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야간</a:t>
              </a:r>
            </a:p>
          </xdr:txBody>
        </xdr:sp>
        <xdr:sp macro="" textlink="">
          <xdr:nvSpPr>
            <xdr:cNvPr id="6468" name="Rectangle 324">
              <a:extLst>
                <a:ext uri="{FF2B5EF4-FFF2-40B4-BE49-F238E27FC236}">
                  <a16:creationId xmlns:a16="http://schemas.microsoft.com/office/drawing/2014/main" id="{00000000-0008-0000-0500-00004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5" y="852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469" name="Rectangle 325">
              <a:extLst>
                <a:ext uri="{FF2B5EF4-FFF2-40B4-BE49-F238E27FC236}">
                  <a16:creationId xmlns:a16="http://schemas.microsoft.com/office/drawing/2014/main" id="{00000000-0008-0000-0500-00004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47" y="852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470" name="Rectangle 326">
              <a:extLst>
                <a:ext uri="{FF2B5EF4-FFF2-40B4-BE49-F238E27FC236}">
                  <a16:creationId xmlns:a16="http://schemas.microsoft.com/office/drawing/2014/main" id="{00000000-0008-0000-0500-00004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9" y="852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당직</a:t>
              </a:r>
            </a:p>
          </xdr:txBody>
        </xdr:sp>
        <xdr:sp macro="" textlink="">
          <xdr:nvSpPr>
            <xdr:cNvPr id="6471" name="Rectangle 327">
              <a:extLst>
                <a:ext uri="{FF2B5EF4-FFF2-40B4-BE49-F238E27FC236}">
                  <a16:creationId xmlns:a16="http://schemas.microsoft.com/office/drawing/2014/main" id="{00000000-0008-0000-0500-00004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1" y="852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472" name="Rectangle 328">
              <a:extLst>
                <a:ext uri="{FF2B5EF4-FFF2-40B4-BE49-F238E27FC236}">
                  <a16:creationId xmlns:a16="http://schemas.microsoft.com/office/drawing/2014/main" id="{00000000-0008-0000-0500-00004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87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지원동</a:t>
              </a:r>
            </a:p>
          </xdr:txBody>
        </xdr:sp>
        <xdr:sp macro="" textlink="">
          <xdr:nvSpPr>
            <xdr:cNvPr id="6473" name="Rectangle 329">
              <a:extLst>
                <a:ext uri="{FF2B5EF4-FFF2-40B4-BE49-F238E27FC236}">
                  <a16:creationId xmlns:a16="http://schemas.microsoft.com/office/drawing/2014/main" id="{00000000-0008-0000-0500-00004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874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74" name="Rectangle 330">
              <a:extLst>
                <a:ext uri="{FF2B5EF4-FFF2-40B4-BE49-F238E27FC236}">
                  <a16:creationId xmlns:a16="http://schemas.microsoft.com/office/drawing/2014/main" id="{00000000-0008-0000-0500-00004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87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75" name="Rectangle 331">
              <a:extLst>
                <a:ext uri="{FF2B5EF4-FFF2-40B4-BE49-F238E27FC236}">
                  <a16:creationId xmlns:a16="http://schemas.microsoft.com/office/drawing/2014/main" id="{00000000-0008-0000-0500-00004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87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76" name="Rectangle 332">
              <a:extLst>
                <a:ext uri="{FF2B5EF4-FFF2-40B4-BE49-F238E27FC236}">
                  <a16:creationId xmlns:a16="http://schemas.microsoft.com/office/drawing/2014/main" id="{00000000-0008-0000-0500-00004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874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77" name="Rectangle 333">
              <a:extLst>
                <a:ext uri="{FF2B5EF4-FFF2-40B4-BE49-F238E27FC236}">
                  <a16:creationId xmlns:a16="http://schemas.microsoft.com/office/drawing/2014/main" id="{00000000-0008-0000-0500-00004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87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478" name="Rectangle 334">
              <a:extLst>
                <a:ext uri="{FF2B5EF4-FFF2-40B4-BE49-F238E27FC236}">
                  <a16:creationId xmlns:a16="http://schemas.microsoft.com/office/drawing/2014/main" id="{00000000-0008-0000-0500-00004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87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479" name="Rectangle 335">
              <a:extLst>
                <a:ext uri="{FF2B5EF4-FFF2-40B4-BE49-F238E27FC236}">
                  <a16:creationId xmlns:a16="http://schemas.microsoft.com/office/drawing/2014/main" id="{00000000-0008-0000-0500-00004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874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80" name="Rectangle 336">
              <a:extLst>
                <a:ext uri="{FF2B5EF4-FFF2-40B4-BE49-F238E27FC236}">
                  <a16:creationId xmlns:a16="http://schemas.microsoft.com/office/drawing/2014/main" id="{00000000-0008-0000-0500-00005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8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글로벌</a:t>
              </a:r>
            </a:p>
          </xdr:txBody>
        </xdr:sp>
        <xdr:sp macro="" textlink="">
          <xdr:nvSpPr>
            <xdr:cNvPr id="6481" name="Rectangle 337">
              <a:extLst>
                <a:ext uri="{FF2B5EF4-FFF2-40B4-BE49-F238E27FC236}">
                  <a16:creationId xmlns:a16="http://schemas.microsoft.com/office/drawing/2014/main" id="{00000000-0008-0000-0500-00005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89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82" name="Rectangle 338">
              <a:extLst>
                <a:ext uri="{FF2B5EF4-FFF2-40B4-BE49-F238E27FC236}">
                  <a16:creationId xmlns:a16="http://schemas.microsoft.com/office/drawing/2014/main" id="{00000000-0008-0000-0500-00005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8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83" name="Rectangle 339">
              <a:extLst>
                <a:ext uri="{FF2B5EF4-FFF2-40B4-BE49-F238E27FC236}">
                  <a16:creationId xmlns:a16="http://schemas.microsoft.com/office/drawing/2014/main" id="{00000000-0008-0000-0500-00005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8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84" name="Rectangle 340">
              <a:extLst>
                <a:ext uri="{FF2B5EF4-FFF2-40B4-BE49-F238E27FC236}">
                  <a16:creationId xmlns:a16="http://schemas.microsoft.com/office/drawing/2014/main" id="{00000000-0008-0000-0500-00005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89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85" name="Rectangle 341">
              <a:extLst>
                <a:ext uri="{FF2B5EF4-FFF2-40B4-BE49-F238E27FC236}">
                  <a16:creationId xmlns:a16="http://schemas.microsoft.com/office/drawing/2014/main" id="{00000000-0008-0000-0500-00005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8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86" name="Rectangle 342">
              <a:extLst>
                <a:ext uri="{FF2B5EF4-FFF2-40B4-BE49-F238E27FC236}">
                  <a16:creationId xmlns:a16="http://schemas.microsoft.com/office/drawing/2014/main" id="{00000000-0008-0000-0500-00005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898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487" name="Rectangle 343">
              <a:extLst>
                <a:ext uri="{FF2B5EF4-FFF2-40B4-BE49-F238E27FC236}">
                  <a16:creationId xmlns:a16="http://schemas.microsoft.com/office/drawing/2014/main" id="{00000000-0008-0000-0500-00005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898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88" name="Rectangle 344">
              <a:extLst>
                <a:ext uri="{FF2B5EF4-FFF2-40B4-BE49-F238E27FC236}">
                  <a16:creationId xmlns:a16="http://schemas.microsoft.com/office/drawing/2014/main" id="{00000000-0008-0000-0500-00005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92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외곽-1</a:t>
              </a:r>
            </a:p>
          </xdr:txBody>
        </xdr:sp>
        <xdr:sp macro="" textlink="">
          <xdr:nvSpPr>
            <xdr:cNvPr id="6489" name="Rectangle 345">
              <a:extLst>
                <a:ext uri="{FF2B5EF4-FFF2-40B4-BE49-F238E27FC236}">
                  <a16:creationId xmlns:a16="http://schemas.microsoft.com/office/drawing/2014/main" id="{00000000-0008-0000-0500-00005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92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90" name="Rectangle 346">
              <a:extLst>
                <a:ext uri="{FF2B5EF4-FFF2-40B4-BE49-F238E27FC236}">
                  <a16:creationId xmlns:a16="http://schemas.microsoft.com/office/drawing/2014/main" id="{00000000-0008-0000-0500-00005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92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491" name="Rectangle 347">
              <a:extLst>
                <a:ext uri="{FF2B5EF4-FFF2-40B4-BE49-F238E27FC236}">
                  <a16:creationId xmlns:a16="http://schemas.microsoft.com/office/drawing/2014/main" id="{00000000-0008-0000-0500-00005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92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492" name="Rectangle 348">
              <a:extLst>
                <a:ext uri="{FF2B5EF4-FFF2-40B4-BE49-F238E27FC236}">
                  <a16:creationId xmlns:a16="http://schemas.microsoft.com/office/drawing/2014/main" id="{00000000-0008-0000-0500-00005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92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93" name="Rectangle 349">
              <a:extLst>
                <a:ext uri="{FF2B5EF4-FFF2-40B4-BE49-F238E27FC236}">
                  <a16:creationId xmlns:a16="http://schemas.microsoft.com/office/drawing/2014/main" id="{00000000-0008-0000-0500-00005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92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94" name="Rectangle 350">
              <a:extLst>
                <a:ext uri="{FF2B5EF4-FFF2-40B4-BE49-F238E27FC236}">
                  <a16:creationId xmlns:a16="http://schemas.microsoft.com/office/drawing/2014/main" id="{00000000-0008-0000-0500-00005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92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495" name="Rectangle 351">
              <a:extLst>
                <a:ext uri="{FF2B5EF4-FFF2-40B4-BE49-F238E27FC236}">
                  <a16:creationId xmlns:a16="http://schemas.microsoft.com/office/drawing/2014/main" id="{00000000-0008-0000-0500-00005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92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96" name="Rectangle 352">
              <a:extLst>
                <a:ext uri="{FF2B5EF4-FFF2-40B4-BE49-F238E27FC236}">
                  <a16:creationId xmlns:a16="http://schemas.microsoft.com/office/drawing/2014/main" id="{00000000-0008-0000-0500-00006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1" y="94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외곽-2</a:t>
              </a:r>
            </a:p>
          </xdr:txBody>
        </xdr:sp>
        <xdr:sp macro="" textlink="">
          <xdr:nvSpPr>
            <xdr:cNvPr id="6497" name="Rectangle 353">
              <a:extLst>
                <a:ext uri="{FF2B5EF4-FFF2-40B4-BE49-F238E27FC236}">
                  <a16:creationId xmlns:a16="http://schemas.microsoft.com/office/drawing/2014/main" id="{00000000-0008-0000-0500-00006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3" y="942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498" name="Rectangle 354">
              <a:extLst>
                <a:ext uri="{FF2B5EF4-FFF2-40B4-BE49-F238E27FC236}">
                  <a16:creationId xmlns:a16="http://schemas.microsoft.com/office/drawing/2014/main" id="{00000000-0008-0000-0500-00006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3" y="94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499" name="Rectangle 355">
              <a:extLst>
                <a:ext uri="{FF2B5EF4-FFF2-40B4-BE49-F238E27FC236}">
                  <a16:creationId xmlns:a16="http://schemas.microsoft.com/office/drawing/2014/main" id="{00000000-0008-0000-0500-00006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94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500" name="Rectangle 356">
              <a:extLst>
                <a:ext uri="{FF2B5EF4-FFF2-40B4-BE49-F238E27FC236}">
                  <a16:creationId xmlns:a16="http://schemas.microsoft.com/office/drawing/2014/main" id="{00000000-0008-0000-0500-00006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87" y="942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501" name="Rectangle 357">
              <a:extLst>
                <a:ext uri="{FF2B5EF4-FFF2-40B4-BE49-F238E27FC236}">
                  <a16:creationId xmlns:a16="http://schemas.microsoft.com/office/drawing/2014/main" id="{00000000-0008-0000-0500-00006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9" y="94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502" name="Rectangle 358">
              <a:extLst>
                <a:ext uri="{FF2B5EF4-FFF2-40B4-BE49-F238E27FC236}">
                  <a16:creationId xmlns:a16="http://schemas.microsoft.com/office/drawing/2014/main" id="{00000000-0008-0000-0500-00006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1" y="94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503" name="Rectangle 359">
              <a:extLst>
                <a:ext uri="{FF2B5EF4-FFF2-40B4-BE49-F238E27FC236}">
                  <a16:creationId xmlns:a16="http://schemas.microsoft.com/office/drawing/2014/main" id="{00000000-0008-0000-0500-00006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1" y="942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504" name="Line 360">
              <a:extLst>
                <a:ext uri="{FF2B5EF4-FFF2-40B4-BE49-F238E27FC236}">
                  <a16:creationId xmlns:a16="http://schemas.microsoft.com/office/drawing/2014/main" id="{00000000-0008-0000-0500-00006819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66" y="3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05" name="Rectangle 361">
              <a:extLst>
                <a:ext uri="{FF2B5EF4-FFF2-40B4-BE49-F238E27FC236}">
                  <a16:creationId xmlns:a16="http://schemas.microsoft.com/office/drawing/2014/main" id="{00000000-0008-0000-0500-00006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" y="33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06" name="Rectangle 362">
              <a:extLst>
                <a:ext uri="{FF2B5EF4-FFF2-40B4-BE49-F238E27FC236}">
                  <a16:creationId xmlns:a16="http://schemas.microsoft.com/office/drawing/2014/main" id="{00000000-0008-0000-0500-00006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33"/>
              <a:ext cx="72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07" name="Line 363">
              <a:extLst>
                <a:ext uri="{FF2B5EF4-FFF2-40B4-BE49-F238E27FC236}">
                  <a16:creationId xmlns:a16="http://schemas.microsoft.com/office/drawing/2014/main" id="{00000000-0008-0000-0500-00006B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34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08" name="Rectangle 364">
              <a:extLst>
                <a:ext uri="{FF2B5EF4-FFF2-40B4-BE49-F238E27FC236}">
                  <a16:creationId xmlns:a16="http://schemas.microsoft.com/office/drawing/2014/main" id="{00000000-0008-0000-0500-00006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34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09" name="Rectangle 365">
              <a:extLst>
                <a:ext uri="{FF2B5EF4-FFF2-40B4-BE49-F238E27FC236}">
                  <a16:creationId xmlns:a16="http://schemas.microsoft.com/office/drawing/2014/main" id="{00000000-0008-0000-0500-00006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33"/>
              <a:ext cx="289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10" name="Line 366">
              <a:extLst>
                <a:ext uri="{FF2B5EF4-FFF2-40B4-BE49-F238E27FC236}">
                  <a16:creationId xmlns:a16="http://schemas.microsoft.com/office/drawing/2014/main" id="{00000000-0008-0000-0500-00006E19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38" y="3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11" name="Rectangle 367">
              <a:extLst>
                <a:ext uri="{FF2B5EF4-FFF2-40B4-BE49-F238E27FC236}">
                  <a16:creationId xmlns:a16="http://schemas.microsoft.com/office/drawing/2014/main" id="{00000000-0008-0000-0500-00006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33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12" name="Rectangle 368">
              <a:extLst>
                <a:ext uri="{FF2B5EF4-FFF2-40B4-BE49-F238E27FC236}">
                  <a16:creationId xmlns:a16="http://schemas.microsoft.com/office/drawing/2014/main" id="{00000000-0008-0000-0500-00007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57"/>
              <a:ext cx="72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13" name="Line 369">
              <a:extLst>
                <a:ext uri="{FF2B5EF4-FFF2-40B4-BE49-F238E27FC236}">
                  <a16:creationId xmlns:a16="http://schemas.microsoft.com/office/drawing/2014/main" id="{00000000-0008-0000-0500-000071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58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14" name="Rectangle 370">
              <a:extLst>
                <a:ext uri="{FF2B5EF4-FFF2-40B4-BE49-F238E27FC236}">
                  <a16:creationId xmlns:a16="http://schemas.microsoft.com/office/drawing/2014/main" id="{00000000-0008-0000-0500-00007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58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15" name="Line 371">
              <a:extLst>
                <a:ext uri="{FF2B5EF4-FFF2-40B4-BE49-F238E27FC236}">
                  <a16:creationId xmlns:a16="http://schemas.microsoft.com/office/drawing/2014/main" id="{00000000-0008-0000-0500-00007319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54" y="3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16" name="Rectangle 372">
              <a:extLst>
                <a:ext uri="{FF2B5EF4-FFF2-40B4-BE49-F238E27FC236}">
                  <a16:creationId xmlns:a16="http://schemas.microsoft.com/office/drawing/2014/main" id="{00000000-0008-0000-0500-00007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33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17" name="Line 373">
              <a:extLst>
                <a:ext uri="{FF2B5EF4-FFF2-40B4-BE49-F238E27FC236}">
                  <a16:creationId xmlns:a16="http://schemas.microsoft.com/office/drawing/2014/main" id="{00000000-0008-0000-0500-00007519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26" y="3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18" name="Rectangle 374">
              <a:extLst>
                <a:ext uri="{FF2B5EF4-FFF2-40B4-BE49-F238E27FC236}">
                  <a16:creationId xmlns:a16="http://schemas.microsoft.com/office/drawing/2014/main" id="{00000000-0008-0000-0500-00007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33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19" name="Line 375">
              <a:extLst>
                <a:ext uri="{FF2B5EF4-FFF2-40B4-BE49-F238E27FC236}">
                  <a16:creationId xmlns:a16="http://schemas.microsoft.com/office/drawing/2014/main" id="{00000000-0008-0000-0500-00007719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98" y="3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20" name="Rectangle 376">
              <a:extLst>
                <a:ext uri="{FF2B5EF4-FFF2-40B4-BE49-F238E27FC236}">
                  <a16:creationId xmlns:a16="http://schemas.microsoft.com/office/drawing/2014/main" id="{00000000-0008-0000-0500-00007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33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21" name="Line 377">
              <a:extLst>
                <a:ext uri="{FF2B5EF4-FFF2-40B4-BE49-F238E27FC236}">
                  <a16:creationId xmlns:a16="http://schemas.microsoft.com/office/drawing/2014/main" id="{00000000-0008-0000-0500-00007919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570" y="3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22" name="Rectangle 378">
              <a:extLst>
                <a:ext uri="{FF2B5EF4-FFF2-40B4-BE49-F238E27FC236}">
                  <a16:creationId xmlns:a16="http://schemas.microsoft.com/office/drawing/2014/main" id="{00000000-0008-0000-0500-00007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33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23" name="Rectangle 379">
              <a:extLst>
                <a:ext uri="{FF2B5EF4-FFF2-40B4-BE49-F238E27FC236}">
                  <a16:creationId xmlns:a16="http://schemas.microsoft.com/office/drawing/2014/main" id="{00000000-0008-0000-0500-00007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57"/>
              <a:ext cx="289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24" name="Line 380">
              <a:extLst>
                <a:ext uri="{FF2B5EF4-FFF2-40B4-BE49-F238E27FC236}">
                  <a16:creationId xmlns:a16="http://schemas.microsoft.com/office/drawing/2014/main" id="{00000000-0008-0000-0500-00007C19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642" y="3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25" name="Rectangle 381">
              <a:extLst>
                <a:ext uri="{FF2B5EF4-FFF2-40B4-BE49-F238E27FC236}">
                  <a16:creationId xmlns:a16="http://schemas.microsoft.com/office/drawing/2014/main" id="{00000000-0008-0000-0500-00007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2" y="33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26" name="Rectangle 382">
              <a:extLst>
                <a:ext uri="{FF2B5EF4-FFF2-40B4-BE49-F238E27FC236}">
                  <a16:creationId xmlns:a16="http://schemas.microsoft.com/office/drawing/2014/main" id="{00000000-0008-0000-0500-00007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81"/>
              <a:ext cx="72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27" name="Line 383">
              <a:extLst>
                <a:ext uri="{FF2B5EF4-FFF2-40B4-BE49-F238E27FC236}">
                  <a16:creationId xmlns:a16="http://schemas.microsoft.com/office/drawing/2014/main" id="{00000000-0008-0000-0500-00007F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82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28" name="Rectangle 384">
              <a:extLst>
                <a:ext uri="{FF2B5EF4-FFF2-40B4-BE49-F238E27FC236}">
                  <a16:creationId xmlns:a16="http://schemas.microsoft.com/office/drawing/2014/main" id="{00000000-0008-0000-0500-00008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82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29" name="Rectangle 385">
              <a:extLst>
                <a:ext uri="{FF2B5EF4-FFF2-40B4-BE49-F238E27FC236}">
                  <a16:creationId xmlns:a16="http://schemas.microsoft.com/office/drawing/2014/main" id="{00000000-0008-0000-0500-00008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81"/>
              <a:ext cx="289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30" name="Rectangle 386">
              <a:extLst>
                <a:ext uri="{FF2B5EF4-FFF2-40B4-BE49-F238E27FC236}">
                  <a16:creationId xmlns:a16="http://schemas.microsoft.com/office/drawing/2014/main" id="{00000000-0008-0000-0500-00008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105"/>
              <a:ext cx="6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31" name="Line 387">
              <a:extLst>
                <a:ext uri="{FF2B5EF4-FFF2-40B4-BE49-F238E27FC236}">
                  <a16:creationId xmlns:a16="http://schemas.microsoft.com/office/drawing/2014/main" id="{00000000-0008-0000-0500-000083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106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32" name="Rectangle 388">
              <a:extLst>
                <a:ext uri="{FF2B5EF4-FFF2-40B4-BE49-F238E27FC236}">
                  <a16:creationId xmlns:a16="http://schemas.microsoft.com/office/drawing/2014/main" id="{00000000-0008-0000-0500-00008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106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33" name="Rectangle 389">
              <a:extLst>
                <a:ext uri="{FF2B5EF4-FFF2-40B4-BE49-F238E27FC236}">
                  <a16:creationId xmlns:a16="http://schemas.microsoft.com/office/drawing/2014/main" id="{00000000-0008-0000-0500-00008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05"/>
              <a:ext cx="28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34" name="Rectangle 390">
              <a:extLst>
                <a:ext uri="{FF2B5EF4-FFF2-40B4-BE49-F238E27FC236}">
                  <a16:creationId xmlns:a16="http://schemas.microsoft.com/office/drawing/2014/main" id="{00000000-0008-0000-0500-00008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128"/>
              <a:ext cx="72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35" name="Line 391">
              <a:extLst>
                <a:ext uri="{FF2B5EF4-FFF2-40B4-BE49-F238E27FC236}">
                  <a16:creationId xmlns:a16="http://schemas.microsoft.com/office/drawing/2014/main" id="{00000000-0008-0000-0500-000087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129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36" name="Rectangle 392">
              <a:extLst>
                <a:ext uri="{FF2B5EF4-FFF2-40B4-BE49-F238E27FC236}">
                  <a16:creationId xmlns:a16="http://schemas.microsoft.com/office/drawing/2014/main" id="{00000000-0008-0000-0500-00008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129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37" name="Rectangle 393">
              <a:extLst>
                <a:ext uri="{FF2B5EF4-FFF2-40B4-BE49-F238E27FC236}">
                  <a16:creationId xmlns:a16="http://schemas.microsoft.com/office/drawing/2014/main" id="{00000000-0008-0000-0500-00008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28"/>
              <a:ext cx="289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38" name="Line 394">
              <a:extLst>
                <a:ext uri="{FF2B5EF4-FFF2-40B4-BE49-F238E27FC236}">
                  <a16:creationId xmlns:a16="http://schemas.microsoft.com/office/drawing/2014/main" id="{00000000-0008-0000-0500-00008A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152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39" name="Rectangle 395">
              <a:extLst>
                <a:ext uri="{FF2B5EF4-FFF2-40B4-BE49-F238E27FC236}">
                  <a16:creationId xmlns:a16="http://schemas.microsoft.com/office/drawing/2014/main" id="{00000000-0008-0000-0500-00008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152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0" name="Rectangle 396">
              <a:extLst>
                <a:ext uri="{FF2B5EF4-FFF2-40B4-BE49-F238E27FC236}">
                  <a16:creationId xmlns:a16="http://schemas.microsoft.com/office/drawing/2014/main" id="{00000000-0008-0000-0500-00008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174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1" name="Rectangle 397">
              <a:extLst>
                <a:ext uri="{FF2B5EF4-FFF2-40B4-BE49-F238E27FC236}">
                  <a16:creationId xmlns:a16="http://schemas.microsoft.com/office/drawing/2014/main" id="{00000000-0008-0000-0500-00008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2" name="Rectangle 398">
              <a:extLst>
                <a:ext uri="{FF2B5EF4-FFF2-40B4-BE49-F238E27FC236}">
                  <a16:creationId xmlns:a16="http://schemas.microsoft.com/office/drawing/2014/main" id="{00000000-0008-0000-0500-00008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0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3" name="Rectangle 399">
              <a:extLst>
                <a:ext uri="{FF2B5EF4-FFF2-40B4-BE49-F238E27FC236}">
                  <a16:creationId xmlns:a16="http://schemas.microsoft.com/office/drawing/2014/main" id="{00000000-0008-0000-0500-00008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2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4" name="Rectangle 400">
              <a:extLst>
                <a:ext uri="{FF2B5EF4-FFF2-40B4-BE49-F238E27FC236}">
                  <a16:creationId xmlns:a16="http://schemas.microsoft.com/office/drawing/2014/main" id="{00000000-0008-0000-0500-00009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4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5" name="Rectangle 401">
              <a:extLst>
                <a:ext uri="{FF2B5EF4-FFF2-40B4-BE49-F238E27FC236}">
                  <a16:creationId xmlns:a16="http://schemas.microsoft.com/office/drawing/2014/main" id="{00000000-0008-0000-0500-00009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6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6" name="Line 402">
              <a:extLst>
                <a:ext uri="{FF2B5EF4-FFF2-40B4-BE49-F238E27FC236}">
                  <a16:creationId xmlns:a16="http://schemas.microsoft.com/office/drawing/2014/main" id="{00000000-0008-0000-0500-000092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175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47" name="Rectangle 403">
              <a:extLst>
                <a:ext uri="{FF2B5EF4-FFF2-40B4-BE49-F238E27FC236}">
                  <a16:creationId xmlns:a16="http://schemas.microsoft.com/office/drawing/2014/main" id="{00000000-0008-0000-0500-00009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175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8" name="Rectangle 404">
              <a:extLst>
                <a:ext uri="{FF2B5EF4-FFF2-40B4-BE49-F238E27FC236}">
                  <a16:creationId xmlns:a16="http://schemas.microsoft.com/office/drawing/2014/main" id="{00000000-0008-0000-0500-00009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49" name="Rectangle 405">
              <a:extLst>
                <a:ext uri="{FF2B5EF4-FFF2-40B4-BE49-F238E27FC236}">
                  <a16:creationId xmlns:a16="http://schemas.microsoft.com/office/drawing/2014/main" id="{00000000-0008-0000-0500-00009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6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0" name="Rectangle 406">
              <a:extLst>
                <a:ext uri="{FF2B5EF4-FFF2-40B4-BE49-F238E27FC236}">
                  <a16:creationId xmlns:a16="http://schemas.microsoft.com/office/drawing/2014/main" id="{00000000-0008-0000-0500-00009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8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1" name="Rectangle 407">
              <a:extLst>
                <a:ext uri="{FF2B5EF4-FFF2-40B4-BE49-F238E27FC236}">
                  <a16:creationId xmlns:a16="http://schemas.microsoft.com/office/drawing/2014/main" id="{00000000-0008-0000-0500-00009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0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2" name="Rectangle 408">
              <a:extLst>
                <a:ext uri="{FF2B5EF4-FFF2-40B4-BE49-F238E27FC236}">
                  <a16:creationId xmlns:a16="http://schemas.microsoft.com/office/drawing/2014/main" id="{00000000-0008-0000-0500-00009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2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3" name="Rectangle 409">
              <a:extLst>
                <a:ext uri="{FF2B5EF4-FFF2-40B4-BE49-F238E27FC236}">
                  <a16:creationId xmlns:a16="http://schemas.microsoft.com/office/drawing/2014/main" id="{00000000-0008-0000-0500-00009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4" name="Rectangle 410">
              <a:extLst>
                <a:ext uri="{FF2B5EF4-FFF2-40B4-BE49-F238E27FC236}">
                  <a16:creationId xmlns:a16="http://schemas.microsoft.com/office/drawing/2014/main" id="{00000000-0008-0000-0500-00009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5" name="Rectangle 411">
              <a:extLst>
                <a:ext uri="{FF2B5EF4-FFF2-40B4-BE49-F238E27FC236}">
                  <a16:creationId xmlns:a16="http://schemas.microsoft.com/office/drawing/2014/main" id="{00000000-0008-0000-0500-00009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8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6" name="Rectangle 412">
              <a:extLst>
                <a:ext uri="{FF2B5EF4-FFF2-40B4-BE49-F238E27FC236}">
                  <a16:creationId xmlns:a16="http://schemas.microsoft.com/office/drawing/2014/main" id="{00000000-0008-0000-0500-00009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0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grpSp>
        <xdr:nvGrpSpPr>
          <xdr:cNvPr id="6758" name="Group 614">
            <a:extLst>
              <a:ext uri="{FF2B5EF4-FFF2-40B4-BE49-F238E27FC236}">
                <a16:creationId xmlns:a16="http://schemas.microsoft.com/office/drawing/2014/main" id="{00000000-0008-0000-0500-0000661A0000}"/>
              </a:ext>
            </a:extLst>
          </xdr:cNvPr>
          <xdr:cNvGrpSpPr>
            <a:grpSpLocks/>
          </xdr:cNvGrpSpPr>
        </xdr:nvGrpSpPr>
        <xdr:grpSpPr bwMode="auto">
          <a:xfrm>
            <a:off x="68" y="34"/>
            <a:ext cx="575" cy="886"/>
            <a:chOff x="68" y="34"/>
            <a:chExt cx="575" cy="886"/>
          </a:xfrm>
        </xdr:grpSpPr>
        <xdr:sp macro="" textlink="">
          <xdr:nvSpPr>
            <xdr:cNvPr id="6558" name="Rectangle 414">
              <a:extLst>
                <a:ext uri="{FF2B5EF4-FFF2-40B4-BE49-F238E27FC236}">
                  <a16:creationId xmlns:a16="http://schemas.microsoft.com/office/drawing/2014/main" id="{00000000-0008-0000-0500-00009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2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59" name="Rectangle 415">
              <a:extLst>
                <a:ext uri="{FF2B5EF4-FFF2-40B4-BE49-F238E27FC236}">
                  <a16:creationId xmlns:a16="http://schemas.microsoft.com/office/drawing/2014/main" id="{00000000-0008-0000-0500-00009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74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0" name="Rectangle 416">
              <a:extLst>
                <a:ext uri="{FF2B5EF4-FFF2-40B4-BE49-F238E27FC236}">
                  <a16:creationId xmlns:a16="http://schemas.microsoft.com/office/drawing/2014/main" id="{00000000-0008-0000-0500-0000A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6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1" name="Rectangle 417">
              <a:extLst>
                <a:ext uri="{FF2B5EF4-FFF2-40B4-BE49-F238E27FC236}">
                  <a16:creationId xmlns:a16="http://schemas.microsoft.com/office/drawing/2014/main" id="{00000000-0008-0000-0500-0000A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2" name="Rectangle 418">
              <a:extLst>
                <a:ext uri="{FF2B5EF4-FFF2-40B4-BE49-F238E27FC236}">
                  <a16:creationId xmlns:a16="http://schemas.microsoft.com/office/drawing/2014/main" id="{00000000-0008-0000-0500-0000A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0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3" name="Rectangle 419">
              <a:extLst>
                <a:ext uri="{FF2B5EF4-FFF2-40B4-BE49-F238E27FC236}">
                  <a16:creationId xmlns:a16="http://schemas.microsoft.com/office/drawing/2014/main" id="{00000000-0008-0000-0500-0000A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4" name="Rectangle 420">
              <a:extLst>
                <a:ext uri="{FF2B5EF4-FFF2-40B4-BE49-F238E27FC236}">
                  <a16:creationId xmlns:a16="http://schemas.microsoft.com/office/drawing/2014/main" id="{00000000-0008-0000-0500-0000A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4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5" name="Rectangle 421">
              <a:extLst>
                <a:ext uri="{FF2B5EF4-FFF2-40B4-BE49-F238E27FC236}">
                  <a16:creationId xmlns:a16="http://schemas.microsoft.com/office/drawing/2014/main" id="{00000000-0008-0000-0500-0000A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46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6" name="Rectangle 422">
              <a:extLst>
                <a:ext uri="{FF2B5EF4-FFF2-40B4-BE49-F238E27FC236}">
                  <a16:creationId xmlns:a16="http://schemas.microsoft.com/office/drawing/2014/main" id="{00000000-0008-0000-0500-0000A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8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7" name="Rectangle 423">
              <a:extLst>
                <a:ext uri="{FF2B5EF4-FFF2-40B4-BE49-F238E27FC236}">
                  <a16:creationId xmlns:a16="http://schemas.microsoft.com/office/drawing/2014/main" id="{00000000-0008-0000-0500-0000A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8" name="Rectangle 424">
              <a:extLst>
                <a:ext uri="{FF2B5EF4-FFF2-40B4-BE49-F238E27FC236}">
                  <a16:creationId xmlns:a16="http://schemas.microsoft.com/office/drawing/2014/main" id="{00000000-0008-0000-0500-0000A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2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69" name="Rectangle 425">
              <a:extLst>
                <a:ext uri="{FF2B5EF4-FFF2-40B4-BE49-F238E27FC236}">
                  <a16:creationId xmlns:a16="http://schemas.microsoft.com/office/drawing/2014/main" id="{00000000-0008-0000-0500-0000A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4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0" name="Rectangle 426">
              <a:extLst>
                <a:ext uri="{FF2B5EF4-FFF2-40B4-BE49-F238E27FC236}">
                  <a16:creationId xmlns:a16="http://schemas.microsoft.com/office/drawing/2014/main" id="{00000000-0008-0000-0500-0000A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6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1" name="Rectangle 427">
              <a:extLst>
                <a:ext uri="{FF2B5EF4-FFF2-40B4-BE49-F238E27FC236}">
                  <a16:creationId xmlns:a16="http://schemas.microsoft.com/office/drawing/2014/main" id="{00000000-0008-0000-0500-0000A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8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2" name="Rectangle 428">
              <a:extLst>
                <a:ext uri="{FF2B5EF4-FFF2-40B4-BE49-F238E27FC236}">
                  <a16:creationId xmlns:a16="http://schemas.microsoft.com/office/drawing/2014/main" id="{00000000-0008-0000-0500-0000A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0" y="174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3" name="Rectangle 429">
              <a:extLst>
                <a:ext uri="{FF2B5EF4-FFF2-40B4-BE49-F238E27FC236}">
                  <a16:creationId xmlns:a16="http://schemas.microsoft.com/office/drawing/2014/main" id="{00000000-0008-0000-0500-0000A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2" y="174"/>
              <a:ext cx="1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4" name="Line 430">
              <a:extLst>
                <a:ext uri="{FF2B5EF4-FFF2-40B4-BE49-F238E27FC236}">
                  <a16:creationId xmlns:a16="http://schemas.microsoft.com/office/drawing/2014/main" id="{00000000-0008-0000-0500-0000AE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0" y="197"/>
              <a:ext cx="214" cy="0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75" name="Rectangle 431">
              <a:extLst>
                <a:ext uri="{FF2B5EF4-FFF2-40B4-BE49-F238E27FC236}">
                  <a16:creationId xmlns:a16="http://schemas.microsoft.com/office/drawing/2014/main" id="{00000000-0008-0000-0500-0000A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197"/>
              <a:ext cx="214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6" name="Rectangle 432">
              <a:extLst>
                <a:ext uri="{FF2B5EF4-FFF2-40B4-BE49-F238E27FC236}">
                  <a16:creationId xmlns:a16="http://schemas.microsoft.com/office/drawing/2014/main" id="{00000000-0008-0000-0500-0000B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219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7" name="Line 433">
              <a:extLst>
                <a:ext uri="{FF2B5EF4-FFF2-40B4-BE49-F238E27FC236}">
                  <a16:creationId xmlns:a16="http://schemas.microsoft.com/office/drawing/2014/main" id="{00000000-0008-0000-0500-0000B1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0" y="34"/>
              <a:ext cx="0" cy="185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78" name="Rectangle 434">
              <a:extLst>
                <a:ext uri="{FF2B5EF4-FFF2-40B4-BE49-F238E27FC236}">
                  <a16:creationId xmlns:a16="http://schemas.microsoft.com/office/drawing/2014/main" id="{00000000-0008-0000-0500-0000B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34"/>
              <a:ext cx="1" cy="185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79" name="Line 435">
              <a:extLst>
                <a:ext uri="{FF2B5EF4-FFF2-40B4-BE49-F238E27FC236}">
                  <a16:creationId xmlns:a16="http://schemas.microsoft.com/office/drawing/2014/main" id="{00000000-0008-0000-0500-0000B319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82" y="34"/>
              <a:ext cx="0" cy="185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580" name="Rectangle 436">
              <a:extLst>
                <a:ext uri="{FF2B5EF4-FFF2-40B4-BE49-F238E27FC236}">
                  <a16:creationId xmlns:a16="http://schemas.microsoft.com/office/drawing/2014/main" id="{00000000-0008-0000-0500-0000B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34"/>
              <a:ext cx="1" cy="185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1" name="Rectangle 437">
              <a:extLst>
                <a:ext uri="{FF2B5EF4-FFF2-40B4-BE49-F238E27FC236}">
                  <a16:creationId xmlns:a16="http://schemas.microsoft.com/office/drawing/2014/main" id="{00000000-0008-0000-0500-0000B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243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2" name="Rectangle 438">
              <a:extLst>
                <a:ext uri="{FF2B5EF4-FFF2-40B4-BE49-F238E27FC236}">
                  <a16:creationId xmlns:a16="http://schemas.microsoft.com/office/drawing/2014/main" id="{00000000-0008-0000-0500-0000B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267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3" name="Rectangle 439">
              <a:extLst>
                <a:ext uri="{FF2B5EF4-FFF2-40B4-BE49-F238E27FC236}">
                  <a16:creationId xmlns:a16="http://schemas.microsoft.com/office/drawing/2014/main" id="{00000000-0008-0000-0500-0000B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291"/>
              <a:ext cx="6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4" name="Rectangle 440">
              <a:extLst>
                <a:ext uri="{FF2B5EF4-FFF2-40B4-BE49-F238E27FC236}">
                  <a16:creationId xmlns:a16="http://schemas.microsoft.com/office/drawing/2014/main" id="{00000000-0008-0000-0500-0000B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291"/>
              <a:ext cx="503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5" name="Rectangle 441">
              <a:extLst>
                <a:ext uri="{FF2B5EF4-FFF2-40B4-BE49-F238E27FC236}">
                  <a16:creationId xmlns:a16="http://schemas.microsoft.com/office/drawing/2014/main" id="{00000000-0008-0000-0500-0000B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314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6" name="Rectangle 442">
              <a:extLst>
                <a:ext uri="{FF2B5EF4-FFF2-40B4-BE49-F238E27FC236}">
                  <a16:creationId xmlns:a16="http://schemas.microsoft.com/office/drawing/2014/main" id="{00000000-0008-0000-0500-0000B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360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7" name="Rectangle 443">
              <a:extLst>
                <a:ext uri="{FF2B5EF4-FFF2-40B4-BE49-F238E27FC236}">
                  <a16:creationId xmlns:a16="http://schemas.microsoft.com/office/drawing/2014/main" id="{00000000-0008-0000-0500-0000B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8" name="Rectangle 444">
              <a:extLst>
                <a:ext uri="{FF2B5EF4-FFF2-40B4-BE49-F238E27FC236}">
                  <a16:creationId xmlns:a16="http://schemas.microsoft.com/office/drawing/2014/main" id="{00000000-0008-0000-0500-0000B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89" name="Rectangle 445">
              <a:extLst>
                <a:ext uri="{FF2B5EF4-FFF2-40B4-BE49-F238E27FC236}">
                  <a16:creationId xmlns:a16="http://schemas.microsoft.com/office/drawing/2014/main" id="{00000000-0008-0000-0500-0000B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0" name="Rectangle 446">
              <a:extLst>
                <a:ext uri="{FF2B5EF4-FFF2-40B4-BE49-F238E27FC236}">
                  <a16:creationId xmlns:a16="http://schemas.microsoft.com/office/drawing/2014/main" id="{00000000-0008-0000-0500-0000B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1" name="Rectangle 447">
              <a:extLst>
                <a:ext uri="{FF2B5EF4-FFF2-40B4-BE49-F238E27FC236}">
                  <a16:creationId xmlns:a16="http://schemas.microsoft.com/office/drawing/2014/main" id="{00000000-0008-0000-0500-0000B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2" name="Rectangle 448">
              <a:extLst>
                <a:ext uri="{FF2B5EF4-FFF2-40B4-BE49-F238E27FC236}">
                  <a16:creationId xmlns:a16="http://schemas.microsoft.com/office/drawing/2014/main" id="{00000000-0008-0000-0500-0000C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360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3" name="Rectangle 449">
              <a:extLst>
                <a:ext uri="{FF2B5EF4-FFF2-40B4-BE49-F238E27FC236}">
                  <a16:creationId xmlns:a16="http://schemas.microsoft.com/office/drawing/2014/main" id="{00000000-0008-0000-0500-0000C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4" name="Rectangle 450">
              <a:extLst>
                <a:ext uri="{FF2B5EF4-FFF2-40B4-BE49-F238E27FC236}">
                  <a16:creationId xmlns:a16="http://schemas.microsoft.com/office/drawing/2014/main" id="{00000000-0008-0000-0500-0000C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5" name="Rectangle 451">
              <a:extLst>
                <a:ext uri="{FF2B5EF4-FFF2-40B4-BE49-F238E27FC236}">
                  <a16:creationId xmlns:a16="http://schemas.microsoft.com/office/drawing/2014/main" id="{00000000-0008-0000-0500-0000C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6" name="Rectangle 452">
              <a:extLst>
                <a:ext uri="{FF2B5EF4-FFF2-40B4-BE49-F238E27FC236}">
                  <a16:creationId xmlns:a16="http://schemas.microsoft.com/office/drawing/2014/main" id="{00000000-0008-0000-0500-0000C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8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7" name="Rectangle 453">
              <a:extLst>
                <a:ext uri="{FF2B5EF4-FFF2-40B4-BE49-F238E27FC236}">
                  <a16:creationId xmlns:a16="http://schemas.microsoft.com/office/drawing/2014/main" id="{00000000-0008-0000-0500-0000C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8" name="Rectangle 454">
              <a:extLst>
                <a:ext uri="{FF2B5EF4-FFF2-40B4-BE49-F238E27FC236}">
                  <a16:creationId xmlns:a16="http://schemas.microsoft.com/office/drawing/2014/main" id="{00000000-0008-0000-0500-0000C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599" name="Rectangle 455">
              <a:extLst>
                <a:ext uri="{FF2B5EF4-FFF2-40B4-BE49-F238E27FC236}">
                  <a16:creationId xmlns:a16="http://schemas.microsoft.com/office/drawing/2014/main" id="{00000000-0008-0000-0500-0000C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0" name="Rectangle 456">
              <a:extLst>
                <a:ext uri="{FF2B5EF4-FFF2-40B4-BE49-F238E27FC236}">
                  <a16:creationId xmlns:a16="http://schemas.microsoft.com/office/drawing/2014/main" id="{00000000-0008-0000-0500-0000C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1" name="Rectangle 457">
              <a:extLst>
                <a:ext uri="{FF2B5EF4-FFF2-40B4-BE49-F238E27FC236}">
                  <a16:creationId xmlns:a16="http://schemas.microsoft.com/office/drawing/2014/main" id="{00000000-0008-0000-0500-0000C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2" name="Rectangle 458">
              <a:extLst>
                <a:ext uri="{FF2B5EF4-FFF2-40B4-BE49-F238E27FC236}">
                  <a16:creationId xmlns:a16="http://schemas.microsoft.com/office/drawing/2014/main" id="{00000000-0008-0000-0500-0000C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3" name="Rectangle 459">
              <a:extLst>
                <a:ext uri="{FF2B5EF4-FFF2-40B4-BE49-F238E27FC236}">
                  <a16:creationId xmlns:a16="http://schemas.microsoft.com/office/drawing/2014/main" id="{00000000-0008-0000-0500-0000C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7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4" name="Rectangle 460">
              <a:extLst>
                <a:ext uri="{FF2B5EF4-FFF2-40B4-BE49-F238E27FC236}">
                  <a16:creationId xmlns:a16="http://schemas.microsoft.com/office/drawing/2014/main" id="{00000000-0008-0000-0500-0000C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5" name="Rectangle 461">
              <a:extLst>
                <a:ext uri="{FF2B5EF4-FFF2-40B4-BE49-F238E27FC236}">
                  <a16:creationId xmlns:a16="http://schemas.microsoft.com/office/drawing/2014/main" id="{00000000-0008-0000-0500-0000C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6" name="Rectangle 462">
              <a:extLst>
                <a:ext uri="{FF2B5EF4-FFF2-40B4-BE49-F238E27FC236}">
                  <a16:creationId xmlns:a16="http://schemas.microsoft.com/office/drawing/2014/main" id="{00000000-0008-0000-0500-0000C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7" name="Rectangle 463">
              <a:extLst>
                <a:ext uri="{FF2B5EF4-FFF2-40B4-BE49-F238E27FC236}">
                  <a16:creationId xmlns:a16="http://schemas.microsoft.com/office/drawing/2014/main" id="{00000000-0008-0000-0500-0000C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8" name="Rectangle 464">
              <a:extLst>
                <a:ext uri="{FF2B5EF4-FFF2-40B4-BE49-F238E27FC236}">
                  <a16:creationId xmlns:a16="http://schemas.microsoft.com/office/drawing/2014/main" id="{00000000-0008-0000-0500-0000D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09" name="Rectangle 465">
              <a:extLst>
                <a:ext uri="{FF2B5EF4-FFF2-40B4-BE49-F238E27FC236}">
                  <a16:creationId xmlns:a16="http://schemas.microsoft.com/office/drawing/2014/main" id="{00000000-0008-0000-0500-0000D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4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0" name="Rectangle 466">
              <a:extLst>
                <a:ext uri="{FF2B5EF4-FFF2-40B4-BE49-F238E27FC236}">
                  <a16:creationId xmlns:a16="http://schemas.microsoft.com/office/drawing/2014/main" id="{00000000-0008-0000-0500-0000D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1" name="Rectangle 467">
              <a:extLst>
                <a:ext uri="{FF2B5EF4-FFF2-40B4-BE49-F238E27FC236}">
                  <a16:creationId xmlns:a16="http://schemas.microsoft.com/office/drawing/2014/main" id="{00000000-0008-0000-0500-0000D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2" name="Rectangle 468">
              <a:extLst>
                <a:ext uri="{FF2B5EF4-FFF2-40B4-BE49-F238E27FC236}">
                  <a16:creationId xmlns:a16="http://schemas.microsoft.com/office/drawing/2014/main" id="{00000000-0008-0000-0500-0000D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3" name="Rectangle 469">
              <a:extLst>
                <a:ext uri="{FF2B5EF4-FFF2-40B4-BE49-F238E27FC236}">
                  <a16:creationId xmlns:a16="http://schemas.microsoft.com/office/drawing/2014/main" id="{00000000-0008-0000-0500-0000D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4" name="Rectangle 470">
              <a:extLst>
                <a:ext uri="{FF2B5EF4-FFF2-40B4-BE49-F238E27FC236}">
                  <a16:creationId xmlns:a16="http://schemas.microsoft.com/office/drawing/2014/main" id="{00000000-0008-0000-0500-0000D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5" name="Rectangle 471">
              <a:extLst>
                <a:ext uri="{FF2B5EF4-FFF2-40B4-BE49-F238E27FC236}">
                  <a16:creationId xmlns:a16="http://schemas.microsoft.com/office/drawing/2014/main" id="{00000000-0008-0000-0500-0000D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6" name="Rectangle 472">
              <a:extLst>
                <a:ext uri="{FF2B5EF4-FFF2-40B4-BE49-F238E27FC236}">
                  <a16:creationId xmlns:a16="http://schemas.microsoft.com/office/drawing/2014/main" id="{00000000-0008-0000-0500-0000D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7" name="Rectangle 473">
              <a:extLst>
                <a:ext uri="{FF2B5EF4-FFF2-40B4-BE49-F238E27FC236}">
                  <a16:creationId xmlns:a16="http://schemas.microsoft.com/office/drawing/2014/main" id="{00000000-0008-0000-0500-0000D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8" name="Rectangle 474">
              <a:extLst>
                <a:ext uri="{FF2B5EF4-FFF2-40B4-BE49-F238E27FC236}">
                  <a16:creationId xmlns:a16="http://schemas.microsoft.com/office/drawing/2014/main" id="{00000000-0008-0000-0500-0000D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19" name="Rectangle 475">
              <a:extLst>
                <a:ext uri="{FF2B5EF4-FFF2-40B4-BE49-F238E27FC236}">
                  <a16:creationId xmlns:a16="http://schemas.microsoft.com/office/drawing/2014/main" id="{00000000-0008-0000-0500-0000D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0" name="Rectangle 476">
              <a:extLst>
                <a:ext uri="{FF2B5EF4-FFF2-40B4-BE49-F238E27FC236}">
                  <a16:creationId xmlns:a16="http://schemas.microsoft.com/office/drawing/2014/main" id="{00000000-0008-0000-0500-0000D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7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1" name="Rectangle 477">
              <a:extLst>
                <a:ext uri="{FF2B5EF4-FFF2-40B4-BE49-F238E27FC236}">
                  <a16:creationId xmlns:a16="http://schemas.microsoft.com/office/drawing/2014/main" id="{00000000-0008-0000-0500-0000D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2" name="Rectangle 478">
              <a:extLst>
                <a:ext uri="{FF2B5EF4-FFF2-40B4-BE49-F238E27FC236}">
                  <a16:creationId xmlns:a16="http://schemas.microsoft.com/office/drawing/2014/main" id="{00000000-0008-0000-0500-0000D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3" name="Rectangle 479">
              <a:extLst>
                <a:ext uri="{FF2B5EF4-FFF2-40B4-BE49-F238E27FC236}">
                  <a16:creationId xmlns:a16="http://schemas.microsoft.com/office/drawing/2014/main" id="{00000000-0008-0000-0500-0000D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4" name="Rectangle 480">
              <a:extLst>
                <a:ext uri="{FF2B5EF4-FFF2-40B4-BE49-F238E27FC236}">
                  <a16:creationId xmlns:a16="http://schemas.microsoft.com/office/drawing/2014/main" id="{00000000-0008-0000-0500-0000E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5" name="Rectangle 481">
              <a:extLst>
                <a:ext uri="{FF2B5EF4-FFF2-40B4-BE49-F238E27FC236}">
                  <a16:creationId xmlns:a16="http://schemas.microsoft.com/office/drawing/2014/main" id="{00000000-0008-0000-0500-0000E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6" name="Rectangle 482">
              <a:extLst>
                <a:ext uri="{FF2B5EF4-FFF2-40B4-BE49-F238E27FC236}">
                  <a16:creationId xmlns:a16="http://schemas.microsoft.com/office/drawing/2014/main" id="{00000000-0008-0000-0500-0000E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4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7" name="Rectangle 483">
              <a:extLst>
                <a:ext uri="{FF2B5EF4-FFF2-40B4-BE49-F238E27FC236}">
                  <a16:creationId xmlns:a16="http://schemas.microsoft.com/office/drawing/2014/main" id="{00000000-0008-0000-0500-0000E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8" name="Rectangle 484">
              <a:extLst>
                <a:ext uri="{FF2B5EF4-FFF2-40B4-BE49-F238E27FC236}">
                  <a16:creationId xmlns:a16="http://schemas.microsoft.com/office/drawing/2014/main" id="{00000000-0008-0000-0500-0000E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29" name="Rectangle 485">
              <a:extLst>
                <a:ext uri="{FF2B5EF4-FFF2-40B4-BE49-F238E27FC236}">
                  <a16:creationId xmlns:a16="http://schemas.microsoft.com/office/drawing/2014/main" id="{00000000-0008-0000-0500-0000E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2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0" name="Rectangle 486">
              <a:extLst>
                <a:ext uri="{FF2B5EF4-FFF2-40B4-BE49-F238E27FC236}">
                  <a16:creationId xmlns:a16="http://schemas.microsoft.com/office/drawing/2014/main" id="{00000000-0008-0000-0500-0000E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4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1" name="Rectangle 487">
              <a:extLst>
                <a:ext uri="{FF2B5EF4-FFF2-40B4-BE49-F238E27FC236}">
                  <a16:creationId xmlns:a16="http://schemas.microsoft.com/office/drawing/2014/main" id="{00000000-0008-0000-0500-0000E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6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2" name="Rectangle 488">
              <a:extLst>
                <a:ext uri="{FF2B5EF4-FFF2-40B4-BE49-F238E27FC236}">
                  <a16:creationId xmlns:a16="http://schemas.microsoft.com/office/drawing/2014/main" id="{00000000-0008-0000-0500-0000E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8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3" name="Rectangle 489">
              <a:extLst>
                <a:ext uri="{FF2B5EF4-FFF2-40B4-BE49-F238E27FC236}">
                  <a16:creationId xmlns:a16="http://schemas.microsoft.com/office/drawing/2014/main" id="{00000000-0008-0000-0500-0000E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0" y="360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4" name="Rectangle 490">
              <a:extLst>
                <a:ext uri="{FF2B5EF4-FFF2-40B4-BE49-F238E27FC236}">
                  <a16:creationId xmlns:a16="http://schemas.microsoft.com/office/drawing/2014/main" id="{00000000-0008-0000-0500-0000E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2" y="360"/>
              <a:ext cx="1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5" name="Rectangle 491">
              <a:extLst>
                <a:ext uri="{FF2B5EF4-FFF2-40B4-BE49-F238E27FC236}">
                  <a16:creationId xmlns:a16="http://schemas.microsoft.com/office/drawing/2014/main" id="{00000000-0008-0000-0500-0000E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405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6" name="Rectangle 492">
              <a:extLst>
                <a:ext uri="{FF2B5EF4-FFF2-40B4-BE49-F238E27FC236}">
                  <a16:creationId xmlns:a16="http://schemas.microsoft.com/office/drawing/2014/main" id="{00000000-0008-0000-0500-0000E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429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7" name="Rectangle 493">
              <a:extLst>
                <a:ext uri="{FF2B5EF4-FFF2-40B4-BE49-F238E27FC236}">
                  <a16:creationId xmlns:a16="http://schemas.microsoft.com/office/drawing/2014/main" id="{00000000-0008-0000-0500-0000E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453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8" name="Rectangle 494">
              <a:extLst>
                <a:ext uri="{FF2B5EF4-FFF2-40B4-BE49-F238E27FC236}">
                  <a16:creationId xmlns:a16="http://schemas.microsoft.com/office/drawing/2014/main" id="{00000000-0008-0000-0500-0000E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477"/>
              <a:ext cx="6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39" name="Rectangle 495">
              <a:extLst>
                <a:ext uri="{FF2B5EF4-FFF2-40B4-BE49-F238E27FC236}">
                  <a16:creationId xmlns:a16="http://schemas.microsoft.com/office/drawing/2014/main" id="{00000000-0008-0000-0500-0000E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477"/>
              <a:ext cx="503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0" name="Rectangle 496">
              <a:extLst>
                <a:ext uri="{FF2B5EF4-FFF2-40B4-BE49-F238E27FC236}">
                  <a16:creationId xmlns:a16="http://schemas.microsoft.com/office/drawing/2014/main" id="{00000000-0008-0000-0500-0000F0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500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1" name="Rectangle 497">
              <a:extLst>
                <a:ext uri="{FF2B5EF4-FFF2-40B4-BE49-F238E27FC236}">
                  <a16:creationId xmlns:a16="http://schemas.microsoft.com/office/drawing/2014/main" id="{00000000-0008-0000-0500-0000F1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546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2" name="Rectangle 498">
              <a:extLst>
                <a:ext uri="{FF2B5EF4-FFF2-40B4-BE49-F238E27FC236}">
                  <a16:creationId xmlns:a16="http://schemas.microsoft.com/office/drawing/2014/main" id="{00000000-0008-0000-0500-0000F2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3" name="Rectangle 499">
              <a:extLst>
                <a:ext uri="{FF2B5EF4-FFF2-40B4-BE49-F238E27FC236}">
                  <a16:creationId xmlns:a16="http://schemas.microsoft.com/office/drawing/2014/main" id="{00000000-0008-0000-0500-0000F3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4" name="Rectangle 500">
              <a:extLst>
                <a:ext uri="{FF2B5EF4-FFF2-40B4-BE49-F238E27FC236}">
                  <a16:creationId xmlns:a16="http://schemas.microsoft.com/office/drawing/2014/main" id="{00000000-0008-0000-0500-0000F4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5" name="Rectangle 501">
              <a:extLst>
                <a:ext uri="{FF2B5EF4-FFF2-40B4-BE49-F238E27FC236}">
                  <a16:creationId xmlns:a16="http://schemas.microsoft.com/office/drawing/2014/main" id="{00000000-0008-0000-0500-0000F5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6" name="Rectangle 502">
              <a:extLst>
                <a:ext uri="{FF2B5EF4-FFF2-40B4-BE49-F238E27FC236}">
                  <a16:creationId xmlns:a16="http://schemas.microsoft.com/office/drawing/2014/main" id="{00000000-0008-0000-0500-0000F6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7" name="Rectangle 503">
              <a:extLst>
                <a:ext uri="{FF2B5EF4-FFF2-40B4-BE49-F238E27FC236}">
                  <a16:creationId xmlns:a16="http://schemas.microsoft.com/office/drawing/2014/main" id="{00000000-0008-0000-0500-0000F7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546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8" name="Rectangle 504">
              <a:extLst>
                <a:ext uri="{FF2B5EF4-FFF2-40B4-BE49-F238E27FC236}">
                  <a16:creationId xmlns:a16="http://schemas.microsoft.com/office/drawing/2014/main" id="{00000000-0008-0000-0500-0000F8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49" name="Rectangle 505">
              <a:extLst>
                <a:ext uri="{FF2B5EF4-FFF2-40B4-BE49-F238E27FC236}">
                  <a16:creationId xmlns:a16="http://schemas.microsoft.com/office/drawing/2014/main" id="{00000000-0008-0000-0500-0000F9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0" name="Rectangle 506">
              <a:extLst>
                <a:ext uri="{FF2B5EF4-FFF2-40B4-BE49-F238E27FC236}">
                  <a16:creationId xmlns:a16="http://schemas.microsoft.com/office/drawing/2014/main" id="{00000000-0008-0000-0500-0000FA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1" name="Rectangle 507">
              <a:extLst>
                <a:ext uri="{FF2B5EF4-FFF2-40B4-BE49-F238E27FC236}">
                  <a16:creationId xmlns:a16="http://schemas.microsoft.com/office/drawing/2014/main" id="{00000000-0008-0000-0500-0000FB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8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2" name="Rectangle 508">
              <a:extLst>
                <a:ext uri="{FF2B5EF4-FFF2-40B4-BE49-F238E27FC236}">
                  <a16:creationId xmlns:a16="http://schemas.microsoft.com/office/drawing/2014/main" id="{00000000-0008-0000-0500-0000FC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3" name="Rectangle 509">
              <a:extLst>
                <a:ext uri="{FF2B5EF4-FFF2-40B4-BE49-F238E27FC236}">
                  <a16:creationId xmlns:a16="http://schemas.microsoft.com/office/drawing/2014/main" id="{00000000-0008-0000-0500-0000FD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4" name="Rectangle 510">
              <a:extLst>
                <a:ext uri="{FF2B5EF4-FFF2-40B4-BE49-F238E27FC236}">
                  <a16:creationId xmlns:a16="http://schemas.microsoft.com/office/drawing/2014/main" id="{00000000-0008-0000-0500-0000FE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5" name="Rectangle 511">
              <a:extLst>
                <a:ext uri="{FF2B5EF4-FFF2-40B4-BE49-F238E27FC236}">
                  <a16:creationId xmlns:a16="http://schemas.microsoft.com/office/drawing/2014/main" id="{00000000-0008-0000-0500-0000FF19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6" name="Rectangle 512">
              <a:extLst>
                <a:ext uri="{FF2B5EF4-FFF2-40B4-BE49-F238E27FC236}">
                  <a16:creationId xmlns:a16="http://schemas.microsoft.com/office/drawing/2014/main" id="{00000000-0008-0000-0500-00000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7" name="Rectangle 513">
              <a:extLst>
                <a:ext uri="{FF2B5EF4-FFF2-40B4-BE49-F238E27FC236}">
                  <a16:creationId xmlns:a16="http://schemas.microsoft.com/office/drawing/2014/main" id="{00000000-0008-0000-0500-00000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8" name="Rectangle 514">
              <a:extLst>
                <a:ext uri="{FF2B5EF4-FFF2-40B4-BE49-F238E27FC236}">
                  <a16:creationId xmlns:a16="http://schemas.microsoft.com/office/drawing/2014/main" id="{00000000-0008-0000-0500-00000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7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59" name="Rectangle 515">
              <a:extLst>
                <a:ext uri="{FF2B5EF4-FFF2-40B4-BE49-F238E27FC236}">
                  <a16:creationId xmlns:a16="http://schemas.microsoft.com/office/drawing/2014/main" id="{00000000-0008-0000-0500-00000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0" name="Rectangle 516">
              <a:extLst>
                <a:ext uri="{FF2B5EF4-FFF2-40B4-BE49-F238E27FC236}">
                  <a16:creationId xmlns:a16="http://schemas.microsoft.com/office/drawing/2014/main" id="{00000000-0008-0000-0500-00000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1" name="Rectangle 517">
              <a:extLst>
                <a:ext uri="{FF2B5EF4-FFF2-40B4-BE49-F238E27FC236}">
                  <a16:creationId xmlns:a16="http://schemas.microsoft.com/office/drawing/2014/main" id="{00000000-0008-0000-0500-00000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2" name="Rectangle 518">
              <a:extLst>
                <a:ext uri="{FF2B5EF4-FFF2-40B4-BE49-F238E27FC236}">
                  <a16:creationId xmlns:a16="http://schemas.microsoft.com/office/drawing/2014/main" id="{00000000-0008-0000-0500-00000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3" name="Rectangle 519">
              <a:extLst>
                <a:ext uri="{FF2B5EF4-FFF2-40B4-BE49-F238E27FC236}">
                  <a16:creationId xmlns:a16="http://schemas.microsoft.com/office/drawing/2014/main" id="{00000000-0008-0000-0500-00000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4" name="Rectangle 520">
              <a:extLst>
                <a:ext uri="{FF2B5EF4-FFF2-40B4-BE49-F238E27FC236}">
                  <a16:creationId xmlns:a16="http://schemas.microsoft.com/office/drawing/2014/main" id="{00000000-0008-0000-0500-00000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4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5" name="Rectangle 521">
              <a:extLst>
                <a:ext uri="{FF2B5EF4-FFF2-40B4-BE49-F238E27FC236}">
                  <a16:creationId xmlns:a16="http://schemas.microsoft.com/office/drawing/2014/main" id="{00000000-0008-0000-0500-00000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6" name="Rectangle 522">
              <a:extLst>
                <a:ext uri="{FF2B5EF4-FFF2-40B4-BE49-F238E27FC236}">
                  <a16:creationId xmlns:a16="http://schemas.microsoft.com/office/drawing/2014/main" id="{00000000-0008-0000-0500-00000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7" name="Rectangle 523">
              <a:extLst>
                <a:ext uri="{FF2B5EF4-FFF2-40B4-BE49-F238E27FC236}">
                  <a16:creationId xmlns:a16="http://schemas.microsoft.com/office/drawing/2014/main" id="{00000000-0008-0000-0500-00000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8" name="Rectangle 524">
              <a:extLst>
                <a:ext uri="{FF2B5EF4-FFF2-40B4-BE49-F238E27FC236}">
                  <a16:creationId xmlns:a16="http://schemas.microsoft.com/office/drawing/2014/main" id="{00000000-0008-0000-0500-00000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69" name="Rectangle 525">
              <a:extLst>
                <a:ext uri="{FF2B5EF4-FFF2-40B4-BE49-F238E27FC236}">
                  <a16:creationId xmlns:a16="http://schemas.microsoft.com/office/drawing/2014/main" id="{00000000-0008-0000-0500-00000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0" name="Rectangle 526">
              <a:extLst>
                <a:ext uri="{FF2B5EF4-FFF2-40B4-BE49-F238E27FC236}">
                  <a16:creationId xmlns:a16="http://schemas.microsoft.com/office/drawing/2014/main" id="{00000000-0008-0000-0500-00000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1" name="Rectangle 527">
              <a:extLst>
                <a:ext uri="{FF2B5EF4-FFF2-40B4-BE49-F238E27FC236}">
                  <a16:creationId xmlns:a16="http://schemas.microsoft.com/office/drawing/2014/main" id="{00000000-0008-0000-0500-00000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2" name="Rectangle 528">
              <a:extLst>
                <a:ext uri="{FF2B5EF4-FFF2-40B4-BE49-F238E27FC236}">
                  <a16:creationId xmlns:a16="http://schemas.microsoft.com/office/drawing/2014/main" id="{00000000-0008-0000-0500-00001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3" name="Rectangle 529">
              <a:extLst>
                <a:ext uri="{FF2B5EF4-FFF2-40B4-BE49-F238E27FC236}">
                  <a16:creationId xmlns:a16="http://schemas.microsoft.com/office/drawing/2014/main" id="{00000000-0008-0000-0500-00001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4" name="Rectangle 530">
              <a:extLst>
                <a:ext uri="{FF2B5EF4-FFF2-40B4-BE49-F238E27FC236}">
                  <a16:creationId xmlns:a16="http://schemas.microsoft.com/office/drawing/2014/main" id="{00000000-0008-0000-0500-00001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5" name="Rectangle 531">
              <a:extLst>
                <a:ext uri="{FF2B5EF4-FFF2-40B4-BE49-F238E27FC236}">
                  <a16:creationId xmlns:a16="http://schemas.microsoft.com/office/drawing/2014/main" id="{00000000-0008-0000-0500-00001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7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6" name="Rectangle 532">
              <a:extLst>
                <a:ext uri="{FF2B5EF4-FFF2-40B4-BE49-F238E27FC236}">
                  <a16:creationId xmlns:a16="http://schemas.microsoft.com/office/drawing/2014/main" id="{00000000-0008-0000-0500-00001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7" name="Rectangle 533">
              <a:extLst>
                <a:ext uri="{FF2B5EF4-FFF2-40B4-BE49-F238E27FC236}">
                  <a16:creationId xmlns:a16="http://schemas.microsoft.com/office/drawing/2014/main" id="{00000000-0008-0000-0500-00001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8" name="Rectangle 534">
              <a:extLst>
                <a:ext uri="{FF2B5EF4-FFF2-40B4-BE49-F238E27FC236}">
                  <a16:creationId xmlns:a16="http://schemas.microsoft.com/office/drawing/2014/main" id="{00000000-0008-0000-0500-00001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79" name="Rectangle 535">
              <a:extLst>
                <a:ext uri="{FF2B5EF4-FFF2-40B4-BE49-F238E27FC236}">
                  <a16:creationId xmlns:a16="http://schemas.microsoft.com/office/drawing/2014/main" id="{00000000-0008-0000-0500-00001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0" name="Rectangle 536">
              <a:extLst>
                <a:ext uri="{FF2B5EF4-FFF2-40B4-BE49-F238E27FC236}">
                  <a16:creationId xmlns:a16="http://schemas.microsoft.com/office/drawing/2014/main" id="{00000000-0008-0000-0500-00001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1" name="Rectangle 537">
              <a:extLst>
                <a:ext uri="{FF2B5EF4-FFF2-40B4-BE49-F238E27FC236}">
                  <a16:creationId xmlns:a16="http://schemas.microsoft.com/office/drawing/2014/main" id="{00000000-0008-0000-0500-00001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4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2" name="Rectangle 538">
              <a:extLst>
                <a:ext uri="{FF2B5EF4-FFF2-40B4-BE49-F238E27FC236}">
                  <a16:creationId xmlns:a16="http://schemas.microsoft.com/office/drawing/2014/main" id="{00000000-0008-0000-0500-00001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3" name="Rectangle 539">
              <a:extLst>
                <a:ext uri="{FF2B5EF4-FFF2-40B4-BE49-F238E27FC236}">
                  <a16:creationId xmlns:a16="http://schemas.microsoft.com/office/drawing/2014/main" id="{00000000-0008-0000-0500-00001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4" name="Rectangle 540">
              <a:extLst>
                <a:ext uri="{FF2B5EF4-FFF2-40B4-BE49-F238E27FC236}">
                  <a16:creationId xmlns:a16="http://schemas.microsoft.com/office/drawing/2014/main" id="{00000000-0008-0000-0500-00001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2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5" name="Rectangle 541">
              <a:extLst>
                <a:ext uri="{FF2B5EF4-FFF2-40B4-BE49-F238E27FC236}">
                  <a16:creationId xmlns:a16="http://schemas.microsoft.com/office/drawing/2014/main" id="{00000000-0008-0000-0500-00001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4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6" name="Rectangle 542">
              <a:extLst>
                <a:ext uri="{FF2B5EF4-FFF2-40B4-BE49-F238E27FC236}">
                  <a16:creationId xmlns:a16="http://schemas.microsoft.com/office/drawing/2014/main" id="{00000000-0008-0000-0500-00001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6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7" name="Rectangle 543">
              <a:extLst>
                <a:ext uri="{FF2B5EF4-FFF2-40B4-BE49-F238E27FC236}">
                  <a16:creationId xmlns:a16="http://schemas.microsoft.com/office/drawing/2014/main" id="{00000000-0008-0000-0500-00001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8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8" name="Rectangle 544">
              <a:extLst>
                <a:ext uri="{FF2B5EF4-FFF2-40B4-BE49-F238E27FC236}">
                  <a16:creationId xmlns:a16="http://schemas.microsoft.com/office/drawing/2014/main" id="{00000000-0008-0000-0500-00002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0" y="546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89" name="Rectangle 545">
              <a:extLst>
                <a:ext uri="{FF2B5EF4-FFF2-40B4-BE49-F238E27FC236}">
                  <a16:creationId xmlns:a16="http://schemas.microsoft.com/office/drawing/2014/main" id="{00000000-0008-0000-0500-00002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2" y="546"/>
              <a:ext cx="1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0" name="Rectangle 546">
              <a:extLst>
                <a:ext uri="{FF2B5EF4-FFF2-40B4-BE49-F238E27FC236}">
                  <a16:creationId xmlns:a16="http://schemas.microsoft.com/office/drawing/2014/main" id="{00000000-0008-0000-0500-00002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591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1" name="Rectangle 547">
              <a:extLst>
                <a:ext uri="{FF2B5EF4-FFF2-40B4-BE49-F238E27FC236}">
                  <a16:creationId xmlns:a16="http://schemas.microsoft.com/office/drawing/2014/main" id="{00000000-0008-0000-0500-00002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615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2" name="Rectangle 548">
              <a:extLst>
                <a:ext uri="{FF2B5EF4-FFF2-40B4-BE49-F238E27FC236}">
                  <a16:creationId xmlns:a16="http://schemas.microsoft.com/office/drawing/2014/main" id="{00000000-0008-0000-0500-00002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639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3" name="Rectangle 549">
              <a:extLst>
                <a:ext uri="{FF2B5EF4-FFF2-40B4-BE49-F238E27FC236}">
                  <a16:creationId xmlns:a16="http://schemas.microsoft.com/office/drawing/2014/main" id="{00000000-0008-0000-0500-00002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663"/>
              <a:ext cx="6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4" name="Rectangle 550">
              <a:extLst>
                <a:ext uri="{FF2B5EF4-FFF2-40B4-BE49-F238E27FC236}">
                  <a16:creationId xmlns:a16="http://schemas.microsoft.com/office/drawing/2014/main" id="{00000000-0008-0000-0500-00002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663"/>
              <a:ext cx="503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5" name="Rectangle 551">
              <a:extLst>
                <a:ext uri="{FF2B5EF4-FFF2-40B4-BE49-F238E27FC236}">
                  <a16:creationId xmlns:a16="http://schemas.microsoft.com/office/drawing/2014/main" id="{00000000-0008-0000-0500-00002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686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6" name="Rectangle 552">
              <a:extLst>
                <a:ext uri="{FF2B5EF4-FFF2-40B4-BE49-F238E27FC236}">
                  <a16:creationId xmlns:a16="http://schemas.microsoft.com/office/drawing/2014/main" id="{00000000-0008-0000-0500-00002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732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7" name="Rectangle 553">
              <a:extLst>
                <a:ext uri="{FF2B5EF4-FFF2-40B4-BE49-F238E27FC236}">
                  <a16:creationId xmlns:a16="http://schemas.microsoft.com/office/drawing/2014/main" id="{00000000-0008-0000-0500-00002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8" name="Rectangle 554">
              <a:extLst>
                <a:ext uri="{FF2B5EF4-FFF2-40B4-BE49-F238E27FC236}">
                  <a16:creationId xmlns:a16="http://schemas.microsoft.com/office/drawing/2014/main" id="{00000000-0008-0000-0500-00002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699" name="Rectangle 555">
              <a:extLst>
                <a:ext uri="{FF2B5EF4-FFF2-40B4-BE49-F238E27FC236}">
                  <a16:creationId xmlns:a16="http://schemas.microsoft.com/office/drawing/2014/main" id="{00000000-0008-0000-0500-00002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0" name="Rectangle 556">
              <a:extLst>
                <a:ext uri="{FF2B5EF4-FFF2-40B4-BE49-F238E27FC236}">
                  <a16:creationId xmlns:a16="http://schemas.microsoft.com/office/drawing/2014/main" id="{00000000-0008-0000-0500-00002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1" name="Rectangle 557">
              <a:extLst>
                <a:ext uri="{FF2B5EF4-FFF2-40B4-BE49-F238E27FC236}">
                  <a16:creationId xmlns:a16="http://schemas.microsoft.com/office/drawing/2014/main" id="{00000000-0008-0000-0500-00002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2" name="Rectangle 558">
              <a:extLst>
                <a:ext uri="{FF2B5EF4-FFF2-40B4-BE49-F238E27FC236}">
                  <a16:creationId xmlns:a16="http://schemas.microsoft.com/office/drawing/2014/main" id="{00000000-0008-0000-0500-00002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732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3" name="Rectangle 559">
              <a:extLst>
                <a:ext uri="{FF2B5EF4-FFF2-40B4-BE49-F238E27FC236}">
                  <a16:creationId xmlns:a16="http://schemas.microsoft.com/office/drawing/2014/main" id="{00000000-0008-0000-0500-00002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4" name="Rectangle 560">
              <a:extLst>
                <a:ext uri="{FF2B5EF4-FFF2-40B4-BE49-F238E27FC236}">
                  <a16:creationId xmlns:a16="http://schemas.microsoft.com/office/drawing/2014/main" id="{00000000-0008-0000-0500-00003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5" name="Rectangle 561">
              <a:extLst>
                <a:ext uri="{FF2B5EF4-FFF2-40B4-BE49-F238E27FC236}">
                  <a16:creationId xmlns:a16="http://schemas.microsoft.com/office/drawing/2014/main" id="{00000000-0008-0000-0500-00003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6" name="Rectangle 562">
              <a:extLst>
                <a:ext uri="{FF2B5EF4-FFF2-40B4-BE49-F238E27FC236}">
                  <a16:creationId xmlns:a16="http://schemas.microsoft.com/office/drawing/2014/main" id="{00000000-0008-0000-0500-00003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8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7" name="Rectangle 563">
              <a:extLst>
                <a:ext uri="{FF2B5EF4-FFF2-40B4-BE49-F238E27FC236}">
                  <a16:creationId xmlns:a16="http://schemas.microsoft.com/office/drawing/2014/main" id="{00000000-0008-0000-0500-00003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8" name="Rectangle 564">
              <a:extLst>
                <a:ext uri="{FF2B5EF4-FFF2-40B4-BE49-F238E27FC236}">
                  <a16:creationId xmlns:a16="http://schemas.microsoft.com/office/drawing/2014/main" id="{00000000-0008-0000-0500-00003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09" name="Rectangle 565">
              <a:extLst>
                <a:ext uri="{FF2B5EF4-FFF2-40B4-BE49-F238E27FC236}">
                  <a16:creationId xmlns:a16="http://schemas.microsoft.com/office/drawing/2014/main" id="{00000000-0008-0000-0500-00003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0" name="Rectangle 566">
              <a:extLst>
                <a:ext uri="{FF2B5EF4-FFF2-40B4-BE49-F238E27FC236}">
                  <a16:creationId xmlns:a16="http://schemas.microsoft.com/office/drawing/2014/main" id="{00000000-0008-0000-0500-00003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1" name="Rectangle 567">
              <a:extLst>
                <a:ext uri="{FF2B5EF4-FFF2-40B4-BE49-F238E27FC236}">
                  <a16:creationId xmlns:a16="http://schemas.microsoft.com/office/drawing/2014/main" id="{00000000-0008-0000-0500-00003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2" name="Rectangle 568">
              <a:extLst>
                <a:ext uri="{FF2B5EF4-FFF2-40B4-BE49-F238E27FC236}">
                  <a16:creationId xmlns:a16="http://schemas.microsoft.com/office/drawing/2014/main" id="{00000000-0008-0000-0500-00003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3" name="Rectangle 569">
              <a:extLst>
                <a:ext uri="{FF2B5EF4-FFF2-40B4-BE49-F238E27FC236}">
                  <a16:creationId xmlns:a16="http://schemas.microsoft.com/office/drawing/2014/main" id="{00000000-0008-0000-0500-00003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7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4" name="Rectangle 570">
              <a:extLst>
                <a:ext uri="{FF2B5EF4-FFF2-40B4-BE49-F238E27FC236}">
                  <a16:creationId xmlns:a16="http://schemas.microsoft.com/office/drawing/2014/main" id="{00000000-0008-0000-0500-00003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5" name="Rectangle 571">
              <a:extLst>
                <a:ext uri="{FF2B5EF4-FFF2-40B4-BE49-F238E27FC236}">
                  <a16:creationId xmlns:a16="http://schemas.microsoft.com/office/drawing/2014/main" id="{00000000-0008-0000-0500-00003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6" name="Rectangle 572">
              <a:extLst>
                <a:ext uri="{FF2B5EF4-FFF2-40B4-BE49-F238E27FC236}">
                  <a16:creationId xmlns:a16="http://schemas.microsoft.com/office/drawing/2014/main" id="{00000000-0008-0000-0500-00003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7" name="Rectangle 573">
              <a:extLst>
                <a:ext uri="{FF2B5EF4-FFF2-40B4-BE49-F238E27FC236}">
                  <a16:creationId xmlns:a16="http://schemas.microsoft.com/office/drawing/2014/main" id="{00000000-0008-0000-0500-00003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8" name="Rectangle 574">
              <a:extLst>
                <a:ext uri="{FF2B5EF4-FFF2-40B4-BE49-F238E27FC236}">
                  <a16:creationId xmlns:a16="http://schemas.microsoft.com/office/drawing/2014/main" id="{00000000-0008-0000-0500-00003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19" name="Rectangle 575">
              <a:extLst>
                <a:ext uri="{FF2B5EF4-FFF2-40B4-BE49-F238E27FC236}">
                  <a16:creationId xmlns:a16="http://schemas.microsoft.com/office/drawing/2014/main" id="{00000000-0008-0000-0500-00003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4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0" name="Rectangle 576">
              <a:extLst>
                <a:ext uri="{FF2B5EF4-FFF2-40B4-BE49-F238E27FC236}">
                  <a16:creationId xmlns:a16="http://schemas.microsoft.com/office/drawing/2014/main" id="{00000000-0008-0000-0500-00004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1" name="Rectangle 577">
              <a:extLst>
                <a:ext uri="{FF2B5EF4-FFF2-40B4-BE49-F238E27FC236}">
                  <a16:creationId xmlns:a16="http://schemas.microsoft.com/office/drawing/2014/main" id="{00000000-0008-0000-0500-00004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6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2" name="Rectangle 578">
              <a:extLst>
                <a:ext uri="{FF2B5EF4-FFF2-40B4-BE49-F238E27FC236}">
                  <a16:creationId xmlns:a16="http://schemas.microsoft.com/office/drawing/2014/main" id="{00000000-0008-0000-0500-00004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3" name="Rectangle 579">
              <a:extLst>
                <a:ext uri="{FF2B5EF4-FFF2-40B4-BE49-F238E27FC236}">
                  <a16:creationId xmlns:a16="http://schemas.microsoft.com/office/drawing/2014/main" id="{00000000-0008-0000-0500-00004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4" name="Rectangle 580">
              <a:extLst>
                <a:ext uri="{FF2B5EF4-FFF2-40B4-BE49-F238E27FC236}">
                  <a16:creationId xmlns:a16="http://schemas.microsoft.com/office/drawing/2014/main" id="{00000000-0008-0000-0500-00004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5" name="Rectangle 581">
              <a:extLst>
                <a:ext uri="{FF2B5EF4-FFF2-40B4-BE49-F238E27FC236}">
                  <a16:creationId xmlns:a16="http://schemas.microsoft.com/office/drawing/2014/main" id="{00000000-0008-0000-0500-00004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6" name="Rectangle 582">
              <a:extLst>
                <a:ext uri="{FF2B5EF4-FFF2-40B4-BE49-F238E27FC236}">
                  <a16:creationId xmlns:a16="http://schemas.microsoft.com/office/drawing/2014/main" id="{00000000-0008-0000-0500-00004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7" name="Rectangle 583">
              <a:extLst>
                <a:ext uri="{FF2B5EF4-FFF2-40B4-BE49-F238E27FC236}">
                  <a16:creationId xmlns:a16="http://schemas.microsoft.com/office/drawing/2014/main" id="{00000000-0008-0000-0500-00004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3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8" name="Rectangle 584">
              <a:extLst>
                <a:ext uri="{FF2B5EF4-FFF2-40B4-BE49-F238E27FC236}">
                  <a16:creationId xmlns:a16="http://schemas.microsoft.com/office/drawing/2014/main" id="{00000000-0008-0000-0500-00004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5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29" name="Rectangle 585">
              <a:extLst>
                <a:ext uri="{FF2B5EF4-FFF2-40B4-BE49-F238E27FC236}">
                  <a16:creationId xmlns:a16="http://schemas.microsoft.com/office/drawing/2014/main" id="{00000000-0008-0000-0500-00004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0" name="Rectangle 586">
              <a:extLst>
                <a:ext uri="{FF2B5EF4-FFF2-40B4-BE49-F238E27FC236}">
                  <a16:creationId xmlns:a16="http://schemas.microsoft.com/office/drawing/2014/main" id="{00000000-0008-0000-0500-00004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7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1" name="Rectangle 587">
              <a:extLst>
                <a:ext uri="{FF2B5EF4-FFF2-40B4-BE49-F238E27FC236}">
                  <a16:creationId xmlns:a16="http://schemas.microsoft.com/office/drawing/2014/main" id="{00000000-0008-0000-0500-00004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2" name="Rectangle 588">
              <a:extLst>
                <a:ext uri="{FF2B5EF4-FFF2-40B4-BE49-F238E27FC236}">
                  <a16:creationId xmlns:a16="http://schemas.microsoft.com/office/drawing/2014/main" id="{00000000-0008-0000-0500-00004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3" name="Rectangle 589">
              <a:extLst>
                <a:ext uri="{FF2B5EF4-FFF2-40B4-BE49-F238E27FC236}">
                  <a16:creationId xmlns:a16="http://schemas.microsoft.com/office/drawing/2014/main" id="{00000000-0008-0000-0500-00004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4" name="Rectangle 590">
              <a:extLst>
                <a:ext uri="{FF2B5EF4-FFF2-40B4-BE49-F238E27FC236}">
                  <a16:creationId xmlns:a16="http://schemas.microsoft.com/office/drawing/2014/main" id="{00000000-0008-0000-0500-00004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2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5" name="Rectangle 591">
              <a:extLst>
                <a:ext uri="{FF2B5EF4-FFF2-40B4-BE49-F238E27FC236}">
                  <a16:creationId xmlns:a16="http://schemas.microsoft.com/office/drawing/2014/main" id="{00000000-0008-0000-0500-00004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6" name="Rectangle 592">
              <a:extLst>
                <a:ext uri="{FF2B5EF4-FFF2-40B4-BE49-F238E27FC236}">
                  <a16:creationId xmlns:a16="http://schemas.microsoft.com/office/drawing/2014/main" id="{00000000-0008-0000-0500-00005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4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7" name="Rectangle 593">
              <a:extLst>
                <a:ext uri="{FF2B5EF4-FFF2-40B4-BE49-F238E27FC236}">
                  <a16:creationId xmlns:a16="http://schemas.microsoft.com/office/drawing/2014/main" id="{00000000-0008-0000-0500-00005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8" name="Rectangle 594">
              <a:extLst>
                <a:ext uri="{FF2B5EF4-FFF2-40B4-BE49-F238E27FC236}">
                  <a16:creationId xmlns:a16="http://schemas.microsoft.com/office/drawing/2014/main" id="{00000000-0008-0000-0500-00005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7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39" name="Rectangle 595">
              <a:extLst>
                <a:ext uri="{FF2B5EF4-FFF2-40B4-BE49-F238E27FC236}">
                  <a16:creationId xmlns:a16="http://schemas.microsoft.com/office/drawing/2014/main" id="{00000000-0008-0000-0500-00005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82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0" name="Rectangle 596">
              <a:extLst>
                <a:ext uri="{FF2B5EF4-FFF2-40B4-BE49-F238E27FC236}">
                  <a16:creationId xmlns:a16="http://schemas.microsoft.com/office/drawing/2014/main" id="{00000000-0008-0000-0500-00005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4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1" name="Rectangle 597">
              <a:extLst>
                <a:ext uri="{FF2B5EF4-FFF2-40B4-BE49-F238E27FC236}">
                  <a16:creationId xmlns:a16="http://schemas.microsoft.com/office/drawing/2014/main" id="{00000000-0008-0000-0500-00005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6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2" name="Rectangle 598">
              <a:extLst>
                <a:ext uri="{FF2B5EF4-FFF2-40B4-BE49-F238E27FC236}">
                  <a16:creationId xmlns:a16="http://schemas.microsoft.com/office/drawing/2014/main" id="{00000000-0008-0000-0500-00005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8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3" name="Rectangle 599">
              <a:extLst>
                <a:ext uri="{FF2B5EF4-FFF2-40B4-BE49-F238E27FC236}">
                  <a16:creationId xmlns:a16="http://schemas.microsoft.com/office/drawing/2014/main" id="{00000000-0008-0000-0500-00005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30" y="732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4" name="Rectangle 600">
              <a:extLst>
                <a:ext uri="{FF2B5EF4-FFF2-40B4-BE49-F238E27FC236}">
                  <a16:creationId xmlns:a16="http://schemas.microsoft.com/office/drawing/2014/main" id="{00000000-0008-0000-0500-00005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42" y="732"/>
              <a:ext cx="1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5" name="Rectangle 601">
              <a:extLst>
                <a:ext uri="{FF2B5EF4-FFF2-40B4-BE49-F238E27FC236}">
                  <a16:creationId xmlns:a16="http://schemas.microsoft.com/office/drawing/2014/main" id="{00000000-0008-0000-0500-00005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777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6" name="Rectangle 602">
              <a:extLst>
                <a:ext uri="{FF2B5EF4-FFF2-40B4-BE49-F238E27FC236}">
                  <a16:creationId xmlns:a16="http://schemas.microsoft.com/office/drawing/2014/main" id="{00000000-0008-0000-0500-00005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801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7" name="Rectangle 603">
              <a:extLst>
                <a:ext uri="{FF2B5EF4-FFF2-40B4-BE49-F238E27FC236}">
                  <a16:creationId xmlns:a16="http://schemas.microsoft.com/office/drawing/2014/main" id="{00000000-0008-0000-0500-00005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825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8" name="Rectangle 604">
              <a:extLst>
                <a:ext uri="{FF2B5EF4-FFF2-40B4-BE49-F238E27FC236}">
                  <a16:creationId xmlns:a16="http://schemas.microsoft.com/office/drawing/2014/main" id="{00000000-0008-0000-0500-00005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849"/>
              <a:ext cx="6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49" name="Rectangle 605">
              <a:extLst>
                <a:ext uri="{FF2B5EF4-FFF2-40B4-BE49-F238E27FC236}">
                  <a16:creationId xmlns:a16="http://schemas.microsoft.com/office/drawing/2014/main" id="{00000000-0008-0000-0500-00005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849"/>
              <a:ext cx="503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0" name="Rectangle 606">
              <a:extLst>
                <a:ext uri="{FF2B5EF4-FFF2-40B4-BE49-F238E27FC236}">
                  <a16:creationId xmlns:a16="http://schemas.microsoft.com/office/drawing/2014/main" id="{00000000-0008-0000-0500-00005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872"/>
              <a:ext cx="575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1" name="Rectangle 607">
              <a:extLst>
                <a:ext uri="{FF2B5EF4-FFF2-40B4-BE49-F238E27FC236}">
                  <a16:creationId xmlns:a16="http://schemas.microsoft.com/office/drawing/2014/main" id="{00000000-0008-0000-0500-00005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8" y="918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2" name="Rectangle 608">
              <a:extLst>
                <a:ext uri="{FF2B5EF4-FFF2-40B4-BE49-F238E27FC236}">
                  <a16:creationId xmlns:a16="http://schemas.microsoft.com/office/drawing/2014/main" id="{00000000-0008-0000-0500-00006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8" y="918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3" name="Rectangle 609">
              <a:extLst>
                <a:ext uri="{FF2B5EF4-FFF2-40B4-BE49-F238E27FC236}">
                  <a16:creationId xmlns:a16="http://schemas.microsoft.com/office/drawing/2014/main" id="{00000000-0008-0000-0500-00006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0" y="918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4" name="Rectangle 610">
              <a:extLst>
                <a:ext uri="{FF2B5EF4-FFF2-40B4-BE49-F238E27FC236}">
                  <a16:creationId xmlns:a16="http://schemas.microsoft.com/office/drawing/2014/main" id="{00000000-0008-0000-0500-00006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2" y="918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5" name="Rectangle 611">
              <a:extLst>
                <a:ext uri="{FF2B5EF4-FFF2-40B4-BE49-F238E27FC236}">
                  <a16:creationId xmlns:a16="http://schemas.microsoft.com/office/drawing/2014/main" id="{00000000-0008-0000-0500-00006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4" y="918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6" name="Rectangle 612">
              <a:extLst>
                <a:ext uri="{FF2B5EF4-FFF2-40B4-BE49-F238E27FC236}">
                  <a16:creationId xmlns:a16="http://schemas.microsoft.com/office/drawing/2014/main" id="{00000000-0008-0000-0500-00006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26" y="918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757" name="Rectangle 613">
              <a:extLst>
                <a:ext uri="{FF2B5EF4-FFF2-40B4-BE49-F238E27FC236}">
                  <a16:creationId xmlns:a16="http://schemas.microsoft.com/office/drawing/2014/main" id="{00000000-0008-0000-0500-00006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918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6759" name="Rectangle 615">
            <a:extLst>
              <a:ext uri="{FF2B5EF4-FFF2-40B4-BE49-F238E27FC236}">
                <a16:creationId xmlns:a16="http://schemas.microsoft.com/office/drawing/2014/main" id="{00000000-0008-0000-0500-0000671A0000}"/>
              </a:ext>
            </a:extLst>
          </xdr:cNvPr>
          <xdr:cNvSpPr>
            <a:spLocks noChangeArrowheads="1"/>
          </xdr:cNvSpPr>
        </xdr:nvSpPr>
        <xdr:spPr bwMode="auto">
          <a:xfrm>
            <a:off x="15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0" name="Rectangle 616">
            <a:extLst>
              <a:ext uri="{FF2B5EF4-FFF2-40B4-BE49-F238E27FC236}">
                <a16:creationId xmlns:a16="http://schemas.microsoft.com/office/drawing/2014/main" id="{00000000-0008-0000-0500-0000681A0000}"/>
              </a:ext>
            </a:extLst>
          </xdr:cNvPr>
          <xdr:cNvSpPr>
            <a:spLocks noChangeArrowheads="1"/>
          </xdr:cNvSpPr>
        </xdr:nvSpPr>
        <xdr:spPr bwMode="auto">
          <a:xfrm>
            <a:off x="16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1" name="Rectangle 617">
            <a:extLst>
              <a:ext uri="{FF2B5EF4-FFF2-40B4-BE49-F238E27FC236}">
                <a16:creationId xmlns:a16="http://schemas.microsoft.com/office/drawing/2014/main" id="{00000000-0008-0000-0500-0000691A0000}"/>
              </a:ext>
            </a:extLst>
          </xdr:cNvPr>
          <xdr:cNvSpPr>
            <a:spLocks noChangeArrowheads="1"/>
          </xdr:cNvSpPr>
        </xdr:nvSpPr>
        <xdr:spPr bwMode="auto">
          <a:xfrm>
            <a:off x="17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2" name="Rectangle 618">
            <a:extLst>
              <a:ext uri="{FF2B5EF4-FFF2-40B4-BE49-F238E27FC236}">
                <a16:creationId xmlns:a16="http://schemas.microsoft.com/office/drawing/2014/main" id="{00000000-0008-0000-0500-00006A1A0000}"/>
              </a:ext>
            </a:extLst>
          </xdr:cNvPr>
          <xdr:cNvSpPr>
            <a:spLocks noChangeArrowheads="1"/>
          </xdr:cNvSpPr>
        </xdr:nvSpPr>
        <xdr:spPr bwMode="auto">
          <a:xfrm>
            <a:off x="18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3" name="Rectangle 619">
            <a:extLst>
              <a:ext uri="{FF2B5EF4-FFF2-40B4-BE49-F238E27FC236}">
                <a16:creationId xmlns:a16="http://schemas.microsoft.com/office/drawing/2014/main" id="{00000000-0008-0000-0500-00006B1A0000}"/>
              </a:ext>
            </a:extLst>
          </xdr:cNvPr>
          <xdr:cNvSpPr>
            <a:spLocks noChangeArrowheads="1"/>
          </xdr:cNvSpPr>
        </xdr:nvSpPr>
        <xdr:spPr bwMode="auto">
          <a:xfrm>
            <a:off x="19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4" name="Rectangle 620">
            <a:extLst>
              <a:ext uri="{FF2B5EF4-FFF2-40B4-BE49-F238E27FC236}">
                <a16:creationId xmlns:a16="http://schemas.microsoft.com/office/drawing/2014/main" id="{00000000-0008-0000-0500-00006C1A0000}"/>
              </a:ext>
            </a:extLst>
          </xdr:cNvPr>
          <xdr:cNvSpPr>
            <a:spLocks noChangeArrowheads="1"/>
          </xdr:cNvSpPr>
        </xdr:nvSpPr>
        <xdr:spPr bwMode="auto">
          <a:xfrm>
            <a:off x="21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5" name="Rectangle 621">
            <a:extLst>
              <a:ext uri="{FF2B5EF4-FFF2-40B4-BE49-F238E27FC236}">
                <a16:creationId xmlns:a16="http://schemas.microsoft.com/office/drawing/2014/main" id="{00000000-0008-0000-0500-00006D1A0000}"/>
              </a:ext>
            </a:extLst>
          </xdr:cNvPr>
          <xdr:cNvSpPr>
            <a:spLocks noChangeArrowheads="1"/>
          </xdr:cNvSpPr>
        </xdr:nvSpPr>
        <xdr:spPr bwMode="auto">
          <a:xfrm>
            <a:off x="22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6" name="Rectangle 622">
            <a:extLst>
              <a:ext uri="{FF2B5EF4-FFF2-40B4-BE49-F238E27FC236}">
                <a16:creationId xmlns:a16="http://schemas.microsoft.com/office/drawing/2014/main" id="{00000000-0008-0000-0500-00006E1A0000}"/>
              </a:ext>
            </a:extLst>
          </xdr:cNvPr>
          <xdr:cNvSpPr>
            <a:spLocks noChangeArrowheads="1"/>
          </xdr:cNvSpPr>
        </xdr:nvSpPr>
        <xdr:spPr bwMode="auto">
          <a:xfrm>
            <a:off x="23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7" name="Rectangle 623">
            <a:extLst>
              <a:ext uri="{FF2B5EF4-FFF2-40B4-BE49-F238E27FC236}">
                <a16:creationId xmlns:a16="http://schemas.microsoft.com/office/drawing/2014/main" id="{00000000-0008-0000-0500-00006F1A0000}"/>
              </a:ext>
            </a:extLst>
          </xdr:cNvPr>
          <xdr:cNvSpPr>
            <a:spLocks noChangeArrowheads="1"/>
          </xdr:cNvSpPr>
        </xdr:nvSpPr>
        <xdr:spPr bwMode="auto">
          <a:xfrm>
            <a:off x="24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8" name="Rectangle 624">
            <a:extLst>
              <a:ext uri="{FF2B5EF4-FFF2-40B4-BE49-F238E27FC236}">
                <a16:creationId xmlns:a16="http://schemas.microsoft.com/office/drawing/2014/main" id="{00000000-0008-0000-0500-0000701A0000}"/>
              </a:ext>
            </a:extLst>
          </xdr:cNvPr>
          <xdr:cNvSpPr>
            <a:spLocks noChangeArrowheads="1"/>
          </xdr:cNvSpPr>
        </xdr:nvSpPr>
        <xdr:spPr bwMode="auto">
          <a:xfrm>
            <a:off x="25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69" name="Rectangle 625">
            <a:extLst>
              <a:ext uri="{FF2B5EF4-FFF2-40B4-BE49-F238E27FC236}">
                <a16:creationId xmlns:a16="http://schemas.microsoft.com/office/drawing/2014/main" id="{00000000-0008-0000-0500-0000711A0000}"/>
              </a:ext>
            </a:extLst>
          </xdr:cNvPr>
          <xdr:cNvSpPr>
            <a:spLocks noChangeArrowheads="1"/>
          </xdr:cNvSpPr>
        </xdr:nvSpPr>
        <xdr:spPr bwMode="auto">
          <a:xfrm>
            <a:off x="27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0" name="Rectangle 626">
            <a:extLst>
              <a:ext uri="{FF2B5EF4-FFF2-40B4-BE49-F238E27FC236}">
                <a16:creationId xmlns:a16="http://schemas.microsoft.com/office/drawing/2014/main" id="{00000000-0008-0000-0500-0000721A0000}"/>
              </a:ext>
            </a:extLst>
          </xdr:cNvPr>
          <xdr:cNvSpPr>
            <a:spLocks noChangeArrowheads="1"/>
          </xdr:cNvSpPr>
        </xdr:nvSpPr>
        <xdr:spPr bwMode="auto">
          <a:xfrm>
            <a:off x="28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1" name="Rectangle 627">
            <a:extLst>
              <a:ext uri="{FF2B5EF4-FFF2-40B4-BE49-F238E27FC236}">
                <a16:creationId xmlns:a16="http://schemas.microsoft.com/office/drawing/2014/main" id="{00000000-0008-0000-0500-0000731A0000}"/>
              </a:ext>
            </a:extLst>
          </xdr:cNvPr>
          <xdr:cNvSpPr>
            <a:spLocks noChangeArrowheads="1"/>
          </xdr:cNvSpPr>
        </xdr:nvSpPr>
        <xdr:spPr bwMode="auto">
          <a:xfrm>
            <a:off x="29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2" name="Rectangle 628">
            <a:extLst>
              <a:ext uri="{FF2B5EF4-FFF2-40B4-BE49-F238E27FC236}">
                <a16:creationId xmlns:a16="http://schemas.microsoft.com/office/drawing/2014/main" id="{00000000-0008-0000-0500-0000741A0000}"/>
              </a:ext>
            </a:extLst>
          </xdr:cNvPr>
          <xdr:cNvSpPr>
            <a:spLocks noChangeArrowheads="1"/>
          </xdr:cNvSpPr>
        </xdr:nvSpPr>
        <xdr:spPr bwMode="auto">
          <a:xfrm>
            <a:off x="30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3" name="Rectangle 629">
            <a:extLst>
              <a:ext uri="{FF2B5EF4-FFF2-40B4-BE49-F238E27FC236}">
                <a16:creationId xmlns:a16="http://schemas.microsoft.com/office/drawing/2014/main" id="{00000000-0008-0000-0500-0000751A0000}"/>
              </a:ext>
            </a:extLst>
          </xdr:cNvPr>
          <xdr:cNvSpPr>
            <a:spLocks noChangeArrowheads="1"/>
          </xdr:cNvSpPr>
        </xdr:nvSpPr>
        <xdr:spPr bwMode="auto">
          <a:xfrm>
            <a:off x="31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4" name="Rectangle 630">
            <a:extLst>
              <a:ext uri="{FF2B5EF4-FFF2-40B4-BE49-F238E27FC236}">
                <a16:creationId xmlns:a16="http://schemas.microsoft.com/office/drawing/2014/main" id="{00000000-0008-0000-0500-0000761A0000}"/>
              </a:ext>
            </a:extLst>
          </xdr:cNvPr>
          <xdr:cNvSpPr>
            <a:spLocks noChangeArrowheads="1"/>
          </xdr:cNvSpPr>
        </xdr:nvSpPr>
        <xdr:spPr bwMode="auto">
          <a:xfrm>
            <a:off x="33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5" name="Rectangle 631">
            <a:extLst>
              <a:ext uri="{FF2B5EF4-FFF2-40B4-BE49-F238E27FC236}">
                <a16:creationId xmlns:a16="http://schemas.microsoft.com/office/drawing/2014/main" id="{00000000-0008-0000-0500-0000771A0000}"/>
              </a:ext>
            </a:extLst>
          </xdr:cNvPr>
          <xdr:cNvSpPr>
            <a:spLocks noChangeArrowheads="1"/>
          </xdr:cNvSpPr>
        </xdr:nvSpPr>
        <xdr:spPr bwMode="auto">
          <a:xfrm>
            <a:off x="34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6" name="Rectangle 632">
            <a:extLst>
              <a:ext uri="{FF2B5EF4-FFF2-40B4-BE49-F238E27FC236}">
                <a16:creationId xmlns:a16="http://schemas.microsoft.com/office/drawing/2014/main" id="{00000000-0008-0000-0500-0000781A0000}"/>
              </a:ext>
            </a:extLst>
          </xdr:cNvPr>
          <xdr:cNvSpPr>
            <a:spLocks noChangeArrowheads="1"/>
          </xdr:cNvSpPr>
        </xdr:nvSpPr>
        <xdr:spPr bwMode="auto">
          <a:xfrm>
            <a:off x="35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7" name="Rectangle 633">
            <a:extLst>
              <a:ext uri="{FF2B5EF4-FFF2-40B4-BE49-F238E27FC236}">
                <a16:creationId xmlns:a16="http://schemas.microsoft.com/office/drawing/2014/main" id="{00000000-0008-0000-0500-0000791A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8" name="Rectangle 634">
            <a:extLst>
              <a:ext uri="{FF2B5EF4-FFF2-40B4-BE49-F238E27FC236}">
                <a16:creationId xmlns:a16="http://schemas.microsoft.com/office/drawing/2014/main" id="{00000000-0008-0000-0500-00007A1A0000}"/>
              </a:ext>
            </a:extLst>
          </xdr:cNvPr>
          <xdr:cNvSpPr>
            <a:spLocks noChangeArrowheads="1"/>
          </xdr:cNvSpPr>
        </xdr:nvSpPr>
        <xdr:spPr bwMode="auto">
          <a:xfrm>
            <a:off x="37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79" name="Rectangle 635">
            <a:extLst>
              <a:ext uri="{FF2B5EF4-FFF2-40B4-BE49-F238E27FC236}">
                <a16:creationId xmlns:a16="http://schemas.microsoft.com/office/drawing/2014/main" id="{00000000-0008-0000-0500-00007B1A0000}"/>
              </a:ext>
            </a:extLst>
          </xdr:cNvPr>
          <xdr:cNvSpPr>
            <a:spLocks noChangeArrowheads="1"/>
          </xdr:cNvSpPr>
        </xdr:nvSpPr>
        <xdr:spPr bwMode="auto">
          <a:xfrm>
            <a:off x="39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0" name="Rectangle 636">
            <a:extLst>
              <a:ext uri="{FF2B5EF4-FFF2-40B4-BE49-F238E27FC236}">
                <a16:creationId xmlns:a16="http://schemas.microsoft.com/office/drawing/2014/main" id="{00000000-0008-0000-0500-00007C1A0000}"/>
              </a:ext>
            </a:extLst>
          </xdr:cNvPr>
          <xdr:cNvSpPr>
            <a:spLocks noChangeArrowheads="1"/>
          </xdr:cNvSpPr>
        </xdr:nvSpPr>
        <xdr:spPr bwMode="auto">
          <a:xfrm>
            <a:off x="40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1" name="Rectangle 637">
            <a:extLst>
              <a:ext uri="{FF2B5EF4-FFF2-40B4-BE49-F238E27FC236}">
                <a16:creationId xmlns:a16="http://schemas.microsoft.com/office/drawing/2014/main" id="{00000000-0008-0000-0500-00007D1A0000}"/>
              </a:ext>
            </a:extLst>
          </xdr:cNvPr>
          <xdr:cNvSpPr>
            <a:spLocks noChangeArrowheads="1"/>
          </xdr:cNvSpPr>
        </xdr:nvSpPr>
        <xdr:spPr bwMode="auto">
          <a:xfrm>
            <a:off x="41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2" name="Rectangle 638">
            <a:extLst>
              <a:ext uri="{FF2B5EF4-FFF2-40B4-BE49-F238E27FC236}">
                <a16:creationId xmlns:a16="http://schemas.microsoft.com/office/drawing/2014/main" id="{00000000-0008-0000-0500-00007E1A0000}"/>
              </a:ext>
            </a:extLst>
          </xdr:cNvPr>
          <xdr:cNvSpPr>
            <a:spLocks noChangeArrowheads="1"/>
          </xdr:cNvSpPr>
        </xdr:nvSpPr>
        <xdr:spPr bwMode="auto">
          <a:xfrm>
            <a:off x="42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3" name="Rectangle 639">
            <a:extLst>
              <a:ext uri="{FF2B5EF4-FFF2-40B4-BE49-F238E27FC236}">
                <a16:creationId xmlns:a16="http://schemas.microsoft.com/office/drawing/2014/main" id="{00000000-0008-0000-0500-00007F1A0000}"/>
              </a:ext>
            </a:extLst>
          </xdr:cNvPr>
          <xdr:cNvSpPr>
            <a:spLocks noChangeArrowheads="1"/>
          </xdr:cNvSpPr>
        </xdr:nvSpPr>
        <xdr:spPr bwMode="auto">
          <a:xfrm>
            <a:off x="43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4" name="Rectangle 640">
            <a:extLst>
              <a:ext uri="{FF2B5EF4-FFF2-40B4-BE49-F238E27FC236}">
                <a16:creationId xmlns:a16="http://schemas.microsoft.com/office/drawing/2014/main" id="{00000000-0008-0000-0500-0000801A0000}"/>
              </a:ext>
            </a:extLst>
          </xdr:cNvPr>
          <xdr:cNvSpPr>
            <a:spLocks noChangeArrowheads="1"/>
          </xdr:cNvSpPr>
        </xdr:nvSpPr>
        <xdr:spPr bwMode="auto">
          <a:xfrm>
            <a:off x="45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5" name="Rectangle 641">
            <a:extLst>
              <a:ext uri="{FF2B5EF4-FFF2-40B4-BE49-F238E27FC236}">
                <a16:creationId xmlns:a16="http://schemas.microsoft.com/office/drawing/2014/main" id="{00000000-0008-0000-0500-0000811A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6" name="Rectangle 642">
            <a:extLst>
              <a:ext uri="{FF2B5EF4-FFF2-40B4-BE49-F238E27FC236}">
                <a16:creationId xmlns:a16="http://schemas.microsoft.com/office/drawing/2014/main" id="{00000000-0008-0000-0500-0000821A0000}"/>
              </a:ext>
            </a:extLst>
          </xdr:cNvPr>
          <xdr:cNvSpPr>
            <a:spLocks noChangeArrowheads="1"/>
          </xdr:cNvSpPr>
        </xdr:nvSpPr>
        <xdr:spPr bwMode="auto">
          <a:xfrm>
            <a:off x="47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7" name="Rectangle 643">
            <a:extLst>
              <a:ext uri="{FF2B5EF4-FFF2-40B4-BE49-F238E27FC236}">
                <a16:creationId xmlns:a16="http://schemas.microsoft.com/office/drawing/2014/main" id="{00000000-0008-0000-0500-0000831A0000}"/>
              </a:ext>
            </a:extLst>
          </xdr:cNvPr>
          <xdr:cNvSpPr>
            <a:spLocks noChangeArrowheads="1"/>
          </xdr:cNvSpPr>
        </xdr:nvSpPr>
        <xdr:spPr bwMode="auto">
          <a:xfrm>
            <a:off x="48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8" name="Rectangle 644">
            <a:extLst>
              <a:ext uri="{FF2B5EF4-FFF2-40B4-BE49-F238E27FC236}">
                <a16:creationId xmlns:a16="http://schemas.microsoft.com/office/drawing/2014/main" id="{00000000-0008-0000-0500-0000841A0000}"/>
              </a:ext>
            </a:extLst>
          </xdr:cNvPr>
          <xdr:cNvSpPr>
            <a:spLocks noChangeArrowheads="1"/>
          </xdr:cNvSpPr>
        </xdr:nvSpPr>
        <xdr:spPr bwMode="auto">
          <a:xfrm>
            <a:off x="49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89" name="Rectangle 645">
            <a:extLst>
              <a:ext uri="{FF2B5EF4-FFF2-40B4-BE49-F238E27FC236}">
                <a16:creationId xmlns:a16="http://schemas.microsoft.com/office/drawing/2014/main" id="{00000000-0008-0000-0500-0000851A0000}"/>
              </a:ext>
            </a:extLst>
          </xdr:cNvPr>
          <xdr:cNvSpPr>
            <a:spLocks noChangeArrowheads="1"/>
          </xdr:cNvSpPr>
        </xdr:nvSpPr>
        <xdr:spPr bwMode="auto">
          <a:xfrm>
            <a:off x="51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0" name="Rectangle 646">
            <a:extLst>
              <a:ext uri="{FF2B5EF4-FFF2-40B4-BE49-F238E27FC236}">
                <a16:creationId xmlns:a16="http://schemas.microsoft.com/office/drawing/2014/main" id="{00000000-0008-0000-0500-0000861A0000}"/>
              </a:ext>
            </a:extLst>
          </xdr:cNvPr>
          <xdr:cNvSpPr>
            <a:spLocks noChangeArrowheads="1"/>
          </xdr:cNvSpPr>
        </xdr:nvSpPr>
        <xdr:spPr bwMode="auto">
          <a:xfrm>
            <a:off x="52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1" name="Rectangle 647">
            <a:extLst>
              <a:ext uri="{FF2B5EF4-FFF2-40B4-BE49-F238E27FC236}">
                <a16:creationId xmlns:a16="http://schemas.microsoft.com/office/drawing/2014/main" id="{00000000-0008-0000-0500-0000871A0000}"/>
              </a:ext>
            </a:extLst>
          </xdr:cNvPr>
          <xdr:cNvSpPr>
            <a:spLocks noChangeArrowheads="1"/>
          </xdr:cNvSpPr>
        </xdr:nvSpPr>
        <xdr:spPr bwMode="auto">
          <a:xfrm>
            <a:off x="53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2" name="Rectangle 648">
            <a:extLst>
              <a:ext uri="{FF2B5EF4-FFF2-40B4-BE49-F238E27FC236}">
                <a16:creationId xmlns:a16="http://schemas.microsoft.com/office/drawing/2014/main" id="{00000000-0008-0000-0500-0000881A0000}"/>
              </a:ext>
            </a:extLst>
          </xdr:cNvPr>
          <xdr:cNvSpPr>
            <a:spLocks noChangeArrowheads="1"/>
          </xdr:cNvSpPr>
        </xdr:nvSpPr>
        <xdr:spPr bwMode="auto">
          <a:xfrm>
            <a:off x="54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3" name="Rectangle 649">
            <a:extLst>
              <a:ext uri="{FF2B5EF4-FFF2-40B4-BE49-F238E27FC236}">
                <a16:creationId xmlns:a16="http://schemas.microsoft.com/office/drawing/2014/main" id="{00000000-0008-0000-0500-0000891A0000}"/>
              </a:ext>
            </a:extLst>
          </xdr:cNvPr>
          <xdr:cNvSpPr>
            <a:spLocks noChangeArrowheads="1"/>
          </xdr:cNvSpPr>
        </xdr:nvSpPr>
        <xdr:spPr bwMode="auto">
          <a:xfrm>
            <a:off x="55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4" name="Rectangle 650">
            <a:extLst>
              <a:ext uri="{FF2B5EF4-FFF2-40B4-BE49-F238E27FC236}">
                <a16:creationId xmlns:a16="http://schemas.microsoft.com/office/drawing/2014/main" id="{00000000-0008-0000-0500-00008A1A0000}"/>
              </a:ext>
            </a:extLst>
          </xdr:cNvPr>
          <xdr:cNvSpPr>
            <a:spLocks noChangeArrowheads="1"/>
          </xdr:cNvSpPr>
        </xdr:nvSpPr>
        <xdr:spPr bwMode="auto">
          <a:xfrm>
            <a:off x="57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5" name="Rectangle 651">
            <a:extLst>
              <a:ext uri="{FF2B5EF4-FFF2-40B4-BE49-F238E27FC236}">
                <a16:creationId xmlns:a16="http://schemas.microsoft.com/office/drawing/2014/main" id="{00000000-0008-0000-0500-00008B1A0000}"/>
              </a:ext>
            </a:extLst>
          </xdr:cNvPr>
          <xdr:cNvSpPr>
            <a:spLocks noChangeArrowheads="1"/>
          </xdr:cNvSpPr>
        </xdr:nvSpPr>
        <xdr:spPr bwMode="auto">
          <a:xfrm>
            <a:off x="582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6" name="Rectangle 652">
            <a:extLst>
              <a:ext uri="{FF2B5EF4-FFF2-40B4-BE49-F238E27FC236}">
                <a16:creationId xmlns:a16="http://schemas.microsoft.com/office/drawing/2014/main" id="{00000000-0008-0000-0500-00008C1A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7" name="Rectangle 653">
            <a:extLst>
              <a:ext uri="{FF2B5EF4-FFF2-40B4-BE49-F238E27FC236}">
                <a16:creationId xmlns:a16="http://schemas.microsoft.com/office/drawing/2014/main" id="{00000000-0008-0000-0500-00008D1A0000}"/>
              </a:ext>
            </a:extLst>
          </xdr:cNvPr>
          <xdr:cNvSpPr>
            <a:spLocks noChangeArrowheads="1"/>
          </xdr:cNvSpPr>
        </xdr:nvSpPr>
        <xdr:spPr bwMode="auto">
          <a:xfrm>
            <a:off x="606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8" name="Rectangle 654">
            <a:extLst>
              <a:ext uri="{FF2B5EF4-FFF2-40B4-BE49-F238E27FC236}">
                <a16:creationId xmlns:a16="http://schemas.microsoft.com/office/drawing/2014/main" id="{00000000-0008-0000-0500-00008E1A0000}"/>
              </a:ext>
            </a:extLst>
          </xdr:cNvPr>
          <xdr:cNvSpPr>
            <a:spLocks noChangeArrowheads="1"/>
          </xdr:cNvSpPr>
        </xdr:nvSpPr>
        <xdr:spPr bwMode="auto">
          <a:xfrm>
            <a:off x="618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799" name="Rectangle 655">
            <a:extLst>
              <a:ext uri="{FF2B5EF4-FFF2-40B4-BE49-F238E27FC236}">
                <a16:creationId xmlns:a16="http://schemas.microsoft.com/office/drawing/2014/main" id="{00000000-0008-0000-0500-00008F1A0000}"/>
              </a:ext>
            </a:extLst>
          </xdr:cNvPr>
          <xdr:cNvSpPr>
            <a:spLocks noChangeArrowheads="1"/>
          </xdr:cNvSpPr>
        </xdr:nvSpPr>
        <xdr:spPr bwMode="auto">
          <a:xfrm>
            <a:off x="630" y="918"/>
            <a:ext cx="9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00" name="Rectangle 656">
            <a:extLst>
              <a:ext uri="{FF2B5EF4-FFF2-40B4-BE49-F238E27FC236}">
                <a16:creationId xmlns:a16="http://schemas.microsoft.com/office/drawing/2014/main" id="{00000000-0008-0000-0500-0000901A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918"/>
            <a:ext cx="1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01" name="Rectangle 657">
            <a:extLst>
              <a:ext uri="{FF2B5EF4-FFF2-40B4-BE49-F238E27FC236}">
                <a16:creationId xmlns:a16="http://schemas.microsoft.com/office/drawing/2014/main" id="{00000000-0008-0000-0500-0000911A0000}"/>
              </a:ext>
            </a:extLst>
          </xdr:cNvPr>
          <xdr:cNvSpPr>
            <a:spLocks noChangeArrowheads="1"/>
          </xdr:cNvSpPr>
        </xdr:nvSpPr>
        <xdr:spPr bwMode="auto">
          <a:xfrm>
            <a:off x="68" y="963"/>
            <a:ext cx="575" cy="3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02" name="Rectangle 658">
            <a:extLst>
              <a:ext uri="{FF2B5EF4-FFF2-40B4-BE49-F238E27FC236}">
                <a16:creationId xmlns:a16="http://schemas.microsoft.com/office/drawing/2014/main" id="{00000000-0008-0000-0500-0000921A0000}"/>
              </a:ext>
            </a:extLst>
          </xdr:cNvPr>
          <xdr:cNvSpPr>
            <a:spLocks noChangeArrowheads="1"/>
          </xdr:cNvSpPr>
        </xdr:nvSpPr>
        <xdr:spPr bwMode="auto">
          <a:xfrm>
            <a:off x="65" y="33"/>
            <a:ext cx="3" cy="933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03" name="Rectangle 659">
            <a:extLst>
              <a:ext uri="{FF2B5EF4-FFF2-40B4-BE49-F238E27FC236}">
                <a16:creationId xmlns:a16="http://schemas.microsoft.com/office/drawing/2014/main" id="{00000000-0008-0000-0500-0000931A0000}"/>
              </a:ext>
            </a:extLst>
          </xdr:cNvPr>
          <xdr:cNvSpPr>
            <a:spLocks noChangeArrowheads="1"/>
          </xdr:cNvSpPr>
        </xdr:nvSpPr>
        <xdr:spPr bwMode="auto">
          <a:xfrm>
            <a:off x="137" y="36"/>
            <a:ext cx="3" cy="930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04" name="Line 660">
            <a:extLst>
              <a:ext uri="{FF2B5EF4-FFF2-40B4-BE49-F238E27FC236}">
                <a16:creationId xmlns:a16="http://schemas.microsoft.com/office/drawing/2014/main" id="{00000000-0008-0000-0500-000094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34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05" name="Rectangle 661">
            <a:extLst>
              <a:ext uri="{FF2B5EF4-FFF2-40B4-BE49-F238E27FC236}">
                <a16:creationId xmlns:a16="http://schemas.microsoft.com/office/drawing/2014/main" id="{00000000-0008-0000-0500-000095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34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06" name="Line 662">
            <a:extLst>
              <a:ext uri="{FF2B5EF4-FFF2-40B4-BE49-F238E27FC236}">
                <a16:creationId xmlns:a16="http://schemas.microsoft.com/office/drawing/2014/main" id="{00000000-0008-0000-0500-000096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58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07" name="Rectangle 663">
            <a:extLst>
              <a:ext uri="{FF2B5EF4-FFF2-40B4-BE49-F238E27FC236}">
                <a16:creationId xmlns:a16="http://schemas.microsoft.com/office/drawing/2014/main" id="{00000000-0008-0000-0500-000097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58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08" name="Line 664">
            <a:extLst>
              <a:ext uri="{FF2B5EF4-FFF2-40B4-BE49-F238E27FC236}">
                <a16:creationId xmlns:a16="http://schemas.microsoft.com/office/drawing/2014/main" id="{00000000-0008-0000-0500-000098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82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09" name="Rectangle 665">
            <a:extLst>
              <a:ext uri="{FF2B5EF4-FFF2-40B4-BE49-F238E27FC236}">
                <a16:creationId xmlns:a16="http://schemas.microsoft.com/office/drawing/2014/main" id="{00000000-0008-0000-0500-000099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82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10" name="Line 666">
            <a:extLst>
              <a:ext uri="{FF2B5EF4-FFF2-40B4-BE49-F238E27FC236}">
                <a16:creationId xmlns:a16="http://schemas.microsoft.com/office/drawing/2014/main" id="{00000000-0008-0000-0500-00009A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106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11" name="Rectangle 667">
            <a:extLst>
              <a:ext uri="{FF2B5EF4-FFF2-40B4-BE49-F238E27FC236}">
                <a16:creationId xmlns:a16="http://schemas.microsoft.com/office/drawing/2014/main" id="{00000000-0008-0000-0500-00009B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106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12" name="Line 668">
            <a:extLst>
              <a:ext uri="{FF2B5EF4-FFF2-40B4-BE49-F238E27FC236}">
                <a16:creationId xmlns:a16="http://schemas.microsoft.com/office/drawing/2014/main" id="{00000000-0008-0000-0500-00009C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129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13" name="Rectangle 669">
            <a:extLst>
              <a:ext uri="{FF2B5EF4-FFF2-40B4-BE49-F238E27FC236}">
                <a16:creationId xmlns:a16="http://schemas.microsoft.com/office/drawing/2014/main" id="{00000000-0008-0000-0500-00009D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129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14" name="Line 670">
            <a:extLst>
              <a:ext uri="{FF2B5EF4-FFF2-40B4-BE49-F238E27FC236}">
                <a16:creationId xmlns:a16="http://schemas.microsoft.com/office/drawing/2014/main" id="{00000000-0008-0000-0500-00009E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152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15" name="Rectangle 671">
            <a:extLst>
              <a:ext uri="{FF2B5EF4-FFF2-40B4-BE49-F238E27FC236}">
                <a16:creationId xmlns:a16="http://schemas.microsoft.com/office/drawing/2014/main" id="{00000000-0008-0000-0500-00009F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152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16" name="Line 672">
            <a:extLst>
              <a:ext uri="{FF2B5EF4-FFF2-40B4-BE49-F238E27FC236}">
                <a16:creationId xmlns:a16="http://schemas.microsoft.com/office/drawing/2014/main" id="{00000000-0008-0000-0500-0000A0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175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17" name="Rectangle 673">
            <a:extLst>
              <a:ext uri="{FF2B5EF4-FFF2-40B4-BE49-F238E27FC236}">
                <a16:creationId xmlns:a16="http://schemas.microsoft.com/office/drawing/2014/main" id="{00000000-0008-0000-0500-0000A1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175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18" name="Line 674">
            <a:extLst>
              <a:ext uri="{FF2B5EF4-FFF2-40B4-BE49-F238E27FC236}">
                <a16:creationId xmlns:a16="http://schemas.microsoft.com/office/drawing/2014/main" id="{00000000-0008-0000-0500-0000A2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197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19" name="Rectangle 675">
            <a:extLst>
              <a:ext uri="{FF2B5EF4-FFF2-40B4-BE49-F238E27FC236}">
                <a16:creationId xmlns:a16="http://schemas.microsoft.com/office/drawing/2014/main" id="{00000000-0008-0000-0500-0000A3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197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20" name="Line 676">
            <a:extLst>
              <a:ext uri="{FF2B5EF4-FFF2-40B4-BE49-F238E27FC236}">
                <a16:creationId xmlns:a16="http://schemas.microsoft.com/office/drawing/2014/main" id="{00000000-0008-0000-0500-0000A4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220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21" name="Rectangle 677">
            <a:extLst>
              <a:ext uri="{FF2B5EF4-FFF2-40B4-BE49-F238E27FC236}">
                <a16:creationId xmlns:a16="http://schemas.microsoft.com/office/drawing/2014/main" id="{00000000-0008-0000-0500-0000A5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220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22" name="Line 678">
            <a:extLst>
              <a:ext uri="{FF2B5EF4-FFF2-40B4-BE49-F238E27FC236}">
                <a16:creationId xmlns:a16="http://schemas.microsoft.com/office/drawing/2014/main" id="{00000000-0008-0000-0500-0000A6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244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23" name="Rectangle 679">
            <a:extLst>
              <a:ext uri="{FF2B5EF4-FFF2-40B4-BE49-F238E27FC236}">
                <a16:creationId xmlns:a16="http://schemas.microsoft.com/office/drawing/2014/main" id="{00000000-0008-0000-0500-0000A7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244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24" name="Line 680">
            <a:extLst>
              <a:ext uri="{FF2B5EF4-FFF2-40B4-BE49-F238E27FC236}">
                <a16:creationId xmlns:a16="http://schemas.microsoft.com/office/drawing/2014/main" id="{00000000-0008-0000-0500-0000A8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268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25" name="Rectangle 681">
            <a:extLst>
              <a:ext uri="{FF2B5EF4-FFF2-40B4-BE49-F238E27FC236}">
                <a16:creationId xmlns:a16="http://schemas.microsoft.com/office/drawing/2014/main" id="{00000000-0008-0000-0500-0000A9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268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26" name="Line 682">
            <a:extLst>
              <a:ext uri="{FF2B5EF4-FFF2-40B4-BE49-F238E27FC236}">
                <a16:creationId xmlns:a16="http://schemas.microsoft.com/office/drawing/2014/main" id="{00000000-0008-0000-0500-0000AA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292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27" name="Rectangle 683">
            <a:extLst>
              <a:ext uri="{FF2B5EF4-FFF2-40B4-BE49-F238E27FC236}">
                <a16:creationId xmlns:a16="http://schemas.microsoft.com/office/drawing/2014/main" id="{00000000-0008-0000-0500-0000AB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292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28" name="Line 684">
            <a:extLst>
              <a:ext uri="{FF2B5EF4-FFF2-40B4-BE49-F238E27FC236}">
                <a16:creationId xmlns:a16="http://schemas.microsoft.com/office/drawing/2014/main" id="{00000000-0008-0000-0500-0000AC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315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29" name="Rectangle 685">
            <a:extLst>
              <a:ext uri="{FF2B5EF4-FFF2-40B4-BE49-F238E27FC236}">
                <a16:creationId xmlns:a16="http://schemas.microsoft.com/office/drawing/2014/main" id="{00000000-0008-0000-0500-0000AD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315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30" name="Line 686">
            <a:extLst>
              <a:ext uri="{FF2B5EF4-FFF2-40B4-BE49-F238E27FC236}">
                <a16:creationId xmlns:a16="http://schemas.microsoft.com/office/drawing/2014/main" id="{00000000-0008-0000-0500-0000AE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338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31" name="Rectangle 687">
            <a:extLst>
              <a:ext uri="{FF2B5EF4-FFF2-40B4-BE49-F238E27FC236}">
                <a16:creationId xmlns:a16="http://schemas.microsoft.com/office/drawing/2014/main" id="{00000000-0008-0000-0500-0000AF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338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32" name="Line 688">
            <a:extLst>
              <a:ext uri="{FF2B5EF4-FFF2-40B4-BE49-F238E27FC236}">
                <a16:creationId xmlns:a16="http://schemas.microsoft.com/office/drawing/2014/main" id="{00000000-0008-0000-0500-0000B0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361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33" name="Rectangle 689">
            <a:extLst>
              <a:ext uri="{FF2B5EF4-FFF2-40B4-BE49-F238E27FC236}">
                <a16:creationId xmlns:a16="http://schemas.microsoft.com/office/drawing/2014/main" id="{00000000-0008-0000-0500-0000B1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361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34" name="Line 690">
            <a:extLst>
              <a:ext uri="{FF2B5EF4-FFF2-40B4-BE49-F238E27FC236}">
                <a16:creationId xmlns:a16="http://schemas.microsoft.com/office/drawing/2014/main" id="{00000000-0008-0000-0500-0000B2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383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35" name="Rectangle 691">
            <a:extLst>
              <a:ext uri="{FF2B5EF4-FFF2-40B4-BE49-F238E27FC236}">
                <a16:creationId xmlns:a16="http://schemas.microsoft.com/office/drawing/2014/main" id="{00000000-0008-0000-0500-0000B3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383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36" name="Line 692">
            <a:extLst>
              <a:ext uri="{FF2B5EF4-FFF2-40B4-BE49-F238E27FC236}">
                <a16:creationId xmlns:a16="http://schemas.microsoft.com/office/drawing/2014/main" id="{00000000-0008-0000-0500-0000B4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406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37" name="Rectangle 693">
            <a:extLst>
              <a:ext uri="{FF2B5EF4-FFF2-40B4-BE49-F238E27FC236}">
                <a16:creationId xmlns:a16="http://schemas.microsoft.com/office/drawing/2014/main" id="{00000000-0008-0000-0500-0000B5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406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38" name="Line 694">
            <a:extLst>
              <a:ext uri="{FF2B5EF4-FFF2-40B4-BE49-F238E27FC236}">
                <a16:creationId xmlns:a16="http://schemas.microsoft.com/office/drawing/2014/main" id="{00000000-0008-0000-0500-0000B6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430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39" name="Rectangle 695">
            <a:extLst>
              <a:ext uri="{FF2B5EF4-FFF2-40B4-BE49-F238E27FC236}">
                <a16:creationId xmlns:a16="http://schemas.microsoft.com/office/drawing/2014/main" id="{00000000-0008-0000-0500-0000B7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430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40" name="Line 696">
            <a:extLst>
              <a:ext uri="{FF2B5EF4-FFF2-40B4-BE49-F238E27FC236}">
                <a16:creationId xmlns:a16="http://schemas.microsoft.com/office/drawing/2014/main" id="{00000000-0008-0000-0500-0000B8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454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41" name="Rectangle 697">
            <a:extLst>
              <a:ext uri="{FF2B5EF4-FFF2-40B4-BE49-F238E27FC236}">
                <a16:creationId xmlns:a16="http://schemas.microsoft.com/office/drawing/2014/main" id="{00000000-0008-0000-0500-0000B9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454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42" name="Line 698">
            <a:extLst>
              <a:ext uri="{FF2B5EF4-FFF2-40B4-BE49-F238E27FC236}">
                <a16:creationId xmlns:a16="http://schemas.microsoft.com/office/drawing/2014/main" id="{00000000-0008-0000-0500-0000BA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478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43" name="Rectangle 699">
            <a:extLst>
              <a:ext uri="{FF2B5EF4-FFF2-40B4-BE49-F238E27FC236}">
                <a16:creationId xmlns:a16="http://schemas.microsoft.com/office/drawing/2014/main" id="{00000000-0008-0000-0500-0000BB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478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44" name="Line 700">
            <a:extLst>
              <a:ext uri="{FF2B5EF4-FFF2-40B4-BE49-F238E27FC236}">
                <a16:creationId xmlns:a16="http://schemas.microsoft.com/office/drawing/2014/main" id="{00000000-0008-0000-0500-0000BC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501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45" name="Rectangle 701">
            <a:extLst>
              <a:ext uri="{FF2B5EF4-FFF2-40B4-BE49-F238E27FC236}">
                <a16:creationId xmlns:a16="http://schemas.microsoft.com/office/drawing/2014/main" id="{00000000-0008-0000-0500-0000BD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501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46" name="Line 702">
            <a:extLst>
              <a:ext uri="{FF2B5EF4-FFF2-40B4-BE49-F238E27FC236}">
                <a16:creationId xmlns:a16="http://schemas.microsoft.com/office/drawing/2014/main" id="{00000000-0008-0000-0500-0000BE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524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47" name="Rectangle 703">
            <a:extLst>
              <a:ext uri="{FF2B5EF4-FFF2-40B4-BE49-F238E27FC236}">
                <a16:creationId xmlns:a16="http://schemas.microsoft.com/office/drawing/2014/main" id="{00000000-0008-0000-0500-0000BF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524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48" name="Line 704">
            <a:extLst>
              <a:ext uri="{FF2B5EF4-FFF2-40B4-BE49-F238E27FC236}">
                <a16:creationId xmlns:a16="http://schemas.microsoft.com/office/drawing/2014/main" id="{00000000-0008-0000-0500-0000C0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547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49" name="Rectangle 705">
            <a:extLst>
              <a:ext uri="{FF2B5EF4-FFF2-40B4-BE49-F238E27FC236}">
                <a16:creationId xmlns:a16="http://schemas.microsoft.com/office/drawing/2014/main" id="{00000000-0008-0000-0500-0000C1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547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50" name="Line 706">
            <a:extLst>
              <a:ext uri="{FF2B5EF4-FFF2-40B4-BE49-F238E27FC236}">
                <a16:creationId xmlns:a16="http://schemas.microsoft.com/office/drawing/2014/main" id="{00000000-0008-0000-0500-0000C2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569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51" name="Rectangle 707">
            <a:extLst>
              <a:ext uri="{FF2B5EF4-FFF2-40B4-BE49-F238E27FC236}">
                <a16:creationId xmlns:a16="http://schemas.microsoft.com/office/drawing/2014/main" id="{00000000-0008-0000-0500-0000C3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569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52" name="Line 708">
            <a:extLst>
              <a:ext uri="{FF2B5EF4-FFF2-40B4-BE49-F238E27FC236}">
                <a16:creationId xmlns:a16="http://schemas.microsoft.com/office/drawing/2014/main" id="{00000000-0008-0000-0500-0000C4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592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53" name="Rectangle 709">
            <a:extLst>
              <a:ext uri="{FF2B5EF4-FFF2-40B4-BE49-F238E27FC236}">
                <a16:creationId xmlns:a16="http://schemas.microsoft.com/office/drawing/2014/main" id="{00000000-0008-0000-0500-0000C5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592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54" name="Line 710">
            <a:extLst>
              <a:ext uri="{FF2B5EF4-FFF2-40B4-BE49-F238E27FC236}">
                <a16:creationId xmlns:a16="http://schemas.microsoft.com/office/drawing/2014/main" id="{00000000-0008-0000-0500-0000C6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616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55" name="Rectangle 711">
            <a:extLst>
              <a:ext uri="{FF2B5EF4-FFF2-40B4-BE49-F238E27FC236}">
                <a16:creationId xmlns:a16="http://schemas.microsoft.com/office/drawing/2014/main" id="{00000000-0008-0000-0500-0000C7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616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56" name="Line 712">
            <a:extLst>
              <a:ext uri="{FF2B5EF4-FFF2-40B4-BE49-F238E27FC236}">
                <a16:creationId xmlns:a16="http://schemas.microsoft.com/office/drawing/2014/main" id="{00000000-0008-0000-0500-0000C8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640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57" name="Rectangle 713">
            <a:extLst>
              <a:ext uri="{FF2B5EF4-FFF2-40B4-BE49-F238E27FC236}">
                <a16:creationId xmlns:a16="http://schemas.microsoft.com/office/drawing/2014/main" id="{00000000-0008-0000-0500-0000C9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640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58" name="Line 714">
            <a:extLst>
              <a:ext uri="{FF2B5EF4-FFF2-40B4-BE49-F238E27FC236}">
                <a16:creationId xmlns:a16="http://schemas.microsoft.com/office/drawing/2014/main" id="{00000000-0008-0000-0500-0000CA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664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59" name="Rectangle 715">
            <a:extLst>
              <a:ext uri="{FF2B5EF4-FFF2-40B4-BE49-F238E27FC236}">
                <a16:creationId xmlns:a16="http://schemas.microsoft.com/office/drawing/2014/main" id="{00000000-0008-0000-0500-0000CB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664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60" name="Line 716">
            <a:extLst>
              <a:ext uri="{FF2B5EF4-FFF2-40B4-BE49-F238E27FC236}">
                <a16:creationId xmlns:a16="http://schemas.microsoft.com/office/drawing/2014/main" id="{00000000-0008-0000-0500-0000CC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687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61" name="Rectangle 717">
            <a:extLst>
              <a:ext uri="{FF2B5EF4-FFF2-40B4-BE49-F238E27FC236}">
                <a16:creationId xmlns:a16="http://schemas.microsoft.com/office/drawing/2014/main" id="{00000000-0008-0000-0500-0000CD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687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62" name="Line 718">
            <a:extLst>
              <a:ext uri="{FF2B5EF4-FFF2-40B4-BE49-F238E27FC236}">
                <a16:creationId xmlns:a16="http://schemas.microsoft.com/office/drawing/2014/main" id="{00000000-0008-0000-0500-0000CE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710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63" name="Rectangle 719">
            <a:extLst>
              <a:ext uri="{FF2B5EF4-FFF2-40B4-BE49-F238E27FC236}">
                <a16:creationId xmlns:a16="http://schemas.microsoft.com/office/drawing/2014/main" id="{00000000-0008-0000-0500-0000CF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710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64" name="Line 720">
            <a:extLst>
              <a:ext uri="{FF2B5EF4-FFF2-40B4-BE49-F238E27FC236}">
                <a16:creationId xmlns:a16="http://schemas.microsoft.com/office/drawing/2014/main" id="{00000000-0008-0000-0500-0000D0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733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65" name="Rectangle 721">
            <a:extLst>
              <a:ext uri="{FF2B5EF4-FFF2-40B4-BE49-F238E27FC236}">
                <a16:creationId xmlns:a16="http://schemas.microsoft.com/office/drawing/2014/main" id="{00000000-0008-0000-0500-0000D1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733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66" name="Line 722">
            <a:extLst>
              <a:ext uri="{FF2B5EF4-FFF2-40B4-BE49-F238E27FC236}">
                <a16:creationId xmlns:a16="http://schemas.microsoft.com/office/drawing/2014/main" id="{00000000-0008-0000-0500-0000D2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755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67" name="Rectangle 723">
            <a:extLst>
              <a:ext uri="{FF2B5EF4-FFF2-40B4-BE49-F238E27FC236}">
                <a16:creationId xmlns:a16="http://schemas.microsoft.com/office/drawing/2014/main" id="{00000000-0008-0000-0500-0000D3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755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68" name="Line 724">
            <a:extLst>
              <a:ext uri="{FF2B5EF4-FFF2-40B4-BE49-F238E27FC236}">
                <a16:creationId xmlns:a16="http://schemas.microsoft.com/office/drawing/2014/main" id="{00000000-0008-0000-0500-0000D4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778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69" name="Rectangle 725">
            <a:extLst>
              <a:ext uri="{FF2B5EF4-FFF2-40B4-BE49-F238E27FC236}">
                <a16:creationId xmlns:a16="http://schemas.microsoft.com/office/drawing/2014/main" id="{00000000-0008-0000-0500-0000D5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778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70" name="Line 726">
            <a:extLst>
              <a:ext uri="{FF2B5EF4-FFF2-40B4-BE49-F238E27FC236}">
                <a16:creationId xmlns:a16="http://schemas.microsoft.com/office/drawing/2014/main" id="{00000000-0008-0000-0500-0000D6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802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71" name="Rectangle 727">
            <a:extLst>
              <a:ext uri="{FF2B5EF4-FFF2-40B4-BE49-F238E27FC236}">
                <a16:creationId xmlns:a16="http://schemas.microsoft.com/office/drawing/2014/main" id="{00000000-0008-0000-0500-0000D7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802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72" name="Line 728">
            <a:extLst>
              <a:ext uri="{FF2B5EF4-FFF2-40B4-BE49-F238E27FC236}">
                <a16:creationId xmlns:a16="http://schemas.microsoft.com/office/drawing/2014/main" id="{00000000-0008-0000-0500-0000D8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826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73" name="Rectangle 729">
            <a:extLst>
              <a:ext uri="{FF2B5EF4-FFF2-40B4-BE49-F238E27FC236}">
                <a16:creationId xmlns:a16="http://schemas.microsoft.com/office/drawing/2014/main" id="{00000000-0008-0000-0500-0000D9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826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74" name="Line 730">
            <a:extLst>
              <a:ext uri="{FF2B5EF4-FFF2-40B4-BE49-F238E27FC236}">
                <a16:creationId xmlns:a16="http://schemas.microsoft.com/office/drawing/2014/main" id="{00000000-0008-0000-0500-0000DA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850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75" name="Rectangle 731">
            <a:extLst>
              <a:ext uri="{FF2B5EF4-FFF2-40B4-BE49-F238E27FC236}">
                <a16:creationId xmlns:a16="http://schemas.microsoft.com/office/drawing/2014/main" id="{00000000-0008-0000-0500-0000DB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850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76" name="Line 732">
            <a:extLst>
              <a:ext uri="{FF2B5EF4-FFF2-40B4-BE49-F238E27FC236}">
                <a16:creationId xmlns:a16="http://schemas.microsoft.com/office/drawing/2014/main" id="{00000000-0008-0000-0500-0000DC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873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77" name="Rectangle 733">
            <a:extLst>
              <a:ext uri="{FF2B5EF4-FFF2-40B4-BE49-F238E27FC236}">
                <a16:creationId xmlns:a16="http://schemas.microsoft.com/office/drawing/2014/main" id="{00000000-0008-0000-0500-0000DD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873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78" name="Line 734">
            <a:extLst>
              <a:ext uri="{FF2B5EF4-FFF2-40B4-BE49-F238E27FC236}">
                <a16:creationId xmlns:a16="http://schemas.microsoft.com/office/drawing/2014/main" id="{00000000-0008-0000-0500-0000DE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896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79" name="Rectangle 735">
            <a:extLst>
              <a:ext uri="{FF2B5EF4-FFF2-40B4-BE49-F238E27FC236}">
                <a16:creationId xmlns:a16="http://schemas.microsoft.com/office/drawing/2014/main" id="{00000000-0008-0000-0500-0000DF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896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80" name="Line 736">
            <a:extLst>
              <a:ext uri="{FF2B5EF4-FFF2-40B4-BE49-F238E27FC236}">
                <a16:creationId xmlns:a16="http://schemas.microsoft.com/office/drawing/2014/main" id="{00000000-0008-0000-0500-0000E0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919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1" name="Rectangle 737">
            <a:extLst>
              <a:ext uri="{FF2B5EF4-FFF2-40B4-BE49-F238E27FC236}">
                <a16:creationId xmlns:a16="http://schemas.microsoft.com/office/drawing/2014/main" id="{00000000-0008-0000-0500-0000E1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919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82" name="Line 738">
            <a:extLst>
              <a:ext uri="{FF2B5EF4-FFF2-40B4-BE49-F238E27FC236}">
                <a16:creationId xmlns:a16="http://schemas.microsoft.com/office/drawing/2014/main" id="{00000000-0008-0000-0500-0000E2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941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3" name="Rectangle 739">
            <a:extLst>
              <a:ext uri="{FF2B5EF4-FFF2-40B4-BE49-F238E27FC236}">
                <a16:creationId xmlns:a16="http://schemas.microsoft.com/office/drawing/2014/main" id="{00000000-0008-0000-0500-0000E3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941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884" name="Line 740">
            <a:extLst>
              <a:ext uri="{FF2B5EF4-FFF2-40B4-BE49-F238E27FC236}">
                <a16:creationId xmlns:a16="http://schemas.microsoft.com/office/drawing/2014/main" id="{00000000-0008-0000-0500-0000E41A0000}"/>
              </a:ext>
            </a:extLst>
          </xdr:cNvPr>
          <xdr:cNvSpPr>
            <a:spLocks noChangeShapeType="1"/>
          </xdr:cNvSpPr>
        </xdr:nvSpPr>
        <xdr:spPr bwMode="auto">
          <a:xfrm>
            <a:off x="643" y="964"/>
            <a:ext cx="1" cy="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5" name="Rectangle 741">
            <a:extLst>
              <a:ext uri="{FF2B5EF4-FFF2-40B4-BE49-F238E27FC236}">
                <a16:creationId xmlns:a16="http://schemas.microsoft.com/office/drawing/2014/main" id="{00000000-0008-0000-0500-0000E51A0000}"/>
              </a:ext>
            </a:extLst>
          </xdr:cNvPr>
          <xdr:cNvSpPr>
            <a:spLocks noChangeArrowheads="1"/>
          </xdr:cNvSpPr>
        </xdr:nvSpPr>
        <xdr:spPr bwMode="auto">
          <a:xfrm>
            <a:off x="643" y="964"/>
            <a:ext cx="1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grpSp>
        <xdr:nvGrpSpPr>
          <xdr:cNvPr id="6960" name="Group 816">
            <a:extLst>
              <a:ext uri="{FF2B5EF4-FFF2-40B4-BE49-F238E27FC236}">
                <a16:creationId xmlns:a16="http://schemas.microsoft.com/office/drawing/2014/main" id="{00000000-0008-0000-0500-0000301B0000}"/>
              </a:ext>
            </a:extLst>
          </xdr:cNvPr>
          <xdr:cNvGrpSpPr>
            <a:grpSpLocks/>
          </xdr:cNvGrpSpPr>
        </xdr:nvGrpSpPr>
        <xdr:grpSpPr bwMode="auto">
          <a:xfrm>
            <a:off x="137" y="33"/>
            <a:ext cx="218" cy="188"/>
            <a:chOff x="137" y="33"/>
            <a:chExt cx="218" cy="188"/>
          </a:xfrm>
        </xdr:grpSpPr>
        <xdr:sp macro="" textlink="">
          <xdr:nvSpPr>
            <xdr:cNvPr id="6886" name="Rectangle 742">
              <a:extLst>
                <a:ext uri="{FF2B5EF4-FFF2-40B4-BE49-F238E27FC236}">
                  <a16:creationId xmlns:a16="http://schemas.microsoft.com/office/drawing/2014/main" id="{00000000-0008-0000-0500-0000E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34"/>
              <a:ext cx="73" cy="186"/>
            </a:xfrm>
            <a:prstGeom prst="rect">
              <a:avLst/>
            </a:prstGeom>
            <a:solidFill>
              <a:srgbClr val="3399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887" name="Rectangle 743">
              <a:extLst>
                <a:ext uri="{FF2B5EF4-FFF2-40B4-BE49-F238E27FC236}">
                  <a16:creationId xmlns:a16="http://schemas.microsoft.com/office/drawing/2014/main" id="{00000000-0008-0000-0500-0000E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34"/>
              <a:ext cx="72" cy="186"/>
            </a:xfrm>
            <a:prstGeom prst="rect">
              <a:avLst/>
            </a:prstGeom>
            <a:solidFill>
              <a:srgbClr val="C0C0C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888" name="Rectangle 744">
              <a:extLst>
                <a:ext uri="{FF2B5EF4-FFF2-40B4-BE49-F238E27FC236}">
                  <a16:creationId xmlns:a16="http://schemas.microsoft.com/office/drawing/2014/main" id="{00000000-0008-0000-0500-0000E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34"/>
              <a:ext cx="73" cy="186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889" name="Rectangle 745">
              <a:extLst>
                <a:ext uri="{FF2B5EF4-FFF2-40B4-BE49-F238E27FC236}">
                  <a16:creationId xmlns:a16="http://schemas.microsoft.com/office/drawing/2014/main" id="{00000000-0008-0000-0500-0000E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3" y="37"/>
              <a:ext cx="41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12/29</a:t>
              </a:r>
            </a:p>
          </xdr:txBody>
        </xdr:sp>
        <xdr:sp macro="" textlink="">
          <xdr:nvSpPr>
            <xdr:cNvPr id="6890" name="Rectangle 746">
              <a:extLst>
                <a:ext uri="{FF2B5EF4-FFF2-40B4-BE49-F238E27FC236}">
                  <a16:creationId xmlns:a16="http://schemas.microsoft.com/office/drawing/2014/main" id="{00000000-0008-0000-0500-0000E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5" y="37"/>
              <a:ext cx="41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12/30</a:t>
              </a:r>
            </a:p>
          </xdr:txBody>
        </xdr:sp>
        <xdr:sp macro="" textlink="">
          <xdr:nvSpPr>
            <xdr:cNvPr id="6891" name="Rectangle 747">
              <a:extLst>
                <a:ext uri="{FF2B5EF4-FFF2-40B4-BE49-F238E27FC236}">
                  <a16:creationId xmlns:a16="http://schemas.microsoft.com/office/drawing/2014/main" id="{00000000-0008-0000-0500-0000E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37"/>
              <a:ext cx="41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12/31</a:t>
              </a:r>
            </a:p>
          </xdr:txBody>
        </xdr:sp>
        <xdr:sp macro="" textlink="">
          <xdr:nvSpPr>
            <xdr:cNvPr id="6892" name="Rectangle 748">
              <a:extLst>
                <a:ext uri="{FF2B5EF4-FFF2-40B4-BE49-F238E27FC236}">
                  <a16:creationId xmlns:a16="http://schemas.microsoft.com/office/drawing/2014/main" id="{00000000-0008-0000-0500-0000E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8" y="60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</a:t>
              </a:r>
            </a:p>
          </xdr:txBody>
        </xdr:sp>
        <xdr:sp macro="" textlink="">
          <xdr:nvSpPr>
            <xdr:cNvPr id="6893" name="Rectangle 749">
              <a:extLst>
                <a:ext uri="{FF2B5EF4-FFF2-40B4-BE49-F238E27FC236}">
                  <a16:creationId xmlns:a16="http://schemas.microsoft.com/office/drawing/2014/main" id="{00000000-0008-0000-0500-0000E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0" y="60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</a:t>
              </a:r>
            </a:p>
          </xdr:txBody>
        </xdr:sp>
        <xdr:sp macro="" textlink="">
          <xdr:nvSpPr>
            <xdr:cNvPr id="6894" name="Rectangle 750">
              <a:extLst>
                <a:ext uri="{FF2B5EF4-FFF2-40B4-BE49-F238E27FC236}">
                  <a16:creationId xmlns:a16="http://schemas.microsoft.com/office/drawing/2014/main" id="{00000000-0008-0000-0500-0000E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0" y="60"/>
              <a:ext cx="15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</a:t>
              </a:r>
            </a:p>
          </xdr:txBody>
        </xdr:sp>
        <xdr:sp macro="" textlink="">
          <xdr:nvSpPr>
            <xdr:cNvPr id="6895" name="Rectangle 751">
              <a:extLst>
                <a:ext uri="{FF2B5EF4-FFF2-40B4-BE49-F238E27FC236}">
                  <a16:creationId xmlns:a16="http://schemas.microsoft.com/office/drawing/2014/main" id="{00000000-0008-0000-0500-0000E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" y="106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야간</a:t>
              </a:r>
            </a:p>
          </xdr:txBody>
        </xdr:sp>
        <xdr:sp macro="" textlink="">
          <xdr:nvSpPr>
            <xdr:cNvPr id="6896" name="Rectangle 752">
              <a:extLst>
                <a:ext uri="{FF2B5EF4-FFF2-40B4-BE49-F238E27FC236}">
                  <a16:creationId xmlns:a16="http://schemas.microsoft.com/office/drawing/2014/main" id="{00000000-0008-0000-0500-0000F0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2" y="106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비번</a:t>
              </a:r>
            </a:p>
          </xdr:txBody>
        </xdr:sp>
        <xdr:sp macro="" textlink="">
          <xdr:nvSpPr>
            <xdr:cNvPr id="6897" name="Rectangle 753">
              <a:extLst>
                <a:ext uri="{FF2B5EF4-FFF2-40B4-BE49-F238E27FC236}">
                  <a16:creationId xmlns:a16="http://schemas.microsoft.com/office/drawing/2014/main" id="{00000000-0008-0000-0500-0000F1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3" y="106"/>
              <a:ext cx="30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주간</a:t>
              </a:r>
            </a:p>
          </xdr:txBody>
        </xdr:sp>
        <xdr:sp macro="" textlink="">
          <xdr:nvSpPr>
            <xdr:cNvPr id="6898" name="Rectangle 754">
              <a:extLst>
                <a:ext uri="{FF2B5EF4-FFF2-40B4-BE49-F238E27FC236}">
                  <a16:creationId xmlns:a16="http://schemas.microsoft.com/office/drawing/2014/main" id="{00000000-0008-0000-0500-0000F2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1" y="13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899" name="Rectangle 755">
              <a:extLst>
                <a:ext uri="{FF2B5EF4-FFF2-40B4-BE49-F238E27FC236}">
                  <a16:creationId xmlns:a16="http://schemas.microsoft.com/office/drawing/2014/main" id="{00000000-0008-0000-0500-0000F3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130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900" name="Rectangle 756">
              <a:extLst>
                <a:ext uri="{FF2B5EF4-FFF2-40B4-BE49-F238E27FC236}">
                  <a16:creationId xmlns:a16="http://schemas.microsoft.com/office/drawing/2014/main" id="{00000000-0008-0000-0500-0000F4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130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정윤준</a:t>
              </a:r>
            </a:p>
          </xdr:txBody>
        </xdr:sp>
        <xdr:sp macro="" textlink="">
          <xdr:nvSpPr>
            <xdr:cNvPr id="6901" name="Rectangle 757">
              <a:extLst>
                <a:ext uri="{FF2B5EF4-FFF2-40B4-BE49-F238E27FC236}">
                  <a16:creationId xmlns:a16="http://schemas.microsoft.com/office/drawing/2014/main" id="{00000000-0008-0000-0500-0000F5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1" y="15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902" name="Rectangle 758">
              <a:extLst>
                <a:ext uri="{FF2B5EF4-FFF2-40B4-BE49-F238E27FC236}">
                  <a16:creationId xmlns:a16="http://schemas.microsoft.com/office/drawing/2014/main" id="{00000000-0008-0000-0500-0000F6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152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903" name="Rectangle 759">
              <a:extLst>
                <a:ext uri="{FF2B5EF4-FFF2-40B4-BE49-F238E27FC236}">
                  <a16:creationId xmlns:a16="http://schemas.microsoft.com/office/drawing/2014/main" id="{00000000-0008-0000-0500-0000F7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152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이기수</a:t>
              </a:r>
            </a:p>
          </xdr:txBody>
        </xdr:sp>
        <xdr:sp macro="" textlink="">
          <xdr:nvSpPr>
            <xdr:cNvPr id="6904" name="Rectangle 760">
              <a:extLst>
                <a:ext uri="{FF2B5EF4-FFF2-40B4-BE49-F238E27FC236}">
                  <a16:creationId xmlns:a16="http://schemas.microsoft.com/office/drawing/2014/main" id="{00000000-0008-0000-0500-0000F8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1" y="17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905" name="Rectangle 761">
              <a:extLst>
                <a:ext uri="{FF2B5EF4-FFF2-40B4-BE49-F238E27FC236}">
                  <a16:creationId xmlns:a16="http://schemas.microsoft.com/office/drawing/2014/main" id="{00000000-0008-0000-0500-0000F9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174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906" name="Rectangle 762">
              <a:extLst>
                <a:ext uri="{FF2B5EF4-FFF2-40B4-BE49-F238E27FC236}">
                  <a16:creationId xmlns:a16="http://schemas.microsoft.com/office/drawing/2014/main" id="{00000000-0008-0000-0500-0000FA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174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박성현</a:t>
              </a:r>
            </a:p>
          </xdr:txBody>
        </xdr:sp>
        <xdr:sp macro="" textlink="">
          <xdr:nvSpPr>
            <xdr:cNvPr id="6907" name="Rectangle 763">
              <a:extLst>
                <a:ext uri="{FF2B5EF4-FFF2-40B4-BE49-F238E27FC236}">
                  <a16:creationId xmlns:a16="http://schemas.microsoft.com/office/drawing/2014/main" id="{00000000-0008-0000-0500-0000FB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1" y="19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908" name="Rectangle 764">
              <a:extLst>
                <a:ext uri="{FF2B5EF4-FFF2-40B4-BE49-F238E27FC236}">
                  <a16:creationId xmlns:a16="http://schemas.microsoft.com/office/drawing/2014/main" id="{00000000-0008-0000-0500-0000FC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3" y="196"/>
              <a:ext cx="6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-</a:t>
              </a:r>
            </a:p>
          </xdr:txBody>
        </xdr:sp>
        <xdr:sp macro="" textlink="">
          <xdr:nvSpPr>
            <xdr:cNvPr id="6909" name="Rectangle 765">
              <a:extLst>
                <a:ext uri="{FF2B5EF4-FFF2-40B4-BE49-F238E27FC236}">
                  <a16:creationId xmlns:a16="http://schemas.microsoft.com/office/drawing/2014/main" id="{00000000-0008-0000-0500-0000FD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5" y="196"/>
              <a:ext cx="44" cy="2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0" tIns="0" rIns="0" bIns="0" anchor="t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허지웅</a:t>
              </a:r>
            </a:p>
          </xdr:txBody>
        </xdr:sp>
        <xdr:sp macro="" textlink="">
          <xdr:nvSpPr>
            <xdr:cNvPr id="6910" name="Rectangle 766">
              <a:extLst>
                <a:ext uri="{FF2B5EF4-FFF2-40B4-BE49-F238E27FC236}">
                  <a16:creationId xmlns:a16="http://schemas.microsoft.com/office/drawing/2014/main" id="{00000000-0008-0000-0500-0000FE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33"/>
              <a:ext cx="216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1" name="Rectangle 767">
              <a:extLst>
                <a:ext uri="{FF2B5EF4-FFF2-40B4-BE49-F238E27FC236}">
                  <a16:creationId xmlns:a16="http://schemas.microsoft.com/office/drawing/2014/main" id="{00000000-0008-0000-0500-0000FF1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57"/>
              <a:ext cx="216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2" name="Rectangle 768">
              <a:extLst>
                <a:ext uri="{FF2B5EF4-FFF2-40B4-BE49-F238E27FC236}">
                  <a16:creationId xmlns:a16="http://schemas.microsoft.com/office/drawing/2014/main" id="{00000000-0008-0000-0500-000000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81"/>
              <a:ext cx="216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3" name="Rectangle 769">
              <a:extLst>
                <a:ext uri="{FF2B5EF4-FFF2-40B4-BE49-F238E27FC236}">
                  <a16:creationId xmlns:a16="http://schemas.microsoft.com/office/drawing/2014/main" id="{00000000-0008-0000-0500-000001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105"/>
              <a:ext cx="214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4" name="Rectangle 770">
              <a:extLst>
                <a:ext uri="{FF2B5EF4-FFF2-40B4-BE49-F238E27FC236}">
                  <a16:creationId xmlns:a16="http://schemas.microsoft.com/office/drawing/2014/main" id="{00000000-0008-0000-0500-000002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128"/>
              <a:ext cx="216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5" name="Rectangle 771">
              <a:extLst>
                <a:ext uri="{FF2B5EF4-FFF2-40B4-BE49-F238E27FC236}">
                  <a16:creationId xmlns:a16="http://schemas.microsoft.com/office/drawing/2014/main" id="{00000000-0008-0000-0500-000003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173"/>
              <a:ext cx="7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6" name="Rectangle 772">
              <a:extLst>
                <a:ext uri="{FF2B5EF4-FFF2-40B4-BE49-F238E27FC236}">
                  <a16:creationId xmlns:a16="http://schemas.microsoft.com/office/drawing/2014/main" id="{00000000-0008-0000-0500-000004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50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7" name="Rectangle 773">
              <a:extLst>
                <a:ext uri="{FF2B5EF4-FFF2-40B4-BE49-F238E27FC236}">
                  <a16:creationId xmlns:a16="http://schemas.microsoft.com/office/drawing/2014/main" id="{00000000-0008-0000-0500-000005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8" name="Rectangle 774">
              <a:extLst>
                <a:ext uri="{FF2B5EF4-FFF2-40B4-BE49-F238E27FC236}">
                  <a16:creationId xmlns:a16="http://schemas.microsoft.com/office/drawing/2014/main" id="{00000000-0008-0000-0500-000006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4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19" name="Rectangle 775">
              <a:extLst>
                <a:ext uri="{FF2B5EF4-FFF2-40B4-BE49-F238E27FC236}">
                  <a16:creationId xmlns:a16="http://schemas.microsoft.com/office/drawing/2014/main" id="{00000000-0008-0000-0500-000007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86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0" name="Rectangle 776">
              <a:extLst>
                <a:ext uri="{FF2B5EF4-FFF2-40B4-BE49-F238E27FC236}">
                  <a16:creationId xmlns:a16="http://schemas.microsoft.com/office/drawing/2014/main" id="{00000000-0008-0000-0500-000008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8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1" name="Rectangle 777">
              <a:extLst>
                <a:ext uri="{FF2B5EF4-FFF2-40B4-BE49-F238E27FC236}">
                  <a16:creationId xmlns:a16="http://schemas.microsoft.com/office/drawing/2014/main" id="{00000000-0008-0000-0500-000009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2" name="Rectangle 778">
              <a:extLst>
                <a:ext uri="{FF2B5EF4-FFF2-40B4-BE49-F238E27FC236}">
                  <a16:creationId xmlns:a16="http://schemas.microsoft.com/office/drawing/2014/main" id="{00000000-0008-0000-0500-00000A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22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3" name="Rectangle 779">
              <a:extLst>
                <a:ext uri="{FF2B5EF4-FFF2-40B4-BE49-F238E27FC236}">
                  <a16:creationId xmlns:a16="http://schemas.microsoft.com/office/drawing/2014/main" id="{00000000-0008-0000-0500-00000B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4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4" name="Rectangle 780">
              <a:extLst>
                <a:ext uri="{FF2B5EF4-FFF2-40B4-BE49-F238E27FC236}">
                  <a16:creationId xmlns:a16="http://schemas.microsoft.com/office/drawing/2014/main" id="{00000000-0008-0000-0500-00000C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6" y="173"/>
              <a:ext cx="8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5" name="Rectangle 781">
              <a:extLst>
                <a:ext uri="{FF2B5EF4-FFF2-40B4-BE49-F238E27FC236}">
                  <a16:creationId xmlns:a16="http://schemas.microsoft.com/office/drawing/2014/main" id="{00000000-0008-0000-0500-00000D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7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6" name="Rectangle 782">
              <a:extLst>
                <a:ext uri="{FF2B5EF4-FFF2-40B4-BE49-F238E27FC236}">
                  <a16:creationId xmlns:a16="http://schemas.microsoft.com/office/drawing/2014/main" id="{00000000-0008-0000-0500-00000E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69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7" name="Rectangle 783">
              <a:extLst>
                <a:ext uri="{FF2B5EF4-FFF2-40B4-BE49-F238E27FC236}">
                  <a16:creationId xmlns:a16="http://schemas.microsoft.com/office/drawing/2014/main" id="{00000000-0008-0000-0500-00000F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8" name="Rectangle 784">
              <a:extLst>
                <a:ext uri="{FF2B5EF4-FFF2-40B4-BE49-F238E27FC236}">
                  <a16:creationId xmlns:a16="http://schemas.microsoft.com/office/drawing/2014/main" id="{00000000-0008-0000-0500-000010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3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29" name="Rectangle 785">
              <a:extLst>
                <a:ext uri="{FF2B5EF4-FFF2-40B4-BE49-F238E27FC236}">
                  <a16:creationId xmlns:a16="http://schemas.microsoft.com/office/drawing/2014/main" id="{00000000-0008-0000-0500-000011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5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0" name="Rectangle 786">
              <a:extLst>
                <a:ext uri="{FF2B5EF4-FFF2-40B4-BE49-F238E27FC236}">
                  <a16:creationId xmlns:a16="http://schemas.microsoft.com/office/drawing/2014/main" id="{00000000-0008-0000-0500-000012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7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1" name="Rectangle 787">
              <a:extLst>
                <a:ext uri="{FF2B5EF4-FFF2-40B4-BE49-F238E27FC236}">
                  <a16:creationId xmlns:a16="http://schemas.microsoft.com/office/drawing/2014/main" id="{00000000-0008-0000-0500-000013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9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2" name="Rectangle 788">
              <a:extLst>
                <a:ext uri="{FF2B5EF4-FFF2-40B4-BE49-F238E27FC236}">
                  <a16:creationId xmlns:a16="http://schemas.microsoft.com/office/drawing/2014/main" id="{00000000-0008-0000-0500-000014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41" y="173"/>
              <a:ext cx="9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3" name="Rectangle 789">
              <a:extLst>
                <a:ext uri="{FF2B5EF4-FFF2-40B4-BE49-F238E27FC236}">
                  <a16:creationId xmlns:a16="http://schemas.microsoft.com/office/drawing/2014/main" id="{00000000-0008-0000-0500-000015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3" y="173"/>
              <a:ext cx="1" cy="2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4" name="Rectangle 790">
              <a:extLst>
                <a:ext uri="{FF2B5EF4-FFF2-40B4-BE49-F238E27FC236}">
                  <a16:creationId xmlns:a16="http://schemas.microsoft.com/office/drawing/2014/main" id="{00000000-0008-0000-0500-000016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8" y="218"/>
              <a:ext cx="2" cy="3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5" name="Rectangle 791">
              <a:extLst>
                <a:ext uri="{FF2B5EF4-FFF2-40B4-BE49-F238E27FC236}">
                  <a16:creationId xmlns:a16="http://schemas.microsoft.com/office/drawing/2014/main" id="{00000000-0008-0000-0500-000017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0" y="219"/>
              <a:ext cx="214" cy="1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6" name="Rectangle 792">
              <a:extLst>
                <a:ext uri="{FF2B5EF4-FFF2-40B4-BE49-F238E27FC236}">
                  <a16:creationId xmlns:a16="http://schemas.microsoft.com/office/drawing/2014/main" id="{00000000-0008-0000-0500-000018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7" y="34"/>
              <a:ext cx="3" cy="187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7" name="Line 793">
              <a:extLst>
                <a:ext uri="{FF2B5EF4-FFF2-40B4-BE49-F238E27FC236}">
                  <a16:creationId xmlns:a16="http://schemas.microsoft.com/office/drawing/2014/main" id="{00000000-0008-0000-0500-000019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10" y="220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38" name="Rectangle 794">
              <a:extLst>
                <a:ext uri="{FF2B5EF4-FFF2-40B4-BE49-F238E27FC236}">
                  <a16:creationId xmlns:a16="http://schemas.microsoft.com/office/drawing/2014/main" id="{00000000-0008-0000-0500-00001A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20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39" name="Line 795">
              <a:extLst>
                <a:ext uri="{FF2B5EF4-FFF2-40B4-BE49-F238E27FC236}">
                  <a16:creationId xmlns:a16="http://schemas.microsoft.com/office/drawing/2014/main" id="{00000000-0008-0000-0500-00001B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81" y="220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40" name="Rectangle 796">
              <a:extLst>
                <a:ext uri="{FF2B5EF4-FFF2-40B4-BE49-F238E27FC236}">
                  <a16:creationId xmlns:a16="http://schemas.microsoft.com/office/drawing/2014/main" id="{00000000-0008-0000-0500-00001C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1" y="220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41" name="Line 797">
              <a:extLst>
                <a:ext uri="{FF2B5EF4-FFF2-40B4-BE49-F238E27FC236}">
                  <a16:creationId xmlns:a16="http://schemas.microsoft.com/office/drawing/2014/main" id="{00000000-0008-0000-0500-00001D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3" y="220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42" name="Rectangle 798">
              <a:extLst>
                <a:ext uri="{FF2B5EF4-FFF2-40B4-BE49-F238E27FC236}">
                  <a16:creationId xmlns:a16="http://schemas.microsoft.com/office/drawing/2014/main" id="{00000000-0008-0000-0500-00001E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3" y="220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43" name="Rectangle 799">
              <a:extLst>
                <a:ext uri="{FF2B5EF4-FFF2-40B4-BE49-F238E27FC236}">
                  <a16:creationId xmlns:a16="http://schemas.microsoft.com/office/drawing/2014/main" id="{00000000-0008-0000-0500-00001F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34"/>
              <a:ext cx="1" cy="1"/>
            </a:xfrm>
            <a:prstGeom prst="rect">
              <a:avLst/>
            </a:prstGeom>
            <a:solidFill>
              <a:srgbClr val="0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44" name="Line 800">
              <a:extLst>
                <a:ext uri="{FF2B5EF4-FFF2-40B4-BE49-F238E27FC236}">
                  <a16:creationId xmlns:a16="http://schemas.microsoft.com/office/drawing/2014/main" id="{00000000-0008-0000-0500-000020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58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45" name="Rectangle 801">
              <a:extLst>
                <a:ext uri="{FF2B5EF4-FFF2-40B4-BE49-F238E27FC236}">
                  <a16:creationId xmlns:a16="http://schemas.microsoft.com/office/drawing/2014/main" id="{00000000-0008-0000-0500-000021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58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46" name="Line 802">
              <a:extLst>
                <a:ext uri="{FF2B5EF4-FFF2-40B4-BE49-F238E27FC236}">
                  <a16:creationId xmlns:a16="http://schemas.microsoft.com/office/drawing/2014/main" id="{00000000-0008-0000-0500-000022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82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47" name="Rectangle 803">
              <a:extLst>
                <a:ext uri="{FF2B5EF4-FFF2-40B4-BE49-F238E27FC236}">
                  <a16:creationId xmlns:a16="http://schemas.microsoft.com/office/drawing/2014/main" id="{00000000-0008-0000-0500-000023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82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48" name="Line 804">
              <a:extLst>
                <a:ext uri="{FF2B5EF4-FFF2-40B4-BE49-F238E27FC236}">
                  <a16:creationId xmlns:a16="http://schemas.microsoft.com/office/drawing/2014/main" id="{00000000-0008-0000-0500-000024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106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49" name="Rectangle 805">
              <a:extLst>
                <a:ext uri="{FF2B5EF4-FFF2-40B4-BE49-F238E27FC236}">
                  <a16:creationId xmlns:a16="http://schemas.microsoft.com/office/drawing/2014/main" id="{00000000-0008-0000-0500-000025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06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50" name="Line 806">
              <a:extLst>
                <a:ext uri="{FF2B5EF4-FFF2-40B4-BE49-F238E27FC236}">
                  <a16:creationId xmlns:a16="http://schemas.microsoft.com/office/drawing/2014/main" id="{00000000-0008-0000-0500-000026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129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51" name="Rectangle 807">
              <a:extLst>
                <a:ext uri="{FF2B5EF4-FFF2-40B4-BE49-F238E27FC236}">
                  <a16:creationId xmlns:a16="http://schemas.microsoft.com/office/drawing/2014/main" id="{00000000-0008-0000-0500-000027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29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52" name="Line 808">
              <a:extLst>
                <a:ext uri="{FF2B5EF4-FFF2-40B4-BE49-F238E27FC236}">
                  <a16:creationId xmlns:a16="http://schemas.microsoft.com/office/drawing/2014/main" id="{00000000-0008-0000-0500-000028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151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53" name="Rectangle 809">
              <a:extLst>
                <a:ext uri="{FF2B5EF4-FFF2-40B4-BE49-F238E27FC236}">
                  <a16:creationId xmlns:a16="http://schemas.microsoft.com/office/drawing/2014/main" id="{00000000-0008-0000-0500-000029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51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54" name="Line 810">
              <a:extLst>
                <a:ext uri="{FF2B5EF4-FFF2-40B4-BE49-F238E27FC236}">
                  <a16:creationId xmlns:a16="http://schemas.microsoft.com/office/drawing/2014/main" id="{00000000-0008-0000-0500-00002A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174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55" name="Rectangle 811">
              <a:extLst>
                <a:ext uri="{FF2B5EF4-FFF2-40B4-BE49-F238E27FC236}">
                  <a16:creationId xmlns:a16="http://schemas.microsoft.com/office/drawing/2014/main" id="{00000000-0008-0000-0500-00002B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74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56" name="Line 812">
              <a:extLst>
                <a:ext uri="{FF2B5EF4-FFF2-40B4-BE49-F238E27FC236}">
                  <a16:creationId xmlns:a16="http://schemas.microsoft.com/office/drawing/2014/main" id="{00000000-0008-0000-0500-00002C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196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57" name="Rectangle 813">
              <a:extLst>
                <a:ext uri="{FF2B5EF4-FFF2-40B4-BE49-F238E27FC236}">
                  <a16:creationId xmlns:a16="http://schemas.microsoft.com/office/drawing/2014/main" id="{00000000-0008-0000-0500-00002D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196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958" name="Line 814">
              <a:extLst>
                <a:ext uri="{FF2B5EF4-FFF2-40B4-BE49-F238E27FC236}">
                  <a16:creationId xmlns:a16="http://schemas.microsoft.com/office/drawing/2014/main" id="{00000000-0008-0000-0500-00002E1B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4" y="219"/>
              <a:ext cx="1" cy="1"/>
            </a:xfrm>
            <a:prstGeom prst="line">
              <a:avLst/>
            </a:prstGeom>
            <a:noFill/>
            <a:ln w="0">
              <a:solidFill>
                <a:srgbClr val="D4D4D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959" name="Rectangle 815">
              <a:extLst>
                <a:ext uri="{FF2B5EF4-FFF2-40B4-BE49-F238E27FC236}">
                  <a16:creationId xmlns:a16="http://schemas.microsoft.com/office/drawing/2014/main" id="{00000000-0008-0000-0500-00002F1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54" y="219"/>
              <a:ext cx="1" cy="1"/>
            </a:xfrm>
            <a:prstGeom prst="rect">
              <a:avLst/>
            </a:prstGeom>
            <a:solidFill>
              <a:srgbClr val="D4D4D4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-Su, Lee" id="{A882D8D4-E5E9-40EB-A04A-B53CC8ADF71E}" userId="903888f90da83bd5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6-02-12T14:27:27.55" personId="{A882D8D4-E5E9-40EB-A04A-B53CC8ADF71E}" id="{09209A25-E588-4634-BB62-D3FD68A1DF0A}">
    <text>용역원실 취침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5"/>
  <sheetViews>
    <sheetView workbookViewId="0">
      <selection activeCell="B18" sqref="B18"/>
    </sheetView>
  </sheetViews>
  <sheetFormatPr defaultRowHeight="17.45"/>
  <sheetData>
    <row r="1" spans="1:7">
      <c r="A1" t="s">
        <v>0</v>
      </c>
      <c r="G1" t="s">
        <v>1</v>
      </c>
    </row>
    <row r="2" spans="1:7">
      <c r="A2" t="s">
        <v>2</v>
      </c>
      <c r="G2" t="s">
        <v>3</v>
      </c>
    </row>
    <row r="3" spans="1:7">
      <c r="G3" s="4" t="s">
        <v>4</v>
      </c>
    </row>
    <row r="4" spans="1:7">
      <c r="A4" t="s">
        <v>5</v>
      </c>
    </row>
    <row r="5" spans="1:7">
      <c r="A5" t="s">
        <v>6</v>
      </c>
    </row>
    <row r="7" spans="1:7">
      <c r="A7" t="s">
        <v>7</v>
      </c>
    </row>
    <row r="8" spans="1:7">
      <c r="A8" t="s">
        <v>8</v>
      </c>
    </row>
    <row r="10" spans="1:7">
      <c r="A10" t="s">
        <v>9</v>
      </c>
    </row>
    <row r="11" spans="1:7">
      <c r="A11" t="s">
        <v>10</v>
      </c>
    </row>
    <row r="12" spans="1:7">
      <c r="A12" t="s">
        <v>11</v>
      </c>
    </row>
    <row r="13" spans="1:7">
      <c r="A13" t="s">
        <v>12</v>
      </c>
    </row>
    <row r="14" spans="1:7">
      <c r="A14" t="s">
        <v>13</v>
      </c>
    </row>
    <row r="15" spans="1:7">
      <c r="A15" t="s">
        <v>14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369"/>
  <sheetViews>
    <sheetView zoomScale="85" zoomScaleNormal="85" workbookViewId="0">
      <pane xSplit="6" ySplit="2" topLeftCell="S3" activePane="bottomRight" state="frozen"/>
      <selection pane="bottomRight" activeCell="AJ3" sqref="AJ3:AJ368"/>
      <selection pane="bottomLeft" activeCell="B8" sqref="B8"/>
      <selection pane="topRight" activeCell="B8" sqref="B8"/>
    </sheetView>
  </sheetViews>
  <sheetFormatPr defaultColWidth="8.75" defaultRowHeight="17.45"/>
  <cols>
    <col min="1" max="1" width="4.75" style="6" customWidth="1"/>
    <col min="2" max="2" width="11.625" style="7" bestFit="1" customWidth="1"/>
    <col min="3" max="3" width="5.375" style="7" customWidth="1"/>
    <col min="4" max="4" width="5.25" style="7" customWidth="1"/>
    <col min="5" max="5" width="7.5" style="15" bestFit="1" customWidth="1"/>
    <col min="6" max="6" width="6.125" style="8" customWidth="1"/>
    <col min="7" max="7" width="10.375" style="10" customWidth="1"/>
    <col min="8" max="8" width="5" style="13" customWidth="1"/>
    <col min="9" max="9" width="5" style="7" bestFit="1" customWidth="1"/>
    <col min="10" max="10" width="5.25" style="7" customWidth="1"/>
    <col min="11" max="11" width="4.75" style="7" customWidth="1"/>
    <col min="12" max="15" width="10.75" style="7" customWidth="1"/>
    <col min="16" max="16" width="10.75" style="31" hidden="1" customWidth="1"/>
    <col min="17" max="20" width="10.75" style="13" customWidth="1"/>
    <col min="21" max="21" width="10.75" style="31" hidden="1" customWidth="1"/>
    <col min="22" max="23" width="5.25" style="7" customWidth="1"/>
    <col min="24" max="27" width="10.75" style="7" customWidth="1"/>
    <col min="28" max="28" width="10.75" style="31" hidden="1" customWidth="1"/>
    <col min="29" max="32" width="10.75" style="13" customWidth="1"/>
    <col min="33" max="33" width="10.75" style="31" hidden="1" customWidth="1"/>
    <col min="34" max="34" width="9.375" style="2" bestFit="1" customWidth="1"/>
    <col min="35" max="35" width="8.75" style="2"/>
    <col min="36" max="36" width="10.125" style="2" customWidth="1"/>
    <col min="37" max="16384" width="8.75" style="2"/>
  </cols>
  <sheetData>
    <row r="1" spans="1:36" ht="28.5" customHeight="1" thickBot="1">
      <c r="A1" s="53"/>
      <c r="B1" s="2"/>
      <c r="C1" s="2"/>
      <c r="D1" s="2"/>
      <c r="E1" s="10"/>
      <c r="F1" s="10"/>
      <c r="H1" s="2"/>
      <c r="I1" s="2"/>
      <c r="J1" s="2"/>
      <c r="K1" s="54" t="s">
        <v>15</v>
      </c>
      <c r="L1" s="55" t="s">
        <v>16</v>
      </c>
      <c r="M1" s="55" t="s">
        <v>17</v>
      </c>
      <c r="N1" s="55" t="s">
        <v>18</v>
      </c>
      <c r="O1" s="55" t="s">
        <v>19</v>
      </c>
      <c r="P1" s="2"/>
      <c r="Q1" s="54" t="s">
        <v>20</v>
      </c>
      <c r="R1" s="55">
        <v>1</v>
      </c>
      <c r="S1" s="60"/>
      <c r="T1" s="2"/>
      <c r="U1" s="2"/>
      <c r="V1" s="2"/>
      <c r="W1" s="54" t="s">
        <v>21</v>
      </c>
      <c r="X1" s="55" t="s">
        <v>22</v>
      </c>
      <c r="Y1" s="55" t="s">
        <v>23</v>
      </c>
      <c r="Z1" s="55" t="s">
        <v>24</v>
      </c>
      <c r="AA1" s="55" t="s">
        <v>25</v>
      </c>
      <c r="AB1" s="2"/>
      <c r="AC1" s="54" t="s">
        <v>20</v>
      </c>
      <c r="AD1" s="55">
        <v>1</v>
      </c>
      <c r="AE1" s="2"/>
      <c r="AF1" s="2"/>
    </row>
    <row r="2" spans="1:36" ht="61.15" customHeight="1">
      <c r="A2" s="6" t="s">
        <v>26</v>
      </c>
      <c r="B2" s="7" t="s">
        <v>27</v>
      </c>
      <c r="C2" s="5" t="s">
        <v>28</v>
      </c>
      <c r="D2" s="7" t="s">
        <v>29</v>
      </c>
      <c r="E2" s="14" t="s">
        <v>30</v>
      </c>
      <c r="F2" s="8" t="s">
        <v>31</v>
      </c>
      <c r="G2" s="57" t="s">
        <v>32</v>
      </c>
      <c r="H2" s="11" t="s">
        <v>33</v>
      </c>
      <c r="I2" s="5" t="s">
        <v>34</v>
      </c>
      <c r="J2" s="5" t="s">
        <v>35</v>
      </c>
      <c r="K2" s="5" t="s">
        <v>36</v>
      </c>
      <c r="L2" s="5" t="s">
        <v>37</v>
      </c>
      <c r="M2" s="5" t="s">
        <v>38</v>
      </c>
      <c r="N2" s="5" t="s">
        <v>39</v>
      </c>
      <c r="O2" s="5" t="s">
        <v>40</v>
      </c>
      <c r="P2" s="30" t="s">
        <v>41</v>
      </c>
      <c r="Q2" s="11" t="s">
        <v>42</v>
      </c>
      <c r="R2" s="11" t="s">
        <v>43</v>
      </c>
      <c r="S2" s="11" t="s">
        <v>44</v>
      </c>
      <c r="T2" s="11" t="s">
        <v>45</v>
      </c>
      <c r="U2" s="30" t="s">
        <v>46</v>
      </c>
      <c r="V2" s="5" t="s">
        <v>47</v>
      </c>
      <c r="W2" s="5" t="s">
        <v>48</v>
      </c>
      <c r="X2" s="5" t="s">
        <v>49</v>
      </c>
      <c r="Y2" s="5" t="s">
        <v>50</v>
      </c>
      <c r="Z2" s="5" t="s">
        <v>51</v>
      </c>
      <c r="AA2" s="5" t="s">
        <v>52</v>
      </c>
      <c r="AB2" s="30" t="s">
        <v>53</v>
      </c>
      <c r="AC2" s="11" t="s">
        <v>54</v>
      </c>
      <c r="AD2" s="11" t="s">
        <v>55</v>
      </c>
      <c r="AE2" s="11" t="s">
        <v>56</v>
      </c>
      <c r="AF2" s="11" t="s">
        <v>57</v>
      </c>
      <c r="AG2" s="30" t="s">
        <v>58</v>
      </c>
      <c r="AH2" s="60" t="s">
        <v>59</v>
      </c>
      <c r="AI2" s="60" t="s">
        <v>60</v>
      </c>
      <c r="AJ2" s="60" t="s">
        <v>61</v>
      </c>
    </row>
    <row r="3" spans="1:36" ht="33">
      <c r="A3" s="6">
        <v>1</v>
      </c>
      <c r="B3" s="56">
        <v>46023</v>
      </c>
      <c r="C3" s="7">
        <f t="shared" ref="C3:C66" si="0">MONTH(B3)</f>
        <v>1</v>
      </c>
      <c r="D3" s="7">
        <f t="shared" ref="D3:D66" si="1">DAY(B3)</f>
        <v>1</v>
      </c>
      <c r="E3" s="15">
        <f t="shared" ref="E3:E66" si="2">WEEKDAY(B3)</f>
        <v>5</v>
      </c>
      <c r="F3" s="8" t="str">
        <f t="shared" ref="F3:F66" si="3">IF(OR(TEXT(E3,"aaa")="토",TEXT(E3,"aaa")="일",NOT(ISBLANK(G3))),"휴","")</f>
        <v>휴</v>
      </c>
      <c r="G3" s="58" t="s">
        <v>62</v>
      </c>
      <c r="H3" s="12" t="s">
        <v>63</v>
      </c>
      <c r="I3" s="6" t="str">
        <f t="shared" ref="I3:I66" si="4">IF(AND(F3="휴",H3="주간"),"휴무",
  IF(AND(F3="휴",H3="야간"),"당직",
  H3
))</f>
        <v>당직</v>
      </c>
      <c r="J3" s="6" t="str">
        <f>IF(OR(I3="주간"),1,"")</f>
        <v/>
      </c>
      <c r="K3" s="6" t="str">
        <f>IF(J3="","",COUNT($J$3:J3))</f>
        <v/>
      </c>
      <c r="L3" s="6" t="str">
        <f>IF(ISERR(4-MOD($K3,4)),"",4-MOD($K3,4))</f>
        <v/>
      </c>
      <c r="M3" s="6" t="str">
        <f>IF(ISERR(4-MOD($K3-1,4)),"",4-MOD($K3-1,4))</f>
        <v/>
      </c>
      <c r="N3" s="6" t="str">
        <f>IF(ISERR(4-MOD($K3-2,4)),"",4-MOD($K3-2,4))</f>
        <v/>
      </c>
      <c r="O3" s="6" t="str">
        <f>IF(ISERR(4-MOD($K3-3,4)),"",4-MOD($K3-3,4))</f>
        <v/>
      </c>
      <c r="P3" s="32" t="str">
        <f t="shared" ref="P3:P66" si="5">IF(ISERR(MOD($K3,5)),"",MOD($K3,5))</f>
        <v/>
      </c>
      <c r="Q3" s="13" t="str">
        <f t="shared" ref="Q3:Q7" si="6">IF(L3="","-",CHOOSE(MOD(L3+$R$1,4)+1,$L$1,$M$1,$N$1,$O$1))</f>
        <v>-</v>
      </c>
      <c r="R3" s="13" t="str">
        <f t="shared" ref="R3:R7" si="7">IF(M3="","-",CHOOSE(MOD(M3+$R$1,4)+1,$L$1,$M$1,$N$1,$O$1))</f>
        <v>-</v>
      </c>
      <c r="S3" s="13" t="str">
        <f t="shared" ref="S3:S7" si="8">IF(N3="","-",CHOOSE(MOD(N3+$R$1,4)+1,$L$1,$M$1,$N$1,$O$1))</f>
        <v>-</v>
      </c>
      <c r="T3" s="13" t="str">
        <f t="shared" ref="T3:T7" si="9">IF(O3="","-",CHOOSE(MOD(O3+$R$1,4)+1,$L$1,$M$1,$N$1,$O$1))</f>
        <v>-</v>
      </c>
      <c r="U3" s="31" t="str">
        <f t="shared" ref="U3:U66" si="10">IF(P3="","-",CHOOSE(P3+1,"장혁진","이기수","정윤준","허지웅"))</f>
        <v>-</v>
      </c>
      <c r="V3" s="6">
        <f>IF(OR(I3="당직",I3="야간"),1,"")</f>
        <v>1</v>
      </c>
      <c r="W3" s="6">
        <f>IF(V3="","",COUNT($V$3:V3))</f>
        <v>1</v>
      </c>
      <c r="X3" s="6">
        <f>IF(ISERR(4-MOD($W3,4)),"",4-MOD($W3,4))</f>
        <v>3</v>
      </c>
      <c r="Y3" s="6">
        <f>IF(ISERR(4-MOD($W3-1,4)),"",4-MOD($W3-1,4))</f>
        <v>4</v>
      </c>
      <c r="Z3" s="6">
        <f>IF(ISERR(4-MOD($W3-2,4)),"",4-MOD($W3-2,4))</f>
        <v>1</v>
      </c>
      <c r="AA3" s="6">
        <f>IF(ISERR(4-MOD($W3-3,4)),"",4-MOD($W3-3,4))</f>
        <v>2</v>
      </c>
      <c r="AB3" s="32">
        <f t="shared" ref="AB3:AB66" si="11">IF(ISERR(MOD($W3,5)),"",MOD($W3,5))</f>
        <v>1</v>
      </c>
      <c r="AC3" s="13" t="str">
        <f>IF(X3="","-",CHOOSE(MOD(X3+$AD$1,4)+1,$X$1,$Y$1,$Z$1,$AA$1))</f>
        <v>허지웅</v>
      </c>
      <c r="AD3" s="13" t="str">
        <f>IF(Y3="","-",CHOOSE(MOD(Y3+$AD$1,4)+1,$X$1,$Y$1,$Z$1,$AA$1))</f>
        <v>정윤준</v>
      </c>
      <c r="AE3" s="13" t="str">
        <f>IF(Z3="","-",CHOOSE(MOD(Z3+$AD$1,4)+1,$X$1,$Y$1,$Z$1,$AA$1))</f>
        <v>이기수</v>
      </c>
      <c r="AF3" s="13" t="str">
        <f>IF(AA3="","-",CHOOSE(MOD(AA3+$AD$1,4)+1,$X$1,$Y$1,$Z$1,$AA$1))</f>
        <v>박성현</v>
      </c>
      <c r="AG3" s="31" t="str">
        <f t="shared" ref="AG3:AG66" si="12">IF(AB3="","-",CHOOSE(AB3+1,"정윤준","허지웅","장혁진","이기수"))</f>
        <v>허지웅</v>
      </c>
      <c r="AH3" s="2" t="str">
        <f>IF(OR(AE3&amp;AF3="허지웅정윤준", AE3&amp;AF3="정윤준허지웅"),1,"")</f>
        <v/>
      </c>
      <c r="AI3" s="2" t="str">
        <f>IF(AH3="","",COUNT($AH$3:AH3))</f>
        <v/>
      </c>
      <c r="AJ3" s="60" t="str">
        <f>IF(AI3&lt;&gt;"", CHOOSE(MOD(AI3, 2) + 1, $X$1, $Y$1), "")</f>
        <v/>
      </c>
    </row>
    <row r="4" spans="1:36" ht="16.5">
      <c r="A4" s="6">
        <v>2</v>
      </c>
      <c r="B4" s="9">
        <f t="shared" ref="B4:B66" si="13">B3+1</f>
        <v>46024</v>
      </c>
      <c r="C4" s="7">
        <f t="shared" si="0"/>
        <v>1</v>
      </c>
      <c r="D4" s="7">
        <f t="shared" si="1"/>
        <v>2</v>
      </c>
      <c r="E4" s="15">
        <f t="shared" si="2"/>
        <v>6</v>
      </c>
      <c r="F4" s="8" t="str">
        <f t="shared" si="3"/>
        <v/>
      </c>
      <c r="G4" s="58"/>
      <c r="H4" s="12" t="s">
        <v>64</v>
      </c>
      <c r="I4" s="6" t="str">
        <f t="shared" si="4"/>
        <v>비번</v>
      </c>
      <c r="J4" s="6" t="str">
        <f t="shared" ref="J4:J66" si="14">IF(OR(I4="주간"),1,"")</f>
        <v/>
      </c>
      <c r="K4" s="6" t="str">
        <f>IF(J4="","",COUNT($J$3:J4))</f>
        <v/>
      </c>
      <c r="L4" s="6" t="str">
        <f t="shared" ref="L4:L67" si="15">IF(ISERR(4-MOD($K4,4)),"",4-MOD($K4,4))</f>
        <v/>
      </c>
      <c r="M4" s="6" t="str">
        <f t="shared" ref="M4:M67" si="16">IF(ISERR(4-MOD($K4-1,4)),"",4-MOD($K4-1,4))</f>
        <v/>
      </c>
      <c r="N4" s="6" t="str">
        <f t="shared" ref="N4:N67" si="17">IF(ISERR(4-MOD($K4-2,4)),"",4-MOD($K4-2,4))</f>
        <v/>
      </c>
      <c r="O4" s="6" t="str">
        <f t="shared" ref="O4:O67" si="18">IF(ISERR(4-MOD($K4-3,4)),"",4-MOD($K4-3,4))</f>
        <v/>
      </c>
      <c r="P4" s="32" t="str">
        <f t="shared" si="5"/>
        <v/>
      </c>
      <c r="Q4" s="13" t="str">
        <f t="shared" si="6"/>
        <v>-</v>
      </c>
      <c r="R4" s="13" t="str">
        <f t="shared" si="7"/>
        <v>-</v>
      </c>
      <c r="S4" s="13" t="str">
        <f t="shared" si="8"/>
        <v>-</v>
      </c>
      <c r="T4" s="13" t="str">
        <f t="shared" si="9"/>
        <v>-</v>
      </c>
      <c r="U4" s="31" t="str">
        <f t="shared" si="10"/>
        <v>-</v>
      </c>
      <c r="V4" s="6" t="str">
        <f t="shared" ref="V3:V66" si="19">IF(OR(I4="당직",I4="야간"),1,"")</f>
        <v/>
      </c>
      <c r="W4" s="6" t="str">
        <f>IF(V4="","",COUNT($V$3:V4))</f>
        <v/>
      </c>
      <c r="X4" s="6" t="str">
        <f t="shared" ref="X4:X67" si="20">IF(ISERR(4-MOD($W4,4)),"",4-MOD($W4,4))</f>
        <v/>
      </c>
      <c r="Y4" s="6" t="str">
        <f t="shared" ref="Y4:Y67" si="21">IF(ISERR(4-MOD($W4-1,4)),"",4-MOD($W4-1,4))</f>
        <v/>
      </c>
      <c r="Z4" s="6" t="str">
        <f t="shared" ref="Z4:Z67" si="22">IF(ISERR(4-MOD($W4-2,4)),"",4-MOD($W4-2,4))</f>
        <v/>
      </c>
      <c r="AA4" s="6" t="str">
        <f t="shared" ref="AA4:AA67" si="23">IF(ISERR(4-MOD($W4-3,4)),"",4-MOD($W4-3,4))</f>
        <v/>
      </c>
      <c r="AB4" s="32" t="str">
        <f t="shared" si="11"/>
        <v/>
      </c>
      <c r="AC4" s="13" t="str">
        <f t="shared" ref="AC4:AC67" si="24">IF(X4="","-",CHOOSE(MOD(X4+$AD$1,4)+1,$X$1,$Y$1,$Z$1,$AA$1))</f>
        <v>-</v>
      </c>
      <c r="AD4" s="13" t="str">
        <f t="shared" ref="AD4:AD67" si="25">IF(Y4="","-",CHOOSE(MOD(Y4+$AD$1,4)+1,$X$1,$Y$1,$Z$1,$AA$1))</f>
        <v>-</v>
      </c>
      <c r="AE4" s="13" t="str">
        <f t="shared" ref="AE4:AE67" si="26">IF(Z4="","-",CHOOSE(MOD(Z4+$AD$1,4)+1,$X$1,$Y$1,$Z$1,$AA$1))</f>
        <v>-</v>
      </c>
      <c r="AF4" s="13" t="str">
        <f t="shared" ref="AF4:AF67" si="27">IF(AA4="","-",CHOOSE(MOD(AA4+$AD$1,4)+1,$X$1,$Y$1,$Z$1,$AA$1))</f>
        <v>-</v>
      </c>
      <c r="AG4" s="31" t="str">
        <f t="shared" si="12"/>
        <v>-</v>
      </c>
      <c r="AH4" s="2" t="str">
        <f t="shared" ref="AH4:AH67" si="28">IF(OR(AE4&amp;AF4="허지웅정윤준", AE4&amp;AF4="정윤준허지웅"),1,"")</f>
        <v/>
      </c>
      <c r="AI4" s="2" t="str">
        <f>IF(AH4="","",COUNT($AH$3:AH4))</f>
        <v/>
      </c>
      <c r="AJ4" s="60" t="str">
        <f t="shared" ref="AJ4:AJ67" si="29">IF(AI4&lt;&gt;"", CHOOSE(MOD(AI4, 2) + 1, $X$1, $Y$1), "")</f>
        <v/>
      </c>
    </row>
    <row r="5" spans="1:36" ht="16.5">
      <c r="A5" s="6">
        <v>3</v>
      </c>
      <c r="B5" s="9">
        <f t="shared" si="13"/>
        <v>46025</v>
      </c>
      <c r="C5" s="7">
        <f t="shared" si="0"/>
        <v>1</v>
      </c>
      <c r="D5" s="7">
        <f t="shared" si="1"/>
        <v>3</v>
      </c>
      <c r="E5" s="15">
        <f t="shared" si="2"/>
        <v>7</v>
      </c>
      <c r="F5" s="8" t="str">
        <f t="shared" si="3"/>
        <v>휴</v>
      </c>
      <c r="G5" s="58"/>
      <c r="H5" s="12" t="s">
        <v>65</v>
      </c>
      <c r="I5" s="6" t="str">
        <f t="shared" si="4"/>
        <v>휴무</v>
      </c>
      <c r="J5" s="6" t="str">
        <f t="shared" si="14"/>
        <v/>
      </c>
      <c r="K5" s="6" t="str">
        <f>IF(J5="","",COUNT($J$3:J5))</f>
        <v/>
      </c>
      <c r="L5" s="6" t="str">
        <f t="shared" si="15"/>
        <v/>
      </c>
      <c r="M5" s="6" t="str">
        <f t="shared" si="16"/>
        <v/>
      </c>
      <c r="N5" s="6" t="str">
        <f t="shared" si="17"/>
        <v/>
      </c>
      <c r="O5" s="6" t="str">
        <f t="shared" si="18"/>
        <v/>
      </c>
      <c r="P5" s="32" t="str">
        <f t="shared" si="5"/>
        <v/>
      </c>
      <c r="Q5" s="13" t="str">
        <f t="shared" si="6"/>
        <v>-</v>
      </c>
      <c r="R5" s="13" t="str">
        <f t="shared" si="7"/>
        <v>-</v>
      </c>
      <c r="S5" s="13" t="str">
        <f t="shared" si="8"/>
        <v>-</v>
      </c>
      <c r="T5" s="13" t="str">
        <f t="shared" si="9"/>
        <v>-</v>
      </c>
      <c r="U5" s="31" t="str">
        <f t="shared" si="10"/>
        <v>-</v>
      </c>
      <c r="V5" s="6" t="str">
        <f t="shared" si="19"/>
        <v/>
      </c>
      <c r="W5" s="6" t="str">
        <f>IF(V5="","",COUNT($V$3:V5))</f>
        <v/>
      </c>
      <c r="X5" s="6" t="str">
        <f t="shared" si="20"/>
        <v/>
      </c>
      <c r="Y5" s="6" t="str">
        <f t="shared" si="21"/>
        <v/>
      </c>
      <c r="Z5" s="6" t="str">
        <f t="shared" si="22"/>
        <v/>
      </c>
      <c r="AA5" s="6" t="str">
        <f t="shared" si="23"/>
        <v/>
      </c>
      <c r="AB5" s="32" t="str">
        <f t="shared" si="11"/>
        <v/>
      </c>
      <c r="AC5" s="13" t="str">
        <f t="shared" si="24"/>
        <v>-</v>
      </c>
      <c r="AD5" s="13" t="str">
        <f t="shared" si="25"/>
        <v>-</v>
      </c>
      <c r="AE5" s="13" t="str">
        <f t="shared" si="26"/>
        <v>-</v>
      </c>
      <c r="AF5" s="13" t="str">
        <f t="shared" si="27"/>
        <v>-</v>
      </c>
      <c r="AG5" s="31" t="str">
        <f t="shared" si="12"/>
        <v>-</v>
      </c>
      <c r="AH5" s="2" t="str">
        <f t="shared" si="28"/>
        <v/>
      </c>
      <c r="AI5" s="2" t="str">
        <f>IF(AH5="","",COUNT($AH$3:AH5))</f>
        <v/>
      </c>
      <c r="AJ5" s="60" t="str">
        <f t="shared" si="29"/>
        <v/>
      </c>
    </row>
    <row r="6" spans="1:36" ht="16.5">
      <c r="A6" s="6">
        <v>4</v>
      </c>
      <c r="B6" s="9">
        <f t="shared" si="13"/>
        <v>46026</v>
      </c>
      <c r="C6" s="7">
        <f t="shared" si="0"/>
        <v>1</v>
      </c>
      <c r="D6" s="7">
        <f t="shared" si="1"/>
        <v>4</v>
      </c>
      <c r="E6" s="15">
        <f t="shared" si="2"/>
        <v>1</v>
      </c>
      <c r="F6" s="8" t="str">
        <f t="shared" si="3"/>
        <v>휴</v>
      </c>
      <c r="G6" s="58"/>
      <c r="H6" s="12" t="s">
        <v>63</v>
      </c>
      <c r="I6" s="6" t="str">
        <f t="shared" si="4"/>
        <v>당직</v>
      </c>
      <c r="J6" s="6" t="str">
        <f t="shared" si="14"/>
        <v/>
      </c>
      <c r="K6" s="6" t="str">
        <f>IF(J6="","",COUNT($J$3:J6))</f>
        <v/>
      </c>
      <c r="L6" s="6" t="str">
        <f t="shared" si="15"/>
        <v/>
      </c>
      <c r="M6" s="6" t="str">
        <f t="shared" si="16"/>
        <v/>
      </c>
      <c r="N6" s="6" t="str">
        <f t="shared" si="17"/>
        <v/>
      </c>
      <c r="O6" s="6" t="str">
        <f t="shared" si="18"/>
        <v/>
      </c>
      <c r="P6" s="32" t="str">
        <f t="shared" si="5"/>
        <v/>
      </c>
      <c r="Q6" s="13" t="str">
        <f t="shared" si="6"/>
        <v>-</v>
      </c>
      <c r="R6" s="13" t="str">
        <f t="shared" si="7"/>
        <v>-</v>
      </c>
      <c r="S6" s="13" t="str">
        <f t="shared" si="8"/>
        <v>-</v>
      </c>
      <c r="T6" s="13" t="str">
        <f t="shared" si="9"/>
        <v>-</v>
      </c>
      <c r="U6" s="31" t="str">
        <f t="shared" si="10"/>
        <v>-</v>
      </c>
      <c r="V6" s="6">
        <f t="shared" si="19"/>
        <v>1</v>
      </c>
      <c r="W6" s="6">
        <f>IF(V6="","",COUNT($V$3:V6))</f>
        <v>2</v>
      </c>
      <c r="X6" s="6">
        <f t="shared" si="20"/>
        <v>2</v>
      </c>
      <c r="Y6" s="6">
        <f t="shared" si="21"/>
        <v>3</v>
      </c>
      <c r="Z6" s="6">
        <f t="shared" si="22"/>
        <v>4</v>
      </c>
      <c r="AA6" s="6">
        <f t="shared" si="23"/>
        <v>1</v>
      </c>
      <c r="AB6" s="32">
        <f t="shared" si="11"/>
        <v>2</v>
      </c>
      <c r="AC6" s="13" t="str">
        <f t="shared" si="24"/>
        <v>박성현</v>
      </c>
      <c r="AD6" s="13" t="str">
        <f t="shared" si="25"/>
        <v>허지웅</v>
      </c>
      <c r="AE6" s="13" t="str">
        <f t="shared" si="26"/>
        <v>정윤준</v>
      </c>
      <c r="AF6" s="13" t="str">
        <f t="shared" si="27"/>
        <v>이기수</v>
      </c>
      <c r="AG6" s="31" t="str">
        <f t="shared" si="12"/>
        <v>장혁진</v>
      </c>
      <c r="AH6" s="2" t="str">
        <f t="shared" si="28"/>
        <v/>
      </c>
      <c r="AI6" s="2" t="str">
        <f>IF(AH6="","",COUNT($AH$3:AH6))</f>
        <v/>
      </c>
      <c r="AJ6" s="60" t="str">
        <f t="shared" si="29"/>
        <v/>
      </c>
    </row>
    <row r="7" spans="1:36" ht="16.5">
      <c r="A7" s="6">
        <v>5</v>
      </c>
      <c r="B7" s="9">
        <f t="shared" si="13"/>
        <v>46027</v>
      </c>
      <c r="C7" s="7">
        <f t="shared" si="0"/>
        <v>1</v>
      </c>
      <c r="D7" s="7">
        <f t="shared" si="1"/>
        <v>5</v>
      </c>
      <c r="E7" s="15">
        <f t="shared" si="2"/>
        <v>2</v>
      </c>
      <c r="F7" s="8" t="str">
        <f t="shared" si="3"/>
        <v/>
      </c>
      <c r="G7" s="58"/>
      <c r="H7" s="12" t="s">
        <v>64</v>
      </c>
      <c r="I7" s="6" t="str">
        <f t="shared" si="4"/>
        <v>비번</v>
      </c>
      <c r="J7" s="6" t="str">
        <f t="shared" si="14"/>
        <v/>
      </c>
      <c r="K7" s="6" t="str">
        <f>IF(J7="","",COUNT($J$3:J7))</f>
        <v/>
      </c>
      <c r="L7" s="6" t="str">
        <f t="shared" si="15"/>
        <v/>
      </c>
      <c r="M7" s="6" t="str">
        <f t="shared" si="16"/>
        <v/>
      </c>
      <c r="N7" s="6" t="str">
        <f t="shared" si="17"/>
        <v/>
      </c>
      <c r="O7" s="6" t="str">
        <f t="shared" si="18"/>
        <v/>
      </c>
      <c r="P7" s="32" t="str">
        <f t="shared" si="5"/>
        <v/>
      </c>
      <c r="Q7" s="13" t="str">
        <f t="shared" si="6"/>
        <v>-</v>
      </c>
      <c r="R7" s="13" t="str">
        <f t="shared" si="7"/>
        <v>-</v>
      </c>
      <c r="S7" s="13" t="str">
        <f t="shared" si="8"/>
        <v>-</v>
      </c>
      <c r="T7" s="13" t="str">
        <f t="shared" si="9"/>
        <v>-</v>
      </c>
      <c r="U7" s="31" t="str">
        <f t="shared" si="10"/>
        <v>-</v>
      </c>
      <c r="V7" s="6" t="str">
        <f t="shared" si="19"/>
        <v/>
      </c>
      <c r="W7" s="6" t="str">
        <f>IF(V7="","",COUNT($V$3:V7))</f>
        <v/>
      </c>
      <c r="X7" s="6" t="str">
        <f t="shared" si="20"/>
        <v/>
      </c>
      <c r="Y7" s="6" t="str">
        <f t="shared" si="21"/>
        <v/>
      </c>
      <c r="Z7" s="6" t="str">
        <f t="shared" si="22"/>
        <v/>
      </c>
      <c r="AA7" s="6" t="str">
        <f t="shared" si="23"/>
        <v/>
      </c>
      <c r="AB7" s="32" t="str">
        <f t="shared" si="11"/>
        <v/>
      </c>
      <c r="AC7" s="13" t="str">
        <f t="shared" si="24"/>
        <v>-</v>
      </c>
      <c r="AD7" s="13" t="str">
        <f t="shared" si="25"/>
        <v>-</v>
      </c>
      <c r="AE7" s="13" t="str">
        <f t="shared" si="26"/>
        <v>-</v>
      </c>
      <c r="AF7" s="13" t="str">
        <f t="shared" si="27"/>
        <v>-</v>
      </c>
      <c r="AG7" s="31" t="str">
        <f t="shared" si="12"/>
        <v>-</v>
      </c>
      <c r="AH7" s="2" t="str">
        <f t="shared" si="28"/>
        <v/>
      </c>
      <c r="AI7" s="2" t="str">
        <f>IF(AH7="","",COUNT($AH$3:AH7))</f>
        <v/>
      </c>
      <c r="AJ7" s="60" t="str">
        <f t="shared" si="29"/>
        <v/>
      </c>
    </row>
    <row r="8" spans="1:36" ht="16.5">
      <c r="A8" s="6">
        <v>6</v>
      </c>
      <c r="B8" s="9">
        <f t="shared" si="13"/>
        <v>46028</v>
      </c>
      <c r="C8" s="7">
        <f t="shared" si="0"/>
        <v>1</v>
      </c>
      <c r="D8" s="7">
        <f t="shared" si="1"/>
        <v>6</v>
      </c>
      <c r="E8" s="15">
        <f t="shared" si="2"/>
        <v>3</v>
      </c>
      <c r="F8" s="8" t="str">
        <f t="shared" si="3"/>
        <v/>
      </c>
      <c r="G8" s="58"/>
      <c r="H8" s="12" t="s">
        <v>65</v>
      </c>
      <c r="I8" s="6" t="str">
        <f t="shared" si="4"/>
        <v>주간</v>
      </c>
      <c r="J8" s="6">
        <f t="shared" si="14"/>
        <v>1</v>
      </c>
      <c r="K8" s="6">
        <f>IF(J8="","",COUNT($J$3:J8))</f>
        <v>1</v>
      </c>
      <c r="L8" s="6">
        <f t="shared" si="15"/>
        <v>3</v>
      </c>
      <c r="M8" s="6">
        <f t="shared" si="16"/>
        <v>4</v>
      </c>
      <c r="N8" s="6">
        <f t="shared" si="17"/>
        <v>1</v>
      </c>
      <c r="O8" s="6">
        <f t="shared" si="18"/>
        <v>2</v>
      </c>
      <c r="P8" s="32">
        <f t="shared" si="5"/>
        <v>1</v>
      </c>
      <c r="Q8" s="13" t="str">
        <f>IF(L8="","-",CHOOSE(MOD(L8+$R$1,4)+1,$L$1,$M$1,$N$1,$O$1))</f>
        <v>허지웅</v>
      </c>
      <c r="R8" s="13" t="str">
        <f>IF(M8="","-",CHOOSE(MOD(M8+$R$1,4)+1,$L$1,$M$1,$N$1,$O$1))</f>
        <v>정윤준</v>
      </c>
      <c r="S8" s="13" t="str">
        <f>IF(N8="","-",CHOOSE(MOD(N8+$R$1,4)+1,$L$1,$M$1,$N$1,$O$1))</f>
        <v>이기수</v>
      </c>
      <c r="T8" s="13" t="str">
        <f>IF(O8="","-",CHOOSE(MOD(O8+$R$1,4)+1,$L$1,$M$1,$N$1,$O$1))</f>
        <v>박성현</v>
      </c>
      <c r="U8" s="31" t="str">
        <f t="shared" si="10"/>
        <v>이기수</v>
      </c>
      <c r="V8" s="6" t="str">
        <f t="shared" si="19"/>
        <v/>
      </c>
      <c r="W8" s="6" t="str">
        <f>IF(V8="","",COUNT($V$3:V8))</f>
        <v/>
      </c>
      <c r="X8" s="6" t="str">
        <f t="shared" si="20"/>
        <v/>
      </c>
      <c r="Y8" s="6" t="str">
        <f t="shared" si="21"/>
        <v/>
      </c>
      <c r="Z8" s="6" t="str">
        <f t="shared" si="22"/>
        <v/>
      </c>
      <c r="AA8" s="6" t="str">
        <f t="shared" si="23"/>
        <v/>
      </c>
      <c r="AB8" s="32" t="str">
        <f t="shared" si="11"/>
        <v/>
      </c>
      <c r="AC8" s="13" t="str">
        <f t="shared" si="24"/>
        <v>-</v>
      </c>
      <c r="AD8" s="13" t="str">
        <f t="shared" si="25"/>
        <v>-</v>
      </c>
      <c r="AE8" s="13" t="str">
        <f t="shared" si="26"/>
        <v>-</v>
      </c>
      <c r="AF8" s="13" t="str">
        <f t="shared" si="27"/>
        <v>-</v>
      </c>
      <c r="AG8" s="31" t="str">
        <f t="shared" si="12"/>
        <v>-</v>
      </c>
      <c r="AH8" s="2" t="str">
        <f t="shared" si="28"/>
        <v/>
      </c>
      <c r="AI8" s="2" t="str">
        <f>IF(AH8="","",COUNT($AH$3:AH8))</f>
        <v/>
      </c>
      <c r="AJ8" s="60" t="str">
        <f t="shared" si="29"/>
        <v/>
      </c>
    </row>
    <row r="9" spans="1:36" ht="16.5">
      <c r="A9" s="6">
        <v>7</v>
      </c>
      <c r="B9" s="9">
        <f t="shared" si="13"/>
        <v>46029</v>
      </c>
      <c r="C9" s="7">
        <f t="shared" si="0"/>
        <v>1</v>
      </c>
      <c r="D9" s="7">
        <f t="shared" si="1"/>
        <v>7</v>
      </c>
      <c r="E9" s="15">
        <f t="shared" si="2"/>
        <v>4</v>
      </c>
      <c r="F9" s="8" t="str">
        <f t="shared" si="3"/>
        <v/>
      </c>
      <c r="G9" s="58"/>
      <c r="H9" s="12" t="s">
        <v>63</v>
      </c>
      <c r="I9" s="6" t="str">
        <f t="shared" si="4"/>
        <v>야간</v>
      </c>
      <c r="J9" s="6" t="str">
        <f t="shared" si="14"/>
        <v/>
      </c>
      <c r="K9" s="6" t="str">
        <f>IF(J9="","",COUNT($J$3:J9))</f>
        <v/>
      </c>
      <c r="L9" s="6" t="str">
        <f t="shared" si="15"/>
        <v/>
      </c>
      <c r="M9" s="6" t="str">
        <f t="shared" si="16"/>
        <v/>
      </c>
      <c r="N9" s="6" t="str">
        <f t="shared" si="17"/>
        <v/>
      </c>
      <c r="O9" s="6" t="str">
        <f t="shared" si="18"/>
        <v/>
      </c>
      <c r="P9" s="32" t="str">
        <f t="shared" si="5"/>
        <v/>
      </c>
      <c r="Q9" s="13" t="str">
        <f t="shared" ref="Q9:Q72" si="30">IF(L9="","-",CHOOSE(MOD(L9+$R$1,4)+1,$L$1,$M$1,$N$1,$O$1))</f>
        <v>-</v>
      </c>
      <c r="R9" s="13" t="str">
        <f t="shared" ref="R9:R72" si="31">IF(M9="","-",CHOOSE(MOD(M9+$R$1,4)+1,$L$1,$M$1,$N$1,$O$1))</f>
        <v>-</v>
      </c>
      <c r="S9" s="13" t="str">
        <f t="shared" ref="S9:S72" si="32">IF(N9="","-",CHOOSE(MOD(N9+$R$1,4)+1,$L$1,$M$1,$N$1,$O$1))</f>
        <v>-</v>
      </c>
      <c r="T9" s="13" t="str">
        <f t="shared" ref="T9:T72" si="33">IF(O9="","-",CHOOSE(MOD(O9+$R$1,4)+1,$L$1,$M$1,$N$1,$O$1))</f>
        <v>-</v>
      </c>
      <c r="U9" s="31" t="str">
        <f t="shared" si="10"/>
        <v>-</v>
      </c>
      <c r="V9" s="6">
        <f t="shared" si="19"/>
        <v>1</v>
      </c>
      <c r="W9" s="6">
        <f>IF(V9="","",COUNT($V$3:V9))</f>
        <v>3</v>
      </c>
      <c r="X9" s="6">
        <f t="shared" si="20"/>
        <v>1</v>
      </c>
      <c r="Y9" s="6">
        <f t="shared" si="21"/>
        <v>2</v>
      </c>
      <c r="Z9" s="6">
        <f t="shared" si="22"/>
        <v>3</v>
      </c>
      <c r="AA9" s="6">
        <f t="shared" si="23"/>
        <v>4</v>
      </c>
      <c r="AB9" s="32">
        <f t="shared" si="11"/>
        <v>3</v>
      </c>
      <c r="AC9" s="13" t="str">
        <f t="shared" si="24"/>
        <v>이기수</v>
      </c>
      <c r="AD9" s="13" t="str">
        <f t="shared" si="25"/>
        <v>박성현</v>
      </c>
      <c r="AE9" s="13" t="str">
        <f t="shared" si="26"/>
        <v>허지웅</v>
      </c>
      <c r="AF9" s="13" t="str">
        <f t="shared" si="27"/>
        <v>정윤준</v>
      </c>
      <c r="AG9" s="31" t="str">
        <f t="shared" si="12"/>
        <v>이기수</v>
      </c>
      <c r="AH9" s="2">
        <f t="shared" si="28"/>
        <v>1</v>
      </c>
      <c r="AI9" s="2">
        <f>IF(AH9="","",COUNT($AH$3:AH9))</f>
        <v>1</v>
      </c>
      <c r="AJ9" s="60" t="str">
        <f t="shared" si="29"/>
        <v>정윤준</v>
      </c>
    </row>
    <row r="10" spans="1:36" ht="16.5">
      <c r="A10" s="6">
        <v>8</v>
      </c>
      <c r="B10" s="9">
        <f t="shared" si="13"/>
        <v>46030</v>
      </c>
      <c r="C10" s="7">
        <f t="shared" si="0"/>
        <v>1</v>
      </c>
      <c r="D10" s="7">
        <f t="shared" si="1"/>
        <v>8</v>
      </c>
      <c r="E10" s="15">
        <f t="shared" si="2"/>
        <v>5</v>
      </c>
      <c r="F10" s="8" t="str">
        <f t="shared" si="3"/>
        <v/>
      </c>
      <c r="G10" s="58"/>
      <c r="H10" s="12" t="s">
        <v>64</v>
      </c>
      <c r="I10" s="6" t="str">
        <f t="shared" si="4"/>
        <v>비번</v>
      </c>
      <c r="J10" s="6" t="str">
        <f t="shared" si="14"/>
        <v/>
      </c>
      <c r="K10" s="6" t="str">
        <f>IF(J10="","",COUNT($J$3:J10))</f>
        <v/>
      </c>
      <c r="L10" s="6" t="str">
        <f t="shared" si="15"/>
        <v/>
      </c>
      <c r="M10" s="6" t="str">
        <f t="shared" si="16"/>
        <v/>
      </c>
      <c r="N10" s="6" t="str">
        <f t="shared" si="17"/>
        <v/>
      </c>
      <c r="O10" s="6" t="str">
        <f t="shared" si="18"/>
        <v/>
      </c>
      <c r="P10" s="32" t="str">
        <f t="shared" si="5"/>
        <v/>
      </c>
      <c r="Q10" s="13" t="str">
        <f t="shared" si="30"/>
        <v>-</v>
      </c>
      <c r="R10" s="13" t="str">
        <f t="shared" si="31"/>
        <v>-</v>
      </c>
      <c r="S10" s="13" t="str">
        <f t="shared" si="32"/>
        <v>-</v>
      </c>
      <c r="T10" s="13" t="str">
        <f t="shared" si="33"/>
        <v>-</v>
      </c>
      <c r="U10" s="31" t="str">
        <f t="shared" si="10"/>
        <v>-</v>
      </c>
      <c r="V10" s="6" t="str">
        <f t="shared" si="19"/>
        <v/>
      </c>
      <c r="W10" s="6" t="str">
        <f>IF(V10="","",COUNT($V$3:V10))</f>
        <v/>
      </c>
      <c r="X10" s="6" t="str">
        <f t="shared" si="20"/>
        <v/>
      </c>
      <c r="Y10" s="6" t="str">
        <f t="shared" si="21"/>
        <v/>
      </c>
      <c r="Z10" s="6" t="str">
        <f t="shared" si="22"/>
        <v/>
      </c>
      <c r="AA10" s="6" t="str">
        <f t="shared" si="23"/>
        <v/>
      </c>
      <c r="AB10" s="32" t="str">
        <f t="shared" si="11"/>
        <v/>
      </c>
      <c r="AC10" s="13" t="str">
        <f t="shared" si="24"/>
        <v>-</v>
      </c>
      <c r="AD10" s="13" t="str">
        <f t="shared" si="25"/>
        <v>-</v>
      </c>
      <c r="AE10" s="13" t="str">
        <f t="shared" si="26"/>
        <v>-</v>
      </c>
      <c r="AF10" s="13" t="str">
        <f t="shared" si="27"/>
        <v>-</v>
      </c>
      <c r="AG10" s="31" t="str">
        <f t="shared" si="12"/>
        <v>-</v>
      </c>
      <c r="AH10" s="2" t="str">
        <f t="shared" si="28"/>
        <v/>
      </c>
      <c r="AI10" s="2" t="str">
        <f>IF(AH10="","",COUNT($AH$3:AH10))</f>
        <v/>
      </c>
      <c r="AJ10" s="60" t="str">
        <f t="shared" si="29"/>
        <v/>
      </c>
    </row>
    <row r="11" spans="1:36" ht="16.5">
      <c r="A11" s="6">
        <v>9</v>
      </c>
      <c r="B11" s="9">
        <f t="shared" si="13"/>
        <v>46031</v>
      </c>
      <c r="C11" s="7">
        <f t="shared" si="0"/>
        <v>1</v>
      </c>
      <c r="D11" s="7">
        <f t="shared" si="1"/>
        <v>9</v>
      </c>
      <c r="E11" s="15">
        <f t="shared" si="2"/>
        <v>6</v>
      </c>
      <c r="F11" s="8" t="str">
        <f t="shared" si="3"/>
        <v/>
      </c>
      <c r="G11" s="58"/>
      <c r="H11" s="12" t="s">
        <v>65</v>
      </c>
      <c r="I11" s="6" t="str">
        <f t="shared" si="4"/>
        <v>주간</v>
      </c>
      <c r="J11" s="6">
        <f t="shared" si="14"/>
        <v>1</v>
      </c>
      <c r="K11" s="6">
        <f>IF(J11="","",COUNT($J$3:J11))</f>
        <v>2</v>
      </c>
      <c r="L11" s="6">
        <f t="shared" si="15"/>
        <v>2</v>
      </c>
      <c r="M11" s="6">
        <f t="shared" si="16"/>
        <v>3</v>
      </c>
      <c r="N11" s="6">
        <f t="shared" si="17"/>
        <v>4</v>
      </c>
      <c r="O11" s="6">
        <f t="shared" si="18"/>
        <v>1</v>
      </c>
      <c r="P11" s="32">
        <f t="shared" si="5"/>
        <v>2</v>
      </c>
      <c r="Q11" s="13" t="str">
        <f t="shared" si="30"/>
        <v>박성현</v>
      </c>
      <c r="R11" s="13" t="str">
        <f t="shared" si="31"/>
        <v>허지웅</v>
      </c>
      <c r="S11" s="13" t="str">
        <f t="shared" si="32"/>
        <v>정윤준</v>
      </c>
      <c r="T11" s="13" t="str">
        <f t="shared" si="33"/>
        <v>이기수</v>
      </c>
      <c r="U11" s="31" t="str">
        <f t="shared" si="10"/>
        <v>정윤준</v>
      </c>
      <c r="V11" s="6" t="str">
        <f t="shared" si="19"/>
        <v/>
      </c>
      <c r="W11" s="6" t="str">
        <f>IF(V11="","",COUNT($V$3:V11))</f>
        <v/>
      </c>
      <c r="X11" s="6" t="str">
        <f t="shared" si="20"/>
        <v/>
      </c>
      <c r="Y11" s="6" t="str">
        <f t="shared" si="21"/>
        <v/>
      </c>
      <c r="Z11" s="6" t="str">
        <f t="shared" si="22"/>
        <v/>
      </c>
      <c r="AA11" s="6" t="str">
        <f t="shared" si="23"/>
        <v/>
      </c>
      <c r="AB11" s="32" t="str">
        <f t="shared" si="11"/>
        <v/>
      </c>
      <c r="AC11" s="13" t="str">
        <f t="shared" si="24"/>
        <v>-</v>
      </c>
      <c r="AD11" s="13" t="str">
        <f t="shared" si="25"/>
        <v>-</v>
      </c>
      <c r="AE11" s="13" t="str">
        <f t="shared" si="26"/>
        <v>-</v>
      </c>
      <c r="AF11" s="13" t="str">
        <f t="shared" si="27"/>
        <v>-</v>
      </c>
      <c r="AG11" s="31" t="str">
        <f t="shared" si="12"/>
        <v>-</v>
      </c>
      <c r="AH11" s="2" t="str">
        <f t="shared" si="28"/>
        <v/>
      </c>
      <c r="AI11" s="2" t="str">
        <f>IF(AH11="","",COUNT($AH$3:AH11))</f>
        <v/>
      </c>
      <c r="AJ11" s="60" t="str">
        <f t="shared" si="29"/>
        <v/>
      </c>
    </row>
    <row r="12" spans="1:36" ht="16.5">
      <c r="A12" s="6">
        <v>10</v>
      </c>
      <c r="B12" s="9">
        <f t="shared" si="13"/>
        <v>46032</v>
      </c>
      <c r="C12" s="7">
        <f t="shared" si="0"/>
        <v>1</v>
      </c>
      <c r="D12" s="7">
        <f t="shared" si="1"/>
        <v>10</v>
      </c>
      <c r="E12" s="15">
        <f t="shared" si="2"/>
        <v>7</v>
      </c>
      <c r="F12" s="8" t="str">
        <f t="shared" si="3"/>
        <v>휴</v>
      </c>
      <c r="G12" s="58"/>
      <c r="H12" s="12" t="s">
        <v>63</v>
      </c>
      <c r="I12" s="6" t="str">
        <f t="shared" si="4"/>
        <v>당직</v>
      </c>
      <c r="J12" s="6" t="str">
        <f t="shared" si="14"/>
        <v/>
      </c>
      <c r="K12" s="6" t="str">
        <f>IF(J12="","",COUNT($J$3:J12))</f>
        <v/>
      </c>
      <c r="L12" s="6" t="str">
        <f t="shared" si="15"/>
        <v/>
      </c>
      <c r="M12" s="6" t="str">
        <f t="shared" si="16"/>
        <v/>
      </c>
      <c r="N12" s="6" t="str">
        <f t="shared" si="17"/>
        <v/>
      </c>
      <c r="O12" s="6" t="str">
        <f t="shared" si="18"/>
        <v/>
      </c>
      <c r="P12" s="32" t="str">
        <f t="shared" si="5"/>
        <v/>
      </c>
      <c r="Q12" s="13" t="str">
        <f t="shared" si="30"/>
        <v>-</v>
      </c>
      <c r="R12" s="13" t="str">
        <f t="shared" si="31"/>
        <v>-</v>
      </c>
      <c r="S12" s="13" t="str">
        <f t="shared" si="32"/>
        <v>-</v>
      </c>
      <c r="T12" s="13" t="str">
        <f t="shared" si="33"/>
        <v>-</v>
      </c>
      <c r="U12" s="31" t="str">
        <f t="shared" si="10"/>
        <v>-</v>
      </c>
      <c r="V12" s="6">
        <f t="shared" si="19"/>
        <v>1</v>
      </c>
      <c r="W12" s="6">
        <f>IF(V12="","",COUNT($V$3:V12))</f>
        <v>4</v>
      </c>
      <c r="X12" s="6">
        <f t="shared" si="20"/>
        <v>4</v>
      </c>
      <c r="Y12" s="6">
        <f t="shared" si="21"/>
        <v>1</v>
      </c>
      <c r="Z12" s="6">
        <f t="shared" si="22"/>
        <v>2</v>
      </c>
      <c r="AA12" s="6">
        <f t="shared" si="23"/>
        <v>3</v>
      </c>
      <c r="AB12" s="32">
        <f t="shared" si="11"/>
        <v>4</v>
      </c>
      <c r="AC12" s="13" t="str">
        <f t="shared" si="24"/>
        <v>정윤준</v>
      </c>
      <c r="AD12" s="13" t="str">
        <f t="shared" si="25"/>
        <v>이기수</v>
      </c>
      <c r="AE12" s="13" t="str">
        <f t="shared" si="26"/>
        <v>박성현</v>
      </c>
      <c r="AF12" s="13" t="str">
        <f t="shared" si="27"/>
        <v>허지웅</v>
      </c>
      <c r="AG12" s="31" t="e">
        <f t="shared" si="12"/>
        <v>#VALUE!</v>
      </c>
      <c r="AH12" s="2" t="str">
        <f t="shared" si="28"/>
        <v/>
      </c>
      <c r="AI12" s="2" t="str">
        <f>IF(AH12="","",COUNT($AH$3:AH12))</f>
        <v/>
      </c>
      <c r="AJ12" s="60" t="str">
        <f t="shared" si="29"/>
        <v/>
      </c>
    </row>
    <row r="13" spans="1:36" ht="16.5">
      <c r="A13" s="6">
        <v>11</v>
      </c>
      <c r="B13" s="9">
        <f t="shared" si="13"/>
        <v>46033</v>
      </c>
      <c r="C13" s="7">
        <f t="shared" si="0"/>
        <v>1</v>
      </c>
      <c r="D13" s="7">
        <f t="shared" si="1"/>
        <v>11</v>
      </c>
      <c r="E13" s="15">
        <f t="shared" si="2"/>
        <v>1</v>
      </c>
      <c r="F13" s="8" t="str">
        <f t="shared" si="3"/>
        <v>휴</v>
      </c>
      <c r="G13" s="58"/>
      <c r="H13" s="12" t="s">
        <v>64</v>
      </c>
      <c r="I13" s="6" t="str">
        <f t="shared" si="4"/>
        <v>비번</v>
      </c>
      <c r="J13" s="6" t="str">
        <f t="shared" si="14"/>
        <v/>
      </c>
      <c r="K13" s="6" t="str">
        <f>IF(J13="","",COUNT($J$3:J13))</f>
        <v/>
      </c>
      <c r="L13" s="6" t="str">
        <f t="shared" si="15"/>
        <v/>
      </c>
      <c r="M13" s="6" t="str">
        <f t="shared" si="16"/>
        <v/>
      </c>
      <c r="N13" s="6" t="str">
        <f t="shared" si="17"/>
        <v/>
      </c>
      <c r="O13" s="6" t="str">
        <f t="shared" si="18"/>
        <v/>
      </c>
      <c r="P13" s="32" t="str">
        <f t="shared" si="5"/>
        <v/>
      </c>
      <c r="Q13" s="13" t="str">
        <f t="shared" si="30"/>
        <v>-</v>
      </c>
      <c r="R13" s="13" t="str">
        <f t="shared" si="31"/>
        <v>-</v>
      </c>
      <c r="S13" s="13" t="str">
        <f t="shared" si="32"/>
        <v>-</v>
      </c>
      <c r="T13" s="13" t="str">
        <f t="shared" si="33"/>
        <v>-</v>
      </c>
      <c r="U13" s="31" t="str">
        <f t="shared" si="10"/>
        <v>-</v>
      </c>
      <c r="V13" s="6" t="str">
        <f t="shared" si="19"/>
        <v/>
      </c>
      <c r="W13" s="6" t="str">
        <f>IF(V13="","",COUNT($V$3:V13))</f>
        <v/>
      </c>
      <c r="X13" s="6" t="str">
        <f t="shared" si="20"/>
        <v/>
      </c>
      <c r="Y13" s="6" t="str">
        <f t="shared" si="21"/>
        <v/>
      </c>
      <c r="Z13" s="6" t="str">
        <f t="shared" si="22"/>
        <v/>
      </c>
      <c r="AA13" s="6" t="str">
        <f t="shared" si="23"/>
        <v/>
      </c>
      <c r="AB13" s="32" t="str">
        <f t="shared" si="11"/>
        <v/>
      </c>
      <c r="AC13" s="13" t="str">
        <f t="shared" si="24"/>
        <v>-</v>
      </c>
      <c r="AD13" s="13" t="str">
        <f t="shared" si="25"/>
        <v>-</v>
      </c>
      <c r="AE13" s="13" t="str">
        <f t="shared" si="26"/>
        <v>-</v>
      </c>
      <c r="AF13" s="13" t="str">
        <f t="shared" si="27"/>
        <v>-</v>
      </c>
      <c r="AG13" s="31" t="str">
        <f t="shared" si="12"/>
        <v>-</v>
      </c>
      <c r="AH13" s="2" t="str">
        <f t="shared" si="28"/>
        <v/>
      </c>
      <c r="AI13" s="2" t="str">
        <f>IF(AH13="","",COUNT($AH$3:AH13))</f>
        <v/>
      </c>
      <c r="AJ13" s="60" t="str">
        <f t="shared" si="29"/>
        <v/>
      </c>
    </row>
    <row r="14" spans="1:36" ht="16.5">
      <c r="A14" s="6">
        <v>12</v>
      </c>
      <c r="B14" s="9">
        <f t="shared" si="13"/>
        <v>46034</v>
      </c>
      <c r="C14" s="7">
        <f t="shared" si="0"/>
        <v>1</v>
      </c>
      <c r="D14" s="7">
        <f t="shared" si="1"/>
        <v>12</v>
      </c>
      <c r="E14" s="15">
        <f t="shared" si="2"/>
        <v>2</v>
      </c>
      <c r="F14" s="8" t="str">
        <f t="shared" si="3"/>
        <v/>
      </c>
      <c r="G14" s="58"/>
      <c r="H14" s="12" t="s">
        <v>65</v>
      </c>
      <c r="I14" s="6" t="str">
        <f t="shared" si="4"/>
        <v>주간</v>
      </c>
      <c r="J14" s="6">
        <f t="shared" si="14"/>
        <v>1</v>
      </c>
      <c r="K14" s="6">
        <f>IF(J14="","",COUNT($J$3:J14))</f>
        <v>3</v>
      </c>
      <c r="L14" s="6">
        <f t="shared" si="15"/>
        <v>1</v>
      </c>
      <c r="M14" s="6">
        <f t="shared" si="16"/>
        <v>2</v>
      </c>
      <c r="N14" s="6">
        <f t="shared" si="17"/>
        <v>3</v>
      </c>
      <c r="O14" s="6">
        <f t="shared" si="18"/>
        <v>4</v>
      </c>
      <c r="P14" s="32">
        <f t="shared" si="5"/>
        <v>3</v>
      </c>
      <c r="Q14" s="13" t="str">
        <f t="shared" si="30"/>
        <v>이기수</v>
      </c>
      <c r="R14" s="13" t="str">
        <f t="shared" si="31"/>
        <v>박성현</v>
      </c>
      <c r="S14" s="13" t="str">
        <f t="shared" si="32"/>
        <v>허지웅</v>
      </c>
      <c r="T14" s="13" t="str">
        <f t="shared" si="33"/>
        <v>정윤준</v>
      </c>
      <c r="U14" s="31" t="str">
        <f t="shared" si="10"/>
        <v>허지웅</v>
      </c>
      <c r="V14" s="6" t="str">
        <f t="shared" si="19"/>
        <v/>
      </c>
      <c r="W14" s="6" t="str">
        <f>IF(V14="","",COUNT($V$3:V14))</f>
        <v/>
      </c>
      <c r="X14" s="6" t="str">
        <f t="shared" si="20"/>
        <v/>
      </c>
      <c r="Y14" s="6" t="str">
        <f t="shared" si="21"/>
        <v/>
      </c>
      <c r="Z14" s="6" t="str">
        <f t="shared" si="22"/>
        <v/>
      </c>
      <c r="AA14" s="6" t="str">
        <f t="shared" si="23"/>
        <v/>
      </c>
      <c r="AB14" s="32" t="str">
        <f t="shared" si="11"/>
        <v/>
      </c>
      <c r="AC14" s="13" t="str">
        <f t="shared" si="24"/>
        <v>-</v>
      </c>
      <c r="AD14" s="13" t="str">
        <f t="shared" si="25"/>
        <v>-</v>
      </c>
      <c r="AE14" s="13" t="str">
        <f t="shared" si="26"/>
        <v>-</v>
      </c>
      <c r="AF14" s="13" t="str">
        <f t="shared" si="27"/>
        <v>-</v>
      </c>
      <c r="AG14" s="31" t="str">
        <f t="shared" si="12"/>
        <v>-</v>
      </c>
      <c r="AH14" s="2" t="str">
        <f t="shared" si="28"/>
        <v/>
      </c>
      <c r="AI14" s="2" t="str">
        <f>IF(AH14="","",COUNT($AH$3:AH14))</f>
        <v/>
      </c>
      <c r="AJ14" s="60" t="str">
        <f t="shared" si="29"/>
        <v/>
      </c>
    </row>
    <row r="15" spans="1:36" ht="16.5">
      <c r="A15" s="6">
        <v>13</v>
      </c>
      <c r="B15" s="9">
        <f t="shared" si="13"/>
        <v>46035</v>
      </c>
      <c r="C15" s="7">
        <f t="shared" si="0"/>
        <v>1</v>
      </c>
      <c r="D15" s="7">
        <f t="shared" si="1"/>
        <v>13</v>
      </c>
      <c r="E15" s="15">
        <f t="shared" si="2"/>
        <v>3</v>
      </c>
      <c r="F15" s="8" t="str">
        <f t="shared" si="3"/>
        <v/>
      </c>
      <c r="G15" s="58"/>
      <c r="H15" s="12" t="s">
        <v>63</v>
      </c>
      <c r="I15" s="6" t="str">
        <f t="shared" si="4"/>
        <v>야간</v>
      </c>
      <c r="J15" s="6" t="str">
        <f t="shared" si="14"/>
        <v/>
      </c>
      <c r="K15" s="6" t="str">
        <f>IF(J15="","",COUNT($J$3:J15))</f>
        <v/>
      </c>
      <c r="L15" s="6" t="str">
        <f t="shared" si="15"/>
        <v/>
      </c>
      <c r="M15" s="6" t="str">
        <f t="shared" si="16"/>
        <v/>
      </c>
      <c r="N15" s="6" t="str">
        <f t="shared" si="17"/>
        <v/>
      </c>
      <c r="O15" s="6" t="str">
        <f t="shared" si="18"/>
        <v/>
      </c>
      <c r="P15" s="32" t="str">
        <f t="shared" si="5"/>
        <v/>
      </c>
      <c r="Q15" s="13" t="str">
        <f t="shared" si="30"/>
        <v>-</v>
      </c>
      <c r="R15" s="13" t="str">
        <f t="shared" si="31"/>
        <v>-</v>
      </c>
      <c r="S15" s="13" t="str">
        <f t="shared" si="32"/>
        <v>-</v>
      </c>
      <c r="T15" s="13" t="str">
        <f t="shared" si="33"/>
        <v>-</v>
      </c>
      <c r="U15" s="31" t="str">
        <f t="shared" si="10"/>
        <v>-</v>
      </c>
      <c r="V15" s="6">
        <f t="shared" si="19"/>
        <v>1</v>
      </c>
      <c r="W15" s="6">
        <f>IF(V15="","",COUNT($V$3:V15))</f>
        <v>5</v>
      </c>
      <c r="X15" s="6">
        <f t="shared" si="20"/>
        <v>3</v>
      </c>
      <c r="Y15" s="6">
        <f t="shared" si="21"/>
        <v>4</v>
      </c>
      <c r="Z15" s="6">
        <f t="shared" si="22"/>
        <v>1</v>
      </c>
      <c r="AA15" s="6">
        <f t="shared" si="23"/>
        <v>2</v>
      </c>
      <c r="AB15" s="32">
        <f t="shared" si="11"/>
        <v>0</v>
      </c>
      <c r="AC15" s="13" t="str">
        <f t="shared" si="24"/>
        <v>허지웅</v>
      </c>
      <c r="AD15" s="13" t="str">
        <f t="shared" si="25"/>
        <v>정윤준</v>
      </c>
      <c r="AE15" s="13" t="str">
        <f t="shared" si="26"/>
        <v>이기수</v>
      </c>
      <c r="AF15" s="13" t="str">
        <f t="shared" si="27"/>
        <v>박성현</v>
      </c>
      <c r="AG15" s="31" t="str">
        <f t="shared" si="12"/>
        <v>정윤준</v>
      </c>
      <c r="AH15" s="2" t="str">
        <f t="shared" si="28"/>
        <v/>
      </c>
      <c r="AI15" s="2" t="str">
        <f>IF(AH15="","",COUNT($AH$3:AH15))</f>
        <v/>
      </c>
      <c r="AJ15" s="60" t="str">
        <f t="shared" si="29"/>
        <v/>
      </c>
    </row>
    <row r="16" spans="1:36" ht="16.5">
      <c r="A16" s="6">
        <v>14</v>
      </c>
      <c r="B16" s="9">
        <f t="shared" si="13"/>
        <v>46036</v>
      </c>
      <c r="C16" s="7">
        <f t="shared" si="0"/>
        <v>1</v>
      </c>
      <c r="D16" s="7">
        <f t="shared" si="1"/>
        <v>14</v>
      </c>
      <c r="E16" s="15">
        <f t="shared" si="2"/>
        <v>4</v>
      </c>
      <c r="F16" s="8" t="str">
        <f t="shared" si="3"/>
        <v/>
      </c>
      <c r="G16" s="58"/>
      <c r="H16" s="12" t="s">
        <v>64</v>
      </c>
      <c r="I16" s="6" t="str">
        <f t="shared" si="4"/>
        <v>비번</v>
      </c>
      <c r="J16" s="6" t="str">
        <f t="shared" si="14"/>
        <v/>
      </c>
      <c r="K16" s="6" t="str">
        <f>IF(J16="","",COUNT($J$3:J16))</f>
        <v/>
      </c>
      <c r="L16" s="6" t="str">
        <f t="shared" si="15"/>
        <v/>
      </c>
      <c r="M16" s="6" t="str">
        <f t="shared" si="16"/>
        <v/>
      </c>
      <c r="N16" s="6" t="str">
        <f t="shared" si="17"/>
        <v/>
      </c>
      <c r="O16" s="6" t="str">
        <f t="shared" si="18"/>
        <v/>
      </c>
      <c r="P16" s="32" t="str">
        <f t="shared" si="5"/>
        <v/>
      </c>
      <c r="Q16" s="13" t="str">
        <f t="shared" si="30"/>
        <v>-</v>
      </c>
      <c r="R16" s="13" t="str">
        <f t="shared" si="31"/>
        <v>-</v>
      </c>
      <c r="S16" s="13" t="str">
        <f t="shared" si="32"/>
        <v>-</v>
      </c>
      <c r="T16" s="13" t="str">
        <f t="shared" si="33"/>
        <v>-</v>
      </c>
      <c r="U16" s="31" t="str">
        <f t="shared" si="10"/>
        <v>-</v>
      </c>
      <c r="V16" s="6" t="str">
        <f t="shared" si="19"/>
        <v/>
      </c>
      <c r="W16" s="6" t="str">
        <f>IF(V16="","",COUNT($V$3:V16))</f>
        <v/>
      </c>
      <c r="X16" s="6" t="str">
        <f t="shared" si="20"/>
        <v/>
      </c>
      <c r="Y16" s="6" t="str">
        <f t="shared" si="21"/>
        <v/>
      </c>
      <c r="Z16" s="6" t="str">
        <f t="shared" si="22"/>
        <v/>
      </c>
      <c r="AA16" s="6" t="str">
        <f t="shared" si="23"/>
        <v/>
      </c>
      <c r="AB16" s="32" t="str">
        <f t="shared" si="11"/>
        <v/>
      </c>
      <c r="AC16" s="13" t="str">
        <f t="shared" si="24"/>
        <v>-</v>
      </c>
      <c r="AD16" s="13" t="str">
        <f t="shared" si="25"/>
        <v>-</v>
      </c>
      <c r="AE16" s="13" t="str">
        <f t="shared" si="26"/>
        <v>-</v>
      </c>
      <c r="AF16" s="13" t="str">
        <f t="shared" si="27"/>
        <v>-</v>
      </c>
      <c r="AG16" s="31" t="str">
        <f t="shared" si="12"/>
        <v>-</v>
      </c>
      <c r="AH16" s="2" t="str">
        <f t="shared" si="28"/>
        <v/>
      </c>
      <c r="AI16" s="2" t="str">
        <f>IF(AH16="","",COUNT($AH$3:AH16))</f>
        <v/>
      </c>
      <c r="AJ16" s="60" t="str">
        <f t="shared" si="29"/>
        <v/>
      </c>
    </row>
    <row r="17" spans="1:36" ht="16.5">
      <c r="A17" s="6">
        <v>15</v>
      </c>
      <c r="B17" s="9">
        <f t="shared" si="13"/>
        <v>46037</v>
      </c>
      <c r="C17" s="7">
        <f t="shared" si="0"/>
        <v>1</v>
      </c>
      <c r="D17" s="7">
        <f t="shared" si="1"/>
        <v>15</v>
      </c>
      <c r="E17" s="15">
        <f t="shared" si="2"/>
        <v>5</v>
      </c>
      <c r="F17" s="8" t="str">
        <f t="shared" si="3"/>
        <v/>
      </c>
      <c r="G17" s="58"/>
      <c r="H17" s="12" t="s">
        <v>65</v>
      </c>
      <c r="I17" s="6" t="str">
        <f t="shared" si="4"/>
        <v>주간</v>
      </c>
      <c r="J17" s="6">
        <f t="shared" si="14"/>
        <v>1</v>
      </c>
      <c r="K17" s="6">
        <f>IF(J17="","",COUNT($J$3:J17))</f>
        <v>4</v>
      </c>
      <c r="L17" s="6">
        <f t="shared" si="15"/>
        <v>4</v>
      </c>
      <c r="M17" s="6">
        <f t="shared" si="16"/>
        <v>1</v>
      </c>
      <c r="N17" s="6">
        <f t="shared" si="17"/>
        <v>2</v>
      </c>
      <c r="O17" s="6">
        <f t="shared" si="18"/>
        <v>3</v>
      </c>
      <c r="P17" s="32">
        <f t="shared" si="5"/>
        <v>4</v>
      </c>
      <c r="Q17" s="13" t="str">
        <f t="shared" si="30"/>
        <v>정윤준</v>
      </c>
      <c r="R17" s="13" t="str">
        <f t="shared" si="31"/>
        <v>이기수</v>
      </c>
      <c r="S17" s="13" t="str">
        <f t="shared" si="32"/>
        <v>박성현</v>
      </c>
      <c r="T17" s="13" t="str">
        <f t="shared" si="33"/>
        <v>허지웅</v>
      </c>
      <c r="U17" s="31" t="e">
        <f t="shared" si="10"/>
        <v>#VALUE!</v>
      </c>
      <c r="V17" s="6" t="str">
        <f t="shared" si="19"/>
        <v/>
      </c>
      <c r="W17" s="6" t="str">
        <f>IF(V17="","",COUNT($V$3:V17))</f>
        <v/>
      </c>
      <c r="X17" s="6" t="str">
        <f t="shared" si="20"/>
        <v/>
      </c>
      <c r="Y17" s="6" t="str">
        <f t="shared" si="21"/>
        <v/>
      </c>
      <c r="Z17" s="6" t="str">
        <f t="shared" si="22"/>
        <v/>
      </c>
      <c r="AA17" s="6" t="str">
        <f t="shared" si="23"/>
        <v/>
      </c>
      <c r="AB17" s="32" t="str">
        <f t="shared" si="11"/>
        <v/>
      </c>
      <c r="AC17" s="13" t="str">
        <f t="shared" si="24"/>
        <v>-</v>
      </c>
      <c r="AD17" s="13" t="str">
        <f t="shared" si="25"/>
        <v>-</v>
      </c>
      <c r="AE17" s="13" t="str">
        <f t="shared" si="26"/>
        <v>-</v>
      </c>
      <c r="AF17" s="13" t="str">
        <f t="shared" si="27"/>
        <v>-</v>
      </c>
      <c r="AG17" s="31" t="str">
        <f t="shared" si="12"/>
        <v>-</v>
      </c>
      <c r="AH17" s="2" t="str">
        <f t="shared" si="28"/>
        <v/>
      </c>
      <c r="AI17" s="2" t="str">
        <f>IF(AH17="","",COUNT($AH$3:AH17))</f>
        <v/>
      </c>
      <c r="AJ17" s="60" t="str">
        <f t="shared" si="29"/>
        <v/>
      </c>
    </row>
    <row r="18" spans="1:36" ht="16.5">
      <c r="A18" s="6">
        <v>16</v>
      </c>
      <c r="B18" s="9">
        <f t="shared" si="13"/>
        <v>46038</v>
      </c>
      <c r="C18" s="7">
        <f t="shared" si="0"/>
        <v>1</v>
      </c>
      <c r="D18" s="7">
        <f t="shared" si="1"/>
        <v>16</v>
      </c>
      <c r="E18" s="15">
        <f t="shared" si="2"/>
        <v>6</v>
      </c>
      <c r="F18" s="8" t="str">
        <f t="shared" si="3"/>
        <v/>
      </c>
      <c r="G18" s="58"/>
      <c r="H18" s="12" t="s">
        <v>63</v>
      </c>
      <c r="I18" s="6" t="str">
        <f t="shared" si="4"/>
        <v>야간</v>
      </c>
      <c r="J18" s="6" t="str">
        <f t="shared" si="14"/>
        <v/>
      </c>
      <c r="K18" s="6" t="str">
        <f>IF(J18="","",COUNT($J$3:J18))</f>
        <v/>
      </c>
      <c r="L18" s="6" t="str">
        <f t="shared" si="15"/>
        <v/>
      </c>
      <c r="M18" s="6" t="str">
        <f t="shared" si="16"/>
        <v/>
      </c>
      <c r="N18" s="6" t="str">
        <f t="shared" si="17"/>
        <v/>
      </c>
      <c r="O18" s="6" t="str">
        <f t="shared" si="18"/>
        <v/>
      </c>
      <c r="P18" s="32" t="str">
        <f t="shared" si="5"/>
        <v/>
      </c>
      <c r="Q18" s="13" t="str">
        <f t="shared" si="30"/>
        <v>-</v>
      </c>
      <c r="R18" s="13" t="str">
        <f t="shared" si="31"/>
        <v>-</v>
      </c>
      <c r="S18" s="13" t="str">
        <f t="shared" si="32"/>
        <v>-</v>
      </c>
      <c r="T18" s="13" t="str">
        <f t="shared" si="33"/>
        <v>-</v>
      </c>
      <c r="U18" s="31" t="str">
        <f t="shared" si="10"/>
        <v>-</v>
      </c>
      <c r="V18" s="6">
        <f t="shared" si="19"/>
        <v>1</v>
      </c>
      <c r="W18" s="6">
        <f>IF(V18="","",COUNT($V$3:V18))</f>
        <v>6</v>
      </c>
      <c r="X18" s="6">
        <f t="shared" si="20"/>
        <v>2</v>
      </c>
      <c r="Y18" s="6">
        <f t="shared" si="21"/>
        <v>3</v>
      </c>
      <c r="Z18" s="6">
        <f t="shared" si="22"/>
        <v>4</v>
      </c>
      <c r="AA18" s="6">
        <f t="shared" si="23"/>
        <v>1</v>
      </c>
      <c r="AB18" s="32">
        <f t="shared" si="11"/>
        <v>1</v>
      </c>
      <c r="AC18" s="13" t="str">
        <f t="shared" si="24"/>
        <v>박성현</v>
      </c>
      <c r="AD18" s="13" t="str">
        <f t="shared" si="25"/>
        <v>허지웅</v>
      </c>
      <c r="AE18" s="13" t="str">
        <f t="shared" si="26"/>
        <v>정윤준</v>
      </c>
      <c r="AF18" s="13" t="str">
        <f t="shared" si="27"/>
        <v>이기수</v>
      </c>
      <c r="AG18" s="31" t="str">
        <f t="shared" si="12"/>
        <v>허지웅</v>
      </c>
      <c r="AH18" s="2" t="str">
        <f t="shared" si="28"/>
        <v/>
      </c>
      <c r="AI18" s="2" t="str">
        <f>IF(AH18="","",COUNT($AH$3:AH18))</f>
        <v/>
      </c>
      <c r="AJ18" s="60" t="str">
        <f t="shared" si="29"/>
        <v/>
      </c>
    </row>
    <row r="19" spans="1:36" ht="16.5">
      <c r="A19" s="6">
        <v>17</v>
      </c>
      <c r="B19" s="9">
        <f t="shared" si="13"/>
        <v>46039</v>
      </c>
      <c r="C19" s="7">
        <f t="shared" si="0"/>
        <v>1</v>
      </c>
      <c r="D19" s="7">
        <f t="shared" si="1"/>
        <v>17</v>
      </c>
      <c r="E19" s="15">
        <f t="shared" si="2"/>
        <v>7</v>
      </c>
      <c r="F19" s="8" t="str">
        <f t="shared" si="3"/>
        <v>휴</v>
      </c>
      <c r="G19" s="58"/>
      <c r="H19" s="12" t="s">
        <v>64</v>
      </c>
      <c r="I19" s="6" t="str">
        <f t="shared" si="4"/>
        <v>비번</v>
      </c>
      <c r="J19" s="6" t="str">
        <f t="shared" si="14"/>
        <v/>
      </c>
      <c r="K19" s="6" t="str">
        <f>IF(J19="","",COUNT($J$3:J19))</f>
        <v/>
      </c>
      <c r="L19" s="6" t="str">
        <f t="shared" si="15"/>
        <v/>
      </c>
      <c r="M19" s="6" t="str">
        <f t="shared" si="16"/>
        <v/>
      </c>
      <c r="N19" s="6" t="str">
        <f t="shared" si="17"/>
        <v/>
      </c>
      <c r="O19" s="6" t="str">
        <f t="shared" si="18"/>
        <v/>
      </c>
      <c r="P19" s="32" t="str">
        <f t="shared" si="5"/>
        <v/>
      </c>
      <c r="Q19" s="13" t="str">
        <f t="shared" si="30"/>
        <v>-</v>
      </c>
      <c r="R19" s="13" t="str">
        <f t="shared" si="31"/>
        <v>-</v>
      </c>
      <c r="S19" s="13" t="str">
        <f t="shared" si="32"/>
        <v>-</v>
      </c>
      <c r="T19" s="13" t="str">
        <f t="shared" si="33"/>
        <v>-</v>
      </c>
      <c r="U19" s="31" t="str">
        <f t="shared" si="10"/>
        <v>-</v>
      </c>
      <c r="V19" s="6" t="str">
        <f t="shared" si="19"/>
        <v/>
      </c>
      <c r="W19" s="6" t="str">
        <f>IF(V19="","",COUNT($V$3:V19))</f>
        <v/>
      </c>
      <c r="X19" s="6" t="str">
        <f t="shared" si="20"/>
        <v/>
      </c>
      <c r="Y19" s="6" t="str">
        <f t="shared" si="21"/>
        <v/>
      </c>
      <c r="Z19" s="6" t="str">
        <f t="shared" si="22"/>
        <v/>
      </c>
      <c r="AA19" s="6" t="str">
        <f t="shared" si="23"/>
        <v/>
      </c>
      <c r="AB19" s="32" t="str">
        <f t="shared" si="11"/>
        <v/>
      </c>
      <c r="AC19" s="13" t="str">
        <f t="shared" si="24"/>
        <v>-</v>
      </c>
      <c r="AD19" s="13" t="str">
        <f t="shared" si="25"/>
        <v>-</v>
      </c>
      <c r="AE19" s="13" t="str">
        <f t="shared" si="26"/>
        <v>-</v>
      </c>
      <c r="AF19" s="13" t="str">
        <f t="shared" si="27"/>
        <v>-</v>
      </c>
      <c r="AG19" s="31" t="str">
        <f t="shared" si="12"/>
        <v>-</v>
      </c>
      <c r="AH19" s="2" t="str">
        <f t="shared" si="28"/>
        <v/>
      </c>
      <c r="AI19" s="2" t="str">
        <f>IF(AH19="","",COUNT($AH$3:AH19))</f>
        <v/>
      </c>
      <c r="AJ19" s="60" t="str">
        <f t="shared" si="29"/>
        <v/>
      </c>
    </row>
    <row r="20" spans="1:36" ht="16.5">
      <c r="A20" s="6">
        <v>18</v>
      </c>
      <c r="B20" s="9">
        <f t="shared" si="13"/>
        <v>46040</v>
      </c>
      <c r="C20" s="7">
        <f t="shared" si="0"/>
        <v>1</v>
      </c>
      <c r="D20" s="7">
        <f t="shared" si="1"/>
        <v>18</v>
      </c>
      <c r="E20" s="15">
        <f t="shared" si="2"/>
        <v>1</v>
      </c>
      <c r="F20" s="8" t="str">
        <f t="shared" si="3"/>
        <v>휴</v>
      </c>
      <c r="G20" s="58"/>
      <c r="H20" s="12" t="s">
        <v>65</v>
      </c>
      <c r="I20" s="6" t="str">
        <f t="shared" si="4"/>
        <v>휴무</v>
      </c>
      <c r="J20" s="6" t="str">
        <f t="shared" si="14"/>
        <v/>
      </c>
      <c r="K20" s="6" t="str">
        <f>IF(J20="","",COUNT($J$3:J20))</f>
        <v/>
      </c>
      <c r="L20" s="6" t="str">
        <f t="shared" si="15"/>
        <v/>
      </c>
      <c r="M20" s="6" t="str">
        <f t="shared" si="16"/>
        <v/>
      </c>
      <c r="N20" s="6" t="str">
        <f t="shared" si="17"/>
        <v/>
      </c>
      <c r="O20" s="6" t="str">
        <f t="shared" si="18"/>
        <v/>
      </c>
      <c r="P20" s="32" t="str">
        <f t="shared" si="5"/>
        <v/>
      </c>
      <c r="Q20" s="13" t="str">
        <f t="shared" si="30"/>
        <v>-</v>
      </c>
      <c r="R20" s="13" t="str">
        <f t="shared" si="31"/>
        <v>-</v>
      </c>
      <c r="S20" s="13" t="str">
        <f t="shared" si="32"/>
        <v>-</v>
      </c>
      <c r="T20" s="13" t="str">
        <f t="shared" si="33"/>
        <v>-</v>
      </c>
      <c r="U20" s="31" t="str">
        <f t="shared" si="10"/>
        <v>-</v>
      </c>
      <c r="V20" s="6" t="str">
        <f t="shared" si="19"/>
        <v/>
      </c>
      <c r="W20" s="6" t="str">
        <f>IF(V20="","",COUNT($V$3:V20))</f>
        <v/>
      </c>
      <c r="X20" s="6" t="str">
        <f t="shared" si="20"/>
        <v/>
      </c>
      <c r="Y20" s="6" t="str">
        <f t="shared" si="21"/>
        <v/>
      </c>
      <c r="Z20" s="6" t="str">
        <f t="shared" si="22"/>
        <v/>
      </c>
      <c r="AA20" s="6" t="str">
        <f t="shared" si="23"/>
        <v/>
      </c>
      <c r="AB20" s="32" t="str">
        <f t="shared" si="11"/>
        <v/>
      </c>
      <c r="AC20" s="13" t="str">
        <f t="shared" si="24"/>
        <v>-</v>
      </c>
      <c r="AD20" s="13" t="str">
        <f t="shared" si="25"/>
        <v>-</v>
      </c>
      <c r="AE20" s="13" t="str">
        <f t="shared" si="26"/>
        <v>-</v>
      </c>
      <c r="AF20" s="13" t="str">
        <f t="shared" si="27"/>
        <v>-</v>
      </c>
      <c r="AG20" s="31" t="str">
        <f t="shared" si="12"/>
        <v>-</v>
      </c>
      <c r="AH20" s="2" t="str">
        <f t="shared" si="28"/>
        <v/>
      </c>
      <c r="AI20" s="2" t="str">
        <f>IF(AH20="","",COUNT($AH$3:AH20))</f>
        <v/>
      </c>
      <c r="AJ20" s="60" t="str">
        <f t="shared" si="29"/>
        <v/>
      </c>
    </row>
    <row r="21" spans="1:36" ht="16.5">
      <c r="A21" s="6">
        <v>19</v>
      </c>
      <c r="B21" s="9">
        <f t="shared" si="13"/>
        <v>46041</v>
      </c>
      <c r="C21" s="7">
        <f t="shared" si="0"/>
        <v>1</v>
      </c>
      <c r="D21" s="7">
        <f t="shared" si="1"/>
        <v>19</v>
      </c>
      <c r="E21" s="15">
        <f t="shared" si="2"/>
        <v>2</v>
      </c>
      <c r="F21" s="8" t="str">
        <f t="shared" si="3"/>
        <v/>
      </c>
      <c r="G21" s="58"/>
      <c r="H21" s="12" t="s">
        <v>63</v>
      </c>
      <c r="I21" s="6" t="str">
        <f t="shared" si="4"/>
        <v>야간</v>
      </c>
      <c r="J21" s="6" t="str">
        <f t="shared" si="14"/>
        <v/>
      </c>
      <c r="K21" s="6" t="str">
        <f>IF(J21="","",COUNT($J$3:J21))</f>
        <v/>
      </c>
      <c r="L21" s="6" t="str">
        <f t="shared" si="15"/>
        <v/>
      </c>
      <c r="M21" s="6" t="str">
        <f t="shared" si="16"/>
        <v/>
      </c>
      <c r="N21" s="6" t="str">
        <f t="shared" si="17"/>
        <v/>
      </c>
      <c r="O21" s="6" t="str">
        <f t="shared" si="18"/>
        <v/>
      </c>
      <c r="P21" s="32" t="str">
        <f t="shared" si="5"/>
        <v/>
      </c>
      <c r="Q21" s="13" t="str">
        <f t="shared" si="30"/>
        <v>-</v>
      </c>
      <c r="R21" s="13" t="str">
        <f t="shared" si="31"/>
        <v>-</v>
      </c>
      <c r="S21" s="13" t="str">
        <f t="shared" si="32"/>
        <v>-</v>
      </c>
      <c r="T21" s="13" t="str">
        <f t="shared" si="33"/>
        <v>-</v>
      </c>
      <c r="U21" s="31" t="str">
        <f t="shared" si="10"/>
        <v>-</v>
      </c>
      <c r="V21" s="6">
        <f t="shared" si="19"/>
        <v>1</v>
      </c>
      <c r="W21" s="6">
        <f>IF(V21="","",COUNT($V$3:V21))</f>
        <v>7</v>
      </c>
      <c r="X21" s="6">
        <f t="shared" si="20"/>
        <v>1</v>
      </c>
      <c r="Y21" s="6">
        <f t="shared" si="21"/>
        <v>2</v>
      </c>
      <c r="Z21" s="6">
        <f t="shared" si="22"/>
        <v>3</v>
      </c>
      <c r="AA21" s="6">
        <f t="shared" si="23"/>
        <v>4</v>
      </c>
      <c r="AB21" s="32">
        <f t="shared" si="11"/>
        <v>2</v>
      </c>
      <c r="AC21" s="13" t="str">
        <f t="shared" si="24"/>
        <v>이기수</v>
      </c>
      <c r="AD21" s="13" t="str">
        <f t="shared" si="25"/>
        <v>박성현</v>
      </c>
      <c r="AE21" s="13" t="str">
        <f t="shared" si="26"/>
        <v>허지웅</v>
      </c>
      <c r="AF21" s="13" t="str">
        <f t="shared" si="27"/>
        <v>정윤준</v>
      </c>
      <c r="AG21" s="31" t="str">
        <f t="shared" si="12"/>
        <v>장혁진</v>
      </c>
      <c r="AH21" s="2">
        <f t="shared" si="28"/>
        <v>1</v>
      </c>
      <c r="AI21" s="2">
        <f>IF(AH21="","",COUNT($AH$3:AH21))</f>
        <v>2</v>
      </c>
      <c r="AJ21" s="60" t="str">
        <f t="shared" si="29"/>
        <v>허지웅</v>
      </c>
    </row>
    <row r="22" spans="1:36" ht="16.5">
      <c r="A22" s="6">
        <v>20</v>
      </c>
      <c r="B22" s="9">
        <f t="shared" si="13"/>
        <v>46042</v>
      </c>
      <c r="C22" s="7">
        <f t="shared" si="0"/>
        <v>1</v>
      </c>
      <c r="D22" s="7">
        <f t="shared" si="1"/>
        <v>20</v>
      </c>
      <c r="E22" s="15">
        <f t="shared" si="2"/>
        <v>3</v>
      </c>
      <c r="F22" s="8" t="str">
        <f t="shared" si="3"/>
        <v/>
      </c>
      <c r="G22" s="58"/>
      <c r="H22" s="12" t="s">
        <v>64</v>
      </c>
      <c r="I22" s="6" t="str">
        <f t="shared" si="4"/>
        <v>비번</v>
      </c>
      <c r="J22" s="6" t="str">
        <f t="shared" si="14"/>
        <v/>
      </c>
      <c r="K22" s="6" t="str">
        <f>IF(J22="","",COUNT($J$3:J22))</f>
        <v/>
      </c>
      <c r="L22" s="6" t="str">
        <f t="shared" si="15"/>
        <v/>
      </c>
      <c r="M22" s="6" t="str">
        <f t="shared" si="16"/>
        <v/>
      </c>
      <c r="N22" s="6" t="str">
        <f t="shared" si="17"/>
        <v/>
      </c>
      <c r="O22" s="6" t="str">
        <f t="shared" si="18"/>
        <v/>
      </c>
      <c r="P22" s="32" t="str">
        <f t="shared" si="5"/>
        <v/>
      </c>
      <c r="Q22" s="13" t="str">
        <f t="shared" si="30"/>
        <v>-</v>
      </c>
      <c r="R22" s="13" t="str">
        <f t="shared" si="31"/>
        <v>-</v>
      </c>
      <c r="S22" s="13" t="str">
        <f t="shared" si="32"/>
        <v>-</v>
      </c>
      <c r="T22" s="13" t="str">
        <f t="shared" si="33"/>
        <v>-</v>
      </c>
      <c r="U22" s="31" t="str">
        <f t="shared" si="10"/>
        <v>-</v>
      </c>
      <c r="V22" s="6" t="str">
        <f t="shared" si="19"/>
        <v/>
      </c>
      <c r="W22" s="6" t="str">
        <f>IF(V22="","",COUNT($V$3:V22))</f>
        <v/>
      </c>
      <c r="X22" s="6" t="str">
        <f t="shared" si="20"/>
        <v/>
      </c>
      <c r="Y22" s="6" t="str">
        <f t="shared" si="21"/>
        <v/>
      </c>
      <c r="Z22" s="6" t="str">
        <f t="shared" si="22"/>
        <v/>
      </c>
      <c r="AA22" s="6" t="str">
        <f t="shared" si="23"/>
        <v/>
      </c>
      <c r="AB22" s="32" t="str">
        <f t="shared" si="11"/>
        <v/>
      </c>
      <c r="AC22" s="13" t="str">
        <f t="shared" si="24"/>
        <v>-</v>
      </c>
      <c r="AD22" s="13" t="str">
        <f t="shared" si="25"/>
        <v>-</v>
      </c>
      <c r="AE22" s="13" t="str">
        <f t="shared" si="26"/>
        <v>-</v>
      </c>
      <c r="AF22" s="13" t="str">
        <f t="shared" si="27"/>
        <v>-</v>
      </c>
      <c r="AG22" s="31" t="str">
        <f t="shared" si="12"/>
        <v>-</v>
      </c>
      <c r="AH22" s="2" t="str">
        <f t="shared" si="28"/>
        <v/>
      </c>
      <c r="AI22" s="2" t="str">
        <f>IF(AH22="","",COUNT($AH$3:AH22))</f>
        <v/>
      </c>
      <c r="AJ22" s="60" t="str">
        <f t="shared" si="29"/>
        <v/>
      </c>
    </row>
    <row r="23" spans="1:36" ht="16.5">
      <c r="A23" s="6">
        <v>21</v>
      </c>
      <c r="B23" s="9">
        <f t="shared" si="13"/>
        <v>46043</v>
      </c>
      <c r="C23" s="7">
        <f t="shared" si="0"/>
        <v>1</v>
      </c>
      <c r="D23" s="7">
        <f t="shared" si="1"/>
        <v>21</v>
      </c>
      <c r="E23" s="15">
        <f t="shared" si="2"/>
        <v>4</v>
      </c>
      <c r="F23" s="8" t="str">
        <f t="shared" si="3"/>
        <v/>
      </c>
      <c r="G23" s="58"/>
      <c r="H23" s="12" t="s">
        <v>65</v>
      </c>
      <c r="I23" s="6" t="str">
        <f t="shared" si="4"/>
        <v>주간</v>
      </c>
      <c r="J23" s="6">
        <f t="shared" si="14"/>
        <v>1</v>
      </c>
      <c r="K23" s="6">
        <f>IF(J23="","",COUNT($J$3:J23))</f>
        <v>5</v>
      </c>
      <c r="L23" s="6">
        <f t="shared" si="15"/>
        <v>3</v>
      </c>
      <c r="M23" s="6">
        <f t="shared" si="16"/>
        <v>4</v>
      </c>
      <c r="N23" s="6">
        <f t="shared" si="17"/>
        <v>1</v>
      </c>
      <c r="O23" s="6">
        <f t="shared" si="18"/>
        <v>2</v>
      </c>
      <c r="P23" s="32">
        <f t="shared" si="5"/>
        <v>0</v>
      </c>
      <c r="Q23" s="13" t="str">
        <f t="shared" si="30"/>
        <v>허지웅</v>
      </c>
      <c r="R23" s="13" t="str">
        <f t="shared" si="31"/>
        <v>정윤준</v>
      </c>
      <c r="S23" s="13" t="str">
        <f t="shared" si="32"/>
        <v>이기수</v>
      </c>
      <c r="T23" s="13" t="str">
        <f t="shared" si="33"/>
        <v>박성현</v>
      </c>
      <c r="U23" s="31" t="str">
        <f t="shared" si="10"/>
        <v>장혁진</v>
      </c>
      <c r="V23" s="6" t="str">
        <f t="shared" si="19"/>
        <v/>
      </c>
      <c r="W23" s="6" t="str">
        <f>IF(V23="","",COUNT($V$3:V23))</f>
        <v/>
      </c>
      <c r="X23" s="6" t="str">
        <f t="shared" si="20"/>
        <v/>
      </c>
      <c r="Y23" s="6" t="str">
        <f t="shared" si="21"/>
        <v/>
      </c>
      <c r="Z23" s="6" t="str">
        <f t="shared" si="22"/>
        <v/>
      </c>
      <c r="AA23" s="6" t="str">
        <f t="shared" si="23"/>
        <v/>
      </c>
      <c r="AB23" s="32" t="str">
        <f t="shared" si="11"/>
        <v/>
      </c>
      <c r="AC23" s="13" t="str">
        <f t="shared" si="24"/>
        <v>-</v>
      </c>
      <c r="AD23" s="13" t="str">
        <f t="shared" si="25"/>
        <v>-</v>
      </c>
      <c r="AE23" s="13" t="str">
        <f t="shared" si="26"/>
        <v>-</v>
      </c>
      <c r="AF23" s="13" t="str">
        <f t="shared" si="27"/>
        <v>-</v>
      </c>
      <c r="AG23" s="31" t="str">
        <f t="shared" si="12"/>
        <v>-</v>
      </c>
      <c r="AH23" s="2" t="str">
        <f t="shared" si="28"/>
        <v/>
      </c>
      <c r="AI23" s="2" t="str">
        <f>IF(AH23="","",COUNT($AH$3:AH23))</f>
        <v/>
      </c>
      <c r="AJ23" s="60" t="str">
        <f t="shared" si="29"/>
        <v/>
      </c>
    </row>
    <row r="24" spans="1:36" ht="16.5">
      <c r="A24" s="6">
        <v>22</v>
      </c>
      <c r="B24" s="9">
        <f t="shared" si="13"/>
        <v>46044</v>
      </c>
      <c r="C24" s="7">
        <f t="shared" si="0"/>
        <v>1</v>
      </c>
      <c r="D24" s="7">
        <f t="shared" si="1"/>
        <v>22</v>
      </c>
      <c r="E24" s="15">
        <f t="shared" si="2"/>
        <v>5</v>
      </c>
      <c r="F24" s="8" t="str">
        <f t="shared" si="3"/>
        <v/>
      </c>
      <c r="G24" s="58"/>
      <c r="H24" s="12" t="s">
        <v>63</v>
      </c>
      <c r="I24" s="6" t="str">
        <f t="shared" si="4"/>
        <v>야간</v>
      </c>
      <c r="J24" s="6" t="str">
        <f t="shared" si="14"/>
        <v/>
      </c>
      <c r="K24" s="6" t="str">
        <f>IF(J24="","",COUNT($J$3:J24))</f>
        <v/>
      </c>
      <c r="L24" s="6" t="str">
        <f t="shared" si="15"/>
        <v/>
      </c>
      <c r="M24" s="6" t="str">
        <f t="shared" si="16"/>
        <v/>
      </c>
      <c r="N24" s="6" t="str">
        <f t="shared" si="17"/>
        <v/>
      </c>
      <c r="O24" s="6" t="str">
        <f t="shared" si="18"/>
        <v/>
      </c>
      <c r="P24" s="32" t="str">
        <f t="shared" si="5"/>
        <v/>
      </c>
      <c r="Q24" s="13" t="str">
        <f t="shared" si="30"/>
        <v>-</v>
      </c>
      <c r="R24" s="13" t="str">
        <f t="shared" si="31"/>
        <v>-</v>
      </c>
      <c r="S24" s="13" t="str">
        <f t="shared" si="32"/>
        <v>-</v>
      </c>
      <c r="T24" s="13" t="str">
        <f t="shared" si="33"/>
        <v>-</v>
      </c>
      <c r="U24" s="31" t="str">
        <f t="shared" si="10"/>
        <v>-</v>
      </c>
      <c r="V24" s="6">
        <f t="shared" si="19"/>
        <v>1</v>
      </c>
      <c r="W24" s="6">
        <f>IF(V24="","",COUNT($V$3:V24))</f>
        <v>8</v>
      </c>
      <c r="X24" s="6">
        <f t="shared" si="20"/>
        <v>4</v>
      </c>
      <c r="Y24" s="6">
        <f t="shared" si="21"/>
        <v>1</v>
      </c>
      <c r="Z24" s="6">
        <f t="shared" si="22"/>
        <v>2</v>
      </c>
      <c r="AA24" s="6">
        <f t="shared" si="23"/>
        <v>3</v>
      </c>
      <c r="AB24" s="32">
        <f t="shared" si="11"/>
        <v>3</v>
      </c>
      <c r="AC24" s="13" t="str">
        <f t="shared" si="24"/>
        <v>정윤준</v>
      </c>
      <c r="AD24" s="13" t="str">
        <f t="shared" si="25"/>
        <v>이기수</v>
      </c>
      <c r="AE24" s="13" t="str">
        <f t="shared" si="26"/>
        <v>박성현</v>
      </c>
      <c r="AF24" s="13" t="str">
        <f t="shared" si="27"/>
        <v>허지웅</v>
      </c>
      <c r="AG24" s="31" t="str">
        <f t="shared" si="12"/>
        <v>이기수</v>
      </c>
      <c r="AH24" s="2" t="str">
        <f t="shared" si="28"/>
        <v/>
      </c>
      <c r="AI24" s="2" t="str">
        <f>IF(AH24="","",COUNT($AH$3:AH24))</f>
        <v/>
      </c>
      <c r="AJ24" s="60" t="str">
        <f t="shared" si="29"/>
        <v/>
      </c>
    </row>
    <row r="25" spans="1:36" ht="16.5">
      <c r="A25" s="6">
        <v>23</v>
      </c>
      <c r="B25" s="9">
        <f t="shared" si="13"/>
        <v>46045</v>
      </c>
      <c r="C25" s="7">
        <f t="shared" si="0"/>
        <v>1</v>
      </c>
      <c r="D25" s="7">
        <f t="shared" si="1"/>
        <v>23</v>
      </c>
      <c r="E25" s="15">
        <f t="shared" si="2"/>
        <v>6</v>
      </c>
      <c r="F25" s="8" t="str">
        <f t="shared" si="3"/>
        <v/>
      </c>
      <c r="G25" s="58"/>
      <c r="H25" s="12" t="s">
        <v>64</v>
      </c>
      <c r="I25" s="6" t="str">
        <f t="shared" si="4"/>
        <v>비번</v>
      </c>
      <c r="J25" s="6" t="str">
        <f t="shared" si="14"/>
        <v/>
      </c>
      <c r="K25" s="6" t="str">
        <f>IF(J25="","",COUNT($J$3:J25))</f>
        <v/>
      </c>
      <c r="L25" s="6" t="str">
        <f t="shared" si="15"/>
        <v/>
      </c>
      <c r="M25" s="6" t="str">
        <f t="shared" si="16"/>
        <v/>
      </c>
      <c r="N25" s="6" t="str">
        <f t="shared" si="17"/>
        <v/>
      </c>
      <c r="O25" s="6" t="str">
        <f t="shared" si="18"/>
        <v/>
      </c>
      <c r="P25" s="32" t="str">
        <f t="shared" si="5"/>
        <v/>
      </c>
      <c r="Q25" s="13" t="str">
        <f t="shared" si="30"/>
        <v>-</v>
      </c>
      <c r="R25" s="13" t="str">
        <f t="shared" si="31"/>
        <v>-</v>
      </c>
      <c r="S25" s="13" t="str">
        <f t="shared" si="32"/>
        <v>-</v>
      </c>
      <c r="T25" s="13" t="str">
        <f t="shared" si="33"/>
        <v>-</v>
      </c>
      <c r="U25" s="31" t="str">
        <f t="shared" si="10"/>
        <v>-</v>
      </c>
      <c r="V25" s="6" t="str">
        <f t="shared" si="19"/>
        <v/>
      </c>
      <c r="W25" s="6" t="str">
        <f>IF(V25="","",COUNT($V$3:V25))</f>
        <v/>
      </c>
      <c r="X25" s="6" t="str">
        <f t="shared" si="20"/>
        <v/>
      </c>
      <c r="Y25" s="6" t="str">
        <f t="shared" si="21"/>
        <v/>
      </c>
      <c r="Z25" s="6" t="str">
        <f t="shared" si="22"/>
        <v/>
      </c>
      <c r="AA25" s="6" t="str">
        <f t="shared" si="23"/>
        <v/>
      </c>
      <c r="AB25" s="32" t="str">
        <f t="shared" si="11"/>
        <v/>
      </c>
      <c r="AC25" s="13" t="str">
        <f t="shared" si="24"/>
        <v>-</v>
      </c>
      <c r="AD25" s="13" t="str">
        <f t="shared" si="25"/>
        <v>-</v>
      </c>
      <c r="AE25" s="13" t="str">
        <f t="shared" si="26"/>
        <v>-</v>
      </c>
      <c r="AF25" s="13" t="str">
        <f t="shared" si="27"/>
        <v>-</v>
      </c>
      <c r="AG25" s="31" t="str">
        <f t="shared" si="12"/>
        <v>-</v>
      </c>
      <c r="AH25" s="2" t="str">
        <f t="shared" si="28"/>
        <v/>
      </c>
      <c r="AI25" s="2" t="str">
        <f>IF(AH25="","",COUNT($AH$3:AH25))</f>
        <v/>
      </c>
      <c r="AJ25" s="60" t="str">
        <f t="shared" si="29"/>
        <v/>
      </c>
    </row>
    <row r="26" spans="1:36" ht="16.5">
      <c r="A26" s="6">
        <v>24</v>
      </c>
      <c r="B26" s="9">
        <f t="shared" si="13"/>
        <v>46046</v>
      </c>
      <c r="C26" s="7">
        <f t="shared" si="0"/>
        <v>1</v>
      </c>
      <c r="D26" s="7">
        <f t="shared" si="1"/>
        <v>24</v>
      </c>
      <c r="E26" s="15">
        <f t="shared" si="2"/>
        <v>7</v>
      </c>
      <c r="F26" s="8" t="str">
        <f t="shared" si="3"/>
        <v>휴</v>
      </c>
      <c r="G26" s="58"/>
      <c r="H26" s="12" t="s">
        <v>65</v>
      </c>
      <c r="I26" s="6" t="str">
        <f t="shared" si="4"/>
        <v>휴무</v>
      </c>
      <c r="J26" s="6" t="str">
        <f t="shared" si="14"/>
        <v/>
      </c>
      <c r="K26" s="6" t="str">
        <f>IF(J26="","",COUNT($J$3:J26))</f>
        <v/>
      </c>
      <c r="L26" s="6" t="str">
        <f t="shared" si="15"/>
        <v/>
      </c>
      <c r="M26" s="6" t="str">
        <f t="shared" si="16"/>
        <v/>
      </c>
      <c r="N26" s="6" t="str">
        <f t="shared" si="17"/>
        <v/>
      </c>
      <c r="O26" s="6" t="str">
        <f t="shared" si="18"/>
        <v/>
      </c>
      <c r="P26" s="32" t="str">
        <f t="shared" si="5"/>
        <v/>
      </c>
      <c r="Q26" s="13" t="str">
        <f t="shared" si="30"/>
        <v>-</v>
      </c>
      <c r="R26" s="13" t="str">
        <f t="shared" si="31"/>
        <v>-</v>
      </c>
      <c r="S26" s="13" t="str">
        <f t="shared" si="32"/>
        <v>-</v>
      </c>
      <c r="T26" s="13" t="str">
        <f t="shared" si="33"/>
        <v>-</v>
      </c>
      <c r="U26" s="31" t="str">
        <f t="shared" si="10"/>
        <v>-</v>
      </c>
      <c r="V26" s="6" t="str">
        <f t="shared" si="19"/>
        <v/>
      </c>
      <c r="W26" s="6" t="str">
        <f>IF(V26="","",COUNT($V$3:V26))</f>
        <v/>
      </c>
      <c r="X26" s="6" t="str">
        <f t="shared" si="20"/>
        <v/>
      </c>
      <c r="Y26" s="6" t="str">
        <f t="shared" si="21"/>
        <v/>
      </c>
      <c r="Z26" s="6" t="str">
        <f t="shared" si="22"/>
        <v/>
      </c>
      <c r="AA26" s="6" t="str">
        <f t="shared" si="23"/>
        <v/>
      </c>
      <c r="AB26" s="32" t="str">
        <f t="shared" si="11"/>
        <v/>
      </c>
      <c r="AC26" s="13" t="str">
        <f t="shared" si="24"/>
        <v>-</v>
      </c>
      <c r="AD26" s="13" t="str">
        <f t="shared" si="25"/>
        <v>-</v>
      </c>
      <c r="AE26" s="13" t="str">
        <f t="shared" si="26"/>
        <v>-</v>
      </c>
      <c r="AF26" s="13" t="str">
        <f t="shared" si="27"/>
        <v>-</v>
      </c>
      <c r="AG26" s="31" t="str">
        <f t="shared" si="12"/>
        <v>-</v>
      </c>
      <c r="AH26" s="2" t="str">
        <f t="shared" si="28"/>
        <v/>
      </c>
      <c r="AI26" s="2" t="str">
        <f>IF(AH26="","",COUNT($AH$3:AH26))</f>
        <v/>
      </c>
      <c r="AJ26" s="60" t="str">
        <f t="shared" si="29"/>
        <v/>
      </c>
    </row>
    <row r="27" spans="1:36" ht="16.5">
      <c r="A27" s="6">
        <v>25</v>
      </c>
      <c r="B27" s="9">
        <f t="shared" si="13"/>
        <v>46047</v>
      </c>
      <c r="C27" s="7">
        <f t="shared" si="0"/>
        <v>1</v>
      </c>
      <c r="D27" s="7">
        <f t="shared" si="1"/>
        <v>25</v>
      </c>
      <c r="E27" s="15">
        <f t="shared" si="2"/>
        <v>1</v>
      </c>
      <c r="F27" s="8" t="str">
        <f t="shared" si="3"/>
        <v>휴</v>
      </c>
      <c r="G27" s="58"/>
      <c r="H27" s="12" t="s">
        <v>63</v>
      </c>
      <c r="I27" s="6" t="str">
        <f t="shared" si="4"/>
        <v>당직</v>
      </c>
      <c r="J27" s="6" t="str">
        <f t="shared" si="14"/>
        <v/>
      </c>
      <c r="K27" s="6" t="str">
        <f>IF(J27="","",COUNT($J$3:J27))</f>
        <v/>
      </c>
      <c r="L27" s="6" t="str">
        <f t="shared" si="15"/>
        <v/>
      </c>
      <c r="M27" s="6" t="str">
        <f t="shared" si="16"/>
        <v/>
      </c>
      <c r="N27" s="6" t="str">
        <f t="shared" si="17"/>
        <v/>
      </c>
      <c r="O27" s="6" t="str">
        <f t="shared" si="18"/>
        <v/>
      </c>
      <c r="P27" s="32" t="str">
        <f t="shared" si="5"/>
        <v/>
      </c>
      <c r="Q27" s="13" t="str">
        <f t="shared" si="30"/>
        <v>-</v>
      </c>
      <c r="R27" s="13" t="str">
        <f t="shared" si="31"/>
        <v>-</v>
      </c>
      <c r="S27" s="13" t="str">
        <f t="shared" si="32"/>
        <v>-</v>
      </c>
      <c r="T27" s="13" t="str">
        <f t="shared" si="33"/>
        <v>-</v>
      </c>
      <c r="U27" s="31" t="str">
        <f t="shared" si="10"/>
        <v>-</v>
      </c>
      <c r="V27" s="6">
        <f t="shared" si="19"/>
        <v>1</v>
      </c>
      <c r="W27" s="6">
        <f>IF(V27="","",COUNT($V$3:V27))</f>
        <v>9</v>
      </c>
      <c r="X27" s="6">
        <f t="shared" si="20"/>
        <v>3</v>
      </c>
      <c r="Y27" s="6">
        <f t="shared" si="21"/>
        <v>4</v>
      </c>
      <c r="Z27" s="6">
        <f t="shared" si="22"/>
        <v>1</v>
      </c>
      <c r="AA27" s="6">
        <f t="shared" si="23"/>
        <v>2</v>
      </c>
      <c r="AB27" s="32">
        <f t="shared" si="11"/>
        <v>4</v>
      </c>
      <c r="AC27" s="13" t="str">
        <f t="shared" si="24"/>
        <v>허지웅</v>
      </c>
      <c r="AD27" s="13" t="str">
        <f t="shared" si="25"/>
        <v>정윤준</v>
      </c>
      <c r="AE27" s="13" t="str">
        <f t="shared" si="26"/>
        <v>이기수</v>
      </c>
      <c r="AF27" s="13" t="str">
        <f t="shared" si="27"/>
        <v>박성현</v>
      </c>
      <c r="AG27" s="31" t="e">
        <f t="shared" si="12"/>
        <v>#VALUE!</v>
      </c>
      <c r="AH27" s="2" t="str">
        <f t="shared" si="28"/>
        <v/>
      </c>
      <c r="AI27" s="2" t="str">
        <f>IF(AH27="","",COUNT($AH$3:AH27))</f>
        <v/>
      </c>
      <c r="AJ27" s="60" t="str">
        <f t="shared" si="29"/>
        <v/>
      </c>
    </row>
    <row r="28" spans="1:36" ht="16.5">
      <c r="A28" s="6">
        <v>26</v>
      </c>
      <c r="B28" s="9">
        <f t="shared" si="13"/>
        <v>46048</v>
      </c>
      <c r="C28" s="7">
        <f t="shared" si="0"/>
        <v>1</v>
      </c>
      <c r="D28" s="7">
        <f t="shared" si="1"/>
        <v>26</v>
      </c>
      <c r="E28" s="15">
        <f t="shared" si="2"/>
        <v>2</v>
      </c>
      <c r="F28" s="8" t="str">
        <f t="shared" si="3"/>
        <v/>
      </c>
      <c r="G28" s="58"/>
      <c r="H28" s="12" t="s">
        <v>64</v>
      </c>
      <c r="I28" s="6" t="str">
        <f t="shared" si="4"/>
        <v>비번</v>
      </c>
      <c r="J28" s="6" t="str">
        <f t="shared" si="14"/>
        <v/>
      </c>
      <c r="K28" s="6" t="str">
        <f>IF(J28="","",COUNT($J$3:J28))</f>
        <v/>
      </c>
      <c r="L28" s="6" t="str">
        <f t="shared" si="15"/>
        <v/>
      </c>
      <c r="M28" s="6" t="str">
        <f t="shared" si="16"/>
        <v/>
      </c>
      <c r="N28" s="6" t="str">
        <f t="shared" si="17"/>
        <v/>
      </c>
      <c r="O28" s="6" t="str">
        <f t="shared" si="18"/>
        <v/>
      </c>
      <c r="P28" s="32" t="str">
        <f t="shared" si="5"/>
        <v/>
      </c>
      <c r="Q28" s="13" t="str">
        <f t="shared" si="30"/>
        <v>-</v>
      </c>
      <c r="R28" s="13" t="str">
        <f t="shared" si="31"/>
        <v>-</v>
      </c>
      <c r="S28" s="13" t="str">
        <f t="shared" si="32"/>
        <v>-</v>
      </c>
      <c r="T28" s="13" t="str">
        <f t="shared" si="33"/>
        <v>-</v>
      </c>
      <c r="U28" s="31" t="str">
        <f t="shared" si="10"/>
        <v>-</v>
      </c>
      <c r="V28" s="6" t="str">
        <f t="shared" si="19"/>
        <v/>
      </c>
      <c r="W28" s="6" t="str">
        <f>IF(V28="","",COUNT($V$3:V28))</f>
        <v/>
      </c>
      <c r="X28" s="6" t="str">
        <f t="shared" si="20"/>
        <v/>
      </c>
      <c r="Y28" s="6" t="str">
        <f t="shared" si="21"/>
        <v/>
      </c>
      <c r="Z28" s="6" t="str">
        <f t="shared" si="22"/>
        <v/>
      </c>
      <c r="AA28" s="6" t="str">
        <f t="shared" si="23"/>
        <v/>
      </c>
      <c r="AB28" s="32" t="str">
        <f t="shared" si="11"/>
        <v/>
      </c>
      <c r="AC28" s="13" t="str">
        <f t="shared" si="24"/>
        <v>-</v>
      </c>
      <c r="AD28" s="13" t="str">
        <f t="shared" si="25"/>
        <v>-</v>
      </c>
      <c r="AE28" s="13" t="str">
        <f t="shared" si="26"/>
        <v>-</v>
      </c>
      <c r="AF28" s="13" t="str">
        <f t="shared" si="27"/>
        <v>-</v>
      </c>
      <c r="AG28" s="31" t="str">
        <f t="shared" si="12"/>
        <v>-</v>
      </c>
      <c r="AH28" s="2" t="str">
        <f t="shared" si="28"/>
        <v/>
      </c>
      <c r="AI28" s="2" t="str">
        <f>IF(AH28="","",COUNT($AH$3:AH28))</f>
        <v/>
      </c>
      <c r="AJ28" s="60" t="str">
        <f t="shared" si="29"/>
        <v/>
      </c>
    </row>
    <row r="29" spans="1:36" ht="16.5">
      <c r="A29" s="6">
        <v>27</v>
      </c>
      <c r="B29" s="9">
        <f t="shared" si="13"/>
        <v>46049</v>
      </c>
      <c r="C29" s="7">
        <f t="shared" si="0"/>
        <v>1</v>
      </c>
      <c r="D29" s="7">
        <f t="shared" si="1"/>
        <v>27</v>
      </c>
      <c r="E29" s="15">
        <f t="shared" si="2"/>
        <v>3</v>
      </c>
      <c r="F29" s="8" t="str">
        <f t="shared" si="3"/>
        <v/>
      </c>
      <c r="G29" s="58"/>
      <c r="H29" s="12" t="s">
        <v>65</v>
      </c>
      <c r="I29" s="6" t="str">
        <f t="shared" si="4"/>
        <v>주간</v>
      </c>
      <c r="J29" s="6">
        <f t="shared" si="14"/>
        <v>1</v>
      </c>
      <c r="K29" s="6">
        <f>IF(J29="","",COUNT($J$3:J29))</f>
        <v>6</v>
      </c>
      <c r="L29" s="6">
        <f t="shared" si="15"/>
        <v>2</v>
      </c>
      <c r="M29" s="6">
        <f t="shared" si="16"/>
        <v>3</v>
      </c>
      <c r="N29" s="6">
        <f t="shared" si="17"/>
        <v>4</v>
      </c>
      <c r="O29" s="6">
        <f t="shared" si="18"/>
        <v>1</v>
      </c>
      <c r="P29" s="32">
        <f t="shared" si="5"/>
        <v>1</v>
      </c>
      <c r="Q29" s="13" t="str">
        <f t="shared" si="30"/>
        <v>박성현</v>
      </c>
      <c r="R29" s="13" t="str">
        <f t="shared" si="31"/>
        <v>허지웅</v>
      </c>
      <c r="S29" s="13" t="str">
        <f t="shared" si="32"/>
        <v>정윤준</v>
      </c>
      <c r="T29" s="13" t="str">
        <f t="shared" si="33"/>
        <v>이기수</v>
      </c>
      <c r="U29" s="31" t="str">
        <f t="shared" si="10"/>
        <v>이기수</v>
      </c>
      <c r="V29" s="6" t="str">
        <f t="shared" si="19"/>
        <v/>
      </c>
      <c r="W29" s="6" t="str">
        <f>IF(V29="","",COUNT($V$3:V29))</f>
        <v/>
      </c>
      <c r="X29" s="6" t="str">
        <f t="shared" si="20"/>
        <v/>
      </c>
      <c r="Y29" s="6" t="str">
        <f t="shared" si="21"/>
        <v/>
      </c>
      <c r="Z29" s="6" t="str">
        <f t="shared" si="22"/>
        <v/>
      </c>
      <c r="AA29" s="6" t="str">
        <f t="shared" si="23"/>
        <v/>
      </c>
      <c r="AB29" s="32" t="str">
        <f t="shared" si="11"/>
        <v/>
      </c>
      <c r="AC29" s="13" t="str">
        <f t="shared" si="24"/>
        <v>-</v>
      </c>
      <c r="AD29" s="13" t="str">
        <f t="shared" si="25"/>
        <v>-</v>
      </c>
      <c r="AE29" s="13" t="str">
        <f t="shared" si="26"/>
        <v>-</v>
      </c>
      <c r="AF29" s="13" t="str">
        <f t="shared" si="27"/>
        <v>-</v>
      </c>
      <c r="AG29" s="31" t="str">
        <f t="shared" si="12"/>
        <v>-</v>
      </c>
      <c r="AH29" s="2" t="str">
        <f t="shared" si="28"/>
        <v/>
      </c>
      <c r="AI29" s="2" t="str">
        <f>IF(AH29="","",COUNT($AH$3:AH29))</f>
        <v/>
      </c>
      <c r="AJ29" s="60" t="str">
        <f t="shared" si="29"/>
        <v/>
      </c>
    </row>
    <row r="30" spans="1:36" ht="16.5">
      <c r="A30" s="6">
        <v>28</v>
      </c>
      <c r="B30" s="9">
        <f t="shared" si="13"/>
        <v>46050</v>
      </c>
      <c r="C30" s="7">
        <f t="shared" si="0"/>
        <v>1</v>
      </c>
      <c r="D30" s="7">
        <f t="shared" si="1"/>
        <v>28</v>
      </c>
      <c r="E30" s="15">
        <f t="shared" si="2"/>
        <v>4</v>
      </c>
      <c r="F30" s="8" t="str">
        <f t="shared" si="3"/>
        <v/>
      </c>
      <c r="G30" s="58"/>
      <c r="H30" s="12" t="s">
        <v>63</v>
      </c>
      <c r="I30" s="6" t="str">
        <f t="shared" si="4"/>
        <v>야간</v>
      </c>
      <c r="J30" s="6" t="str">
        <f t="shared" si="14"/>
        <v/>
      </c>
      <c r="K30" s="6" t="str">
        <f>IF(J30="","",COUNT($J$3:J30))</f>
        <v/>
      </c>
      <c r="L30" s="6" t="str">
        <f t="shared" si="15"/>
        <v/>
      </c>
      <c r="M30" s="6" t="str">
        <f t="shared" si="16"/>
        <v/>
      </c>
      <c r="N30" s="6" t="str">
        <f t="shared" si="17"/>
        <v/>
      </c>
      <c r="O30" s="6" t="str">
        <f t="shared" si="18"/>
        <v/>
      </c>
      <c r="P30" s="32" t="str">
        <f t="shared" si="5"/>
        <v/>
      </c>
      <c r="Q30" s="13" t="str">
        <f t="shared" si="30"/>
        <v>-</v>
      </c>
      <c r="R30" s="13" t="str">
        <f t="shared" si="31"/>
        <v>-</v>
      </c>
      <c r="S30" s="13" t="str">
        <f t="shared" si="32"/>
        <v>-</v>
      </c>
      <c r="T30" s="13" t="str">
        <f t="shared" si="33"/>
        <v>-</v>
      </c>
      <c r="U30" s="31" t="str">
        <f t="shared" si="10"/>
        <v>-</v>
      </c>
      <c r="V30" s="6">
        <f t="shared" si="19"/>
        <v>1</v>
      </c>
      <c r="W30" s="6">
        <f>IF(V30="","",COUNT($V$3:V30))</f>
        <v>10</v>
      </c>
      <c r="X30" s="6">
        <f t="shared" si="20"/>
        <v>2</v>
      </c>
      <c r="Y30" s="6">
        <f t="shared" si="21"/>
        <v>3</v>
      </c>
      <c r="Z30" s="6">
        <f t="shared" si="22"/>
        <v>4</v>
      </c>
      <c r="AA30" s="6">
        <f t="shared" si="23"/>
        <v>1</v>
      </c>
      <c r="AB30" s="32">
        <f t="shared" si="11"/>
        <v>0</v>
      </c>
      <c r="AC30" s="13" t="str">
        <f t="shared" si="24"/>
        <v>박성현</v>
      </c>
      <c r="AD30" s="13" t="str">
        <f t="shared" si="25"/>
        <v>허지웅</v>
      </c>
      <c r="AE30" s="13" t="str">
        <f t="shared" si="26"/>
        <v>정윤준</v>
      </c>
      <c r="AF30" s="13" t="str">
        <f t="shared" si="27"/>
        <v>이기수</v>
      </c>
      <c r="AG30" s="31" t="str">
        <f t="shared" si="12"/>
        <v>정윤준</v>
      </c>
      <c r="AH30" s="2" t="str">
        <f t="shared" si="28"/>
        <v/>
      </c>
      <c r="AI30" s="2" t="str">
        <f>IF(AH30="","",COUNT($AH$3:AH30))</f>
        <v/>
      </c>
      <c r="AJ30" s="60" t="str">
        <f t="shared" si="29"/>
        <v/>
      </c>
    </row>
    <row r="31" spans="1:36" ht="16.5">
      <c r="A31" s="6">
        <v>29</v>
      </c>
      <c r="B31" s="9">
        <f t="shared" si="13"/>
        <v>46051</v>
      </c>
      <c r="C31" s="7">
        <f t="shared" si="0"/>
        <v>1</v>
      </c>
      <c r="D31" s="7">
        <f t="shared" si="1"/>
        <v>29</v>
      </c>
      <c r="E31" s="15">
        <f t="shared" si="2"/>
        <v>5</v>
      </c>
      <c r="F31" s="8" t="str">
        <f t="shared" si="3"/>
        <v/>
      </c>
      <c r="G31" s="58"/>
      <c r="H31" s="12" t="s">
        <v>64</v>
      </c>
      <c r="I31" s="6" t="str">
        <f t="shared" si="4"/>
        <v>비번</v>
      </c>
      <c r="J31" s="6" t="str">
        <f t="shared" si="14"/>
        <v/>
      </c>
      <c r="K31" s="6" t="str">
        <f>IF(J31="","",COUNT($J$3:J31))</f>
        <v/>
      </c>
      <c r="L31" s="6" t="str">
        <f t="shared" si="15"/>
        <v/>
      </c>
      <c r="M31" s="6" t="str">
        <f t="shared" si="16"/>
        <v/>
      </c>
      <c r="N31" s="6" t="str">
        <f t="shared" si="17"/>
        <v/>
      </c>
      <c r="O31" s="6" t="str">
        <f t="shared" si="18"/>
        <v/>
      </c>
      <c r="P31" s="32" t="str">
        <f t="shared" si="5"/>
        <v/>
      </c>
      <c r="Q31" s="13" t="str">
        <f t="shared" si="30"/>
        <v>-</v>
      </c>
      <c r="R31" s="13" t="str">
        <f t="shared" si="31"/>
        <v>-</v>
      </c>
      <c r="S31" s="13" t="str">
        <f t="shared" si="32"/>
        <v>-</v>
      </c>
      <c r="T31" s="13" t="str">
        <f t="shared" si="33"/>
        <v>-</v>
      </c>
      <c r="U31" s="31" t="str">
        <f t="shared" si="10"/>
        <v>-</v>
      </c>
      <c r="V31" s="6" t="str">
        <f t="shared" si="19"/>
        <v/>
      </c>
      <c r="W31" s="6" t="str">
        <f>IF(V31="","",COUNT($V$3:V31))</f>
        <v/>
      </c>
      <c r="X31" s="6" t="str">
        <f t="shared" si="20"/>
        <v/>
      </c>
      <c r="Y31" s="6" t="str">
        <f t="shared" si="21"/>
        <v/>
      </c>
      <c r="Z31" s="6" t="str">
        <f t="shared" si="22"/>
        <v/>
      </c>
      <c r="AA31" s="6" t="str">
        <f t="shared" si="23"/>
        <v/>
      </c>
      <c r="AB31" s="32" t="str">
        <f t="shared" si="11"/>
        <v/>
      </c>
      <c r="AC31" s="13" t="str">
        <f t="shared" si="24"/>
        <v>-</v>
      </c>
      <c r="AD31" s="13" t="str">
        <f t="shared" si="25"/>
        <v>-</v>
      </c>
      <c r="AE31" s="13" t="str">
        <f t="shared" si="26"/>
        <v>-</v>
      </c>
      <c r="AF31" s="13" t="str">
        <f t="shared" si="27"/>
        <v>-</v>
      </c>
      <c r="AG31" s="31" t="str">
        <f t="shared" si="12"/>
        <v>-</v>
      </c>
      <c r="AH31" s="2" t="str">
        <f t="shared" si="28"/>
        <v/>
      </c>
      <c r="AI31" s="2" t="str">
        <f>IF(AH31="","",COUNT($AH$3:AH31))</f>
        <v/>
      </c>
      <c r="AJ31" s="60" t="str">
        <f t="shared" si="29"/>
        <v/>
      </c>
    </row>
    <row r="32" spans="1:36" ht="16.5">
      <c r="A32" s="6">
        <v>30</v>
      </c>
      <c r="B32" s="9">
        <f t="shared" si="13"/>
        <v>46052</v>
      </c>
      <c r="C32" s="7">
        <f t="shared" si="0"/>
        <v>1</v>
      </c>
      <c r="D32" s="7">
        <f t="shared" si="1"/>
        <v>30</v>
      </c>
      <c r="E32" s="15">
        <f t="shared" si="2"/>
        <v>6</v>
      </c>
      <c r="F32" s="8" t="str">
        <f t="shared" si="3"/>
        <v/>
      </c>
      <c r="G32" s="58"/>
      <c r="H32" s="12" t="s">
        <v>65</v>
      </c>
      <c r="I32" s="6" t="str">
        <f t="shared" si="4"/>
        <v>주간</v>
      </c>
      <c r="J32" s="6">
        <f t="shared" si="14"/>
        <v>1</v>
      </c>
      <c r="K32" s="6">
        <f>IF(J32="","",COUNT($J$3:J32))</f>
        <v>7</v>
      </c>
      <c r="L32" s="6">
        <f t="shared" si="15"/>
        <v>1</v>
      </c>
      <c r="M32" s="6">
        <f t="shared" si="16"/>
        <v>2</v>
      </c>
      <c r="N32" s="6">
        <f t="shared" si="17"/>
        <v>3</v>
      </c>
      <c r="O32" s="6">
        <f t="shared" si="18"/>
        <v>4</v>
      </c>
      <c r="P32" s="32">
        <f t="shared" si="5"/>
        <v>2</v>
      </c>
      <c r="Q32" s="13" t="str">
        <f t="shared" si="30"/>
        <v>이기수</v>
      </c>
      <c r="R32" s="13" t="str">
        <f t="shared" si="31"/>
        <v>박성현</v>
      </c>
      <c r="S32" s="13" t="str">
        <f t="shared" si="32"/>
        <v>허지웅</v>
      </c>
      <c r="T32" s="13" t="str">
        <f t="shared" si="33"/>
        <v>정윤준</v>
      </c>
      <c r="U32" s="31" t="str">
        <f t="shared" si="10"/>
        <v>정윤준</v>
      </c>
      <c r="V32" s="6" t="str">
        <f t="shared" si="19"/>
        <v/>
      </c>
      <c r="W32" s="6" t="str">
        <f>IF(V32="","",COUNT($V$3:V32))</f>
        <v/>
      </c>
      <c r="X32" s="6" t="str">
        <f t="shared" si="20"/>
        <v/>
      </c>
      <c r="Y32" s="6" t="str">
        <f t="shared" si="21"/>
        <v/>
      </c>
      <c r="Z32" s="6" t="str">
        <f t="shared" si="22"/>
        <v/>
      </c>
      <c r="AA32" s="6" t="str">
        <f t="shared" si="23"/>
        <v/>
      </c>
      <c r="AB32" s="32" t="str">
        <f t="shared" si="11"/>
        <v/>
      </c>
      <c r="AC32" s="13" t="str">
        <f t="shared" si="24"/>
        <v>-</v>
      </c>
      <c r="AD32" s="13" t="str">
        <f t="shared" si="25"/>
        <v>-</v>
      </c>
      <c r="AE32" s="13" t="str">
        <f t="shared" si="26"/>
        <v>-</v>
      </c>
      <c r="AF32" s="13" t="str">
        <f t="shared" si="27"/>
        <v>-</v>
      </c>
      <c r="AG32" s="31" t="str">
        <f t="shared" si="12"/>
        <v>-</v>
      </c>
      <c r="AH32" s="2" t="str">
        <f t="shared" si="28"/>
        <v/>
      </c>
      <c r="AI32" s="2" t="str">
        <f>IF(AH32="","",COUNT($AH$3:AH32))</f>
        <v/>
      </c>
      <c r="AJ32" s="60" t="str">
        <f t="shared" si="29"/>
        <v/>
      </c>
    </row>
    <row r="33" spans="1:36" ht="16.5">
      <c r="A33" s="6">
        <v>31</v>
      </c>
      <c r="B33" s="9">
        <f t="shared" si="13"/>
        <v>46053</v>
      </c>
      <c r="C33" s="7">
        <f t="shared" si="0"/>
        <v>1</v>
      </c>
      <c r="D33" s="7">
        <f t="shared" si="1"/>
        <v>31</v>
      </c>
      <c r="E33" s="15">
        <f t="shared" si="2"/>
        <v>7</v>
      </c>
      <c r="F33" s="8" t="str">
        <f t="shared" si="3"/>
        <v>휴</v>
      </c>
      <c r="G33" s="58"/>
      <c r="H33" s="12" t="s">
        <v>63</v>
      </c>
      <c r="I33" s="6" t="str">
        <f t="shared" si="4"/>
        <v>당직</v>
      </c>
      <c r="J33" s="6" t="str">
        <f t="shared" si="14"/>
        <v/>
      </c>
      <c r="K33" s="6" t="str">
        <f>IF(J33="","",COUNT($J$3:J33))</f>
        <v/>
      </c>
      <c r="L33" s="6" t="str">
        <f t="shared" si="15"/>
        <v/>
      </c>
      <c r="M33" s="6" t="str">
        <f t="shared" si="16"/>
        <v/>
      </c>
      <c r="N33" s="6" t="str">
        <f t="shared" si="17"/>
        <v/>
      </c>
      <c r="O33" s="6" t="str">
        <f t="shared" si="18"/>
        <v/>
      </c>
      <c r="P33" s="32" t="str">
        <f t="shared" si="5"/>
        <v/>
      </c>
      <c r="Q33" s="13" t="str">
        <f t="shared" si="30"/>
        <v>-</v>
      </c>
      <c r="R33" s="13" t="str">
        <f t="shared" si="31"/>
        <v>-</v>
      </c>
      <c r="S33" s="13" t="str">
        <f t="shared" si="32"/>
        <v>-</v>
      </c>
      <c r="T33" s="13" t="str">
        <f t="shared" si="33"/>
        <v>-</v>
      </c>
      <c r="U33" s="31" t="str">
        <f t="shared" si="10"/>
        <v>-</v>
      </c>
      <c r="V33" s="6">
        <f t="shared" si="19"/>
        <v>1</v>
      </c>
      <c r="W33" s="6">
        <f>IF(V33="","",COUNT($V$3:V33))</f>
        <v>11</v>
      </c>
      <c r="X33" s="6">
        <f t="shared" si="20"/>
        <v>1</v>
      </c>
      <c r="Y33" s="6">
        <f t="shared" si="21"/>
        <v>2</v>
      </c>
      <c r="Z33" s="6">
        <f t="shared" si="22"/>
        <v>3</v>
      </c>
      <c r="AA33" s="6">
        <f t="shared" si="23"/>
        <v>4</v>
      </c>
      <c r="AB33" s="32">
        <f t="shared" si="11"/>
        <v>1</v>
      </c>
      <c r="AC33" s="13" t="str">
        <f t="shared" si="24"/>
        <v>이기수</v>
      </c>
      <c r="AD33" s="13" t="str">
        <f t="shared" si="25"/>
        <v>박성현</v>
      </c>
      <c r="AE33" s="13" t="str">
        <f t="shared" si="26"/>
        <v>허지웅</v>
      </c>
      <c r="AF33" s="13" t="str">
        <f t="shared" si="27"/>
        <v>정윤준</v>
      </c>
      <c r="AG33" s="31" t="str">
        <f t="shared" si="12"/>
        <v>허지웅</v>
      </c>
      <c r="AH33" s="2">
        <f t="shared" si="28"/>
        <v>1</v>
      </c>
      <c r="AI33" s="2">
        <f>IF(AH33="","",COUNT($AH$3:AH33))</f>
        <v>3</v>
      </c>
      <c r="AJ33" s="60" t="str">
        <f t="shared" si="29"/>
        <v>정윤준</v>
      </c>
    </row>
    <row r="34" spans="1:36" ht="16.5">
      <c r="A34" s="6">
        <v>32</v>
      </c>
      <c r="B34" s="9">
        <f t="shared" si="13"/>
        <v>46054</v>
      </c>
      <c r="C34" s="7">
        <f t="shared" si="0"/>
        <v>2</v>
      </c>
      <c r="D34" s="7">
        <f t="shared" si="1"/>
        <v>1</v>
      </c>
      <c r="E34" s="15">
        <f t="shared" si="2"/>
        <v>1</v>
      </c>
      <c r="F34" s="8" t="str">
        <f t="shared" si="3"/>
        <v>휴</v>
      </c>
      <c r="G34" s="58"/>
      <c r="H34" s="12" t="s">
        <v>64</v>
      </c>
      <c r="I34" s="6" t="str">
        <f t="shared" si="4"/>
        <v>비번</v>
      </c>
      <c r="J34" s="6" t="str">
        <f t="shared" si="14"/>
        <v/>
      </c>
      <c r="K34" s="6" t="str">
        <f>IF(J34="","",COUNT($J$3:J34))</f>
        <v/>
      </c>
      <c r="L34" s="6" t="str">
        <f t="shared" si="15"/>
        <v/>
      </c>
      <c r="M34" s="6" t="str">
        <f t="shared" si="16"/>
        <v/>
      </c>
      <c r="N34" s="6" t="str">
        <f t="shared" si="17"/>
        <v/>
      </c>
      <c r="O34" s="6" t="str">
        <f t="shared" si="18"/>
        <v/>
      </c>
      <c r="P34" s="32" t="str">
        <f t="shared" si="5"/>
        <v/>
      </c>
      <c r="Q34" s="13" t="str">
        <f t="shared" si="30"/>
        <v>-</v>
      </c>
      <c r="R34" s="13" t="str">
        <f t="shared" si="31"/>
        <v>-</v>
      </c>
      <c r="S34" s="13" t="str">
        <f t="shared" si="32"/>
        <v>-</v>
      </c>
      <c r="T34" s="13" t="str">
        <f t="shared" si="33"/>
        <v>-</v>
      </c>
      <c r="U34" s="31" t="str">
        <f t="shared" si="10"/>
        <v>-</v>
      </c>
      <c r="V34" s="6" t="str">
        <f t="shared" si="19"/>
        <v/>
      </c>
      <c r="W34" s="6" t="str">
        <f>IF(V34="","",COUNT($V$3:V34))</f>
        <v/>
      </c>
      <c r="X34" s="6" t="str">
        <f t="shared" si="20"/>
        <v/>
      </c>
      <c r="Y34" s="6" t="str">
        <f t="shared" si="21"/>
        <v/>
      </c>
      <c r="Z34" s="6" t="str">
        <f t="shared" si="22"/>
        <v/>
      </c>
      <c r="AA34" s="6" t="str">
        <f t="shared" si="23"/>
        <v/>
      </c>
      <c r="AB34" s="32" t="str">
        <f t="shared" si="11"/>
        <v/>
      </c>
      <c r="AC34" s="13" t="str">
        <f t="shared" si="24"/>
        <v>-</v>
      </c>
      <c r="AD34" s="13" t="str">
        <f t="shared" si="25"/>
        <v>-</v>
      </c>
      <c r="AE34" s="13" t="str">
        <f t="shared" si="26"/>
        <v>-</v>
      </c>
      <c r="AF34" s="13" t="str">
        <f t="shared" si="27"/>
        <v>-</v>
      </c>
      <c r="AG34" s="31" t="str">
        <f t="shared" si="12"/>
        <v>-</v>
      </c>
      <c r="AH34" s="2" t="str">
        <f t="shared" si="28"/>
        <v/>
      </c>
      <c r="AI34" s="2" t="str">
        <f>IF(AH34="","",COUNT($AH$3:AH34))</f>
        <v/>
      </c>
      <c r="AJ34" s="60" t="str">
        <f t="shared" si="29"/>
        <v/>
      </c>
    </row>
    <row r="35" spans="1:36" ht="16.5">
      <c r="A35" s="6">
        <v>33</v>
      </c>
      <c r="B35" s="9">
        <f t="shared" si="13"/>
        <v>46055</v>
      </c>
      <c r="C35" s="7">
        <f t="shared" si="0"/>
        <v>2</v>
      </c>
      <c r="D35" s="7">
        <f t="shared" si="1"/>
        <v>2</v>
      </c>
      <c r="E35" s="15">
        <f t="shared" si="2"/>
        <v>2</v>
      </c>
      <c r="F35" s="8" t="str">
        <f t="shared" si="3"/>
        <v/>
      </c>
      <c r="G35" s="58"/>
      <c r="H35" s="12" t="s">
        <v>65</v>
      </c>
      <c r="I35" s="6" t="str">
        <f t="shared" si="4"/>
        <v>주간</v>
      </c>
      <c r="J35" s="6">
        <f t="shared" si="14"/>
        <v>1</v>
      </c>
      <c r="K35" s="6">
        <f>IF(J35="","",COUNT($J$3:J35))</f>
        <v>8</v>
      </c>
      <c r="L35" s="6">
        <f t="shared" si="15"/>
        <v>4</v>
      </c>
      <c r="M35" s="6">
        <f t="shared" si="16"/>
        <v>1</v>
      </c>
      <c r="N35" s="6">
        <f t="shared" si="17"/>
        <v>2</v>
      </c>
      <c r="O35" s="6">
        <f t="shared" si="18"/>
        <v>3</v>
      </c>
      <c r="P35" s="32">
        <f t="shared" si="5"/>
        <v>3</v>
      </c>
      <c r="Q35" s="13" t="str">
        <f t="shared" si="30"/>
        <v>정윤준</v>
      </c>
      <c r="R35" s="13" t="str">
        <f t="shared" si="31"/>
        <v>이기수</v>
      </c>
      <c r="S35" s="13" t="str">
        <f t="shared" si="32"/>
        <v>박성현</v>
      </c>
      <c r="T35" s="13" t="str">
        <f t="shared" si="33"/>
        <v>허지웅</v>
      </c>
      <c r="U35" s="31" t="str">
        <f t="shared" si="10"/>
        <v>허지웅</v>
      </c>
      <c r="V35" s="6" t="str">
        <f t="shared" si="19"/>
        <v/>
      </c>
      <c r="W35" s="6" t="str">
        <f>IF(V35="","",COUNT($V$3:V35))</f>
        <v/>
      </c>
      <c r="X35" s="6" t="str">
        <f t="shared" si="20"/>
        <v/>
      </c>
      <c r="Y35" s="6" t="str">
        <f t="shared" si="21"/>
        <v/>
      </c>
      <c r="Z35" s="6" t="str">
        <f t="shared" si="22"/>
        <v/>
      </c>
      <c r="AA35" s="6" t="str">
        <f t="shared" si="23"/>
        <v/>
      </c>
      <c r="AB35" s="32" t="str">
        <f t="shared" si="11"/>
        <v/>
      </c>
      <c r="AC35" s="13" t="str">
        <f t="shared" si="24"/>
        <v>-</v>
      </c>
      <c r="AD35" s="13" t="str">
        <f t="shared" si="25"/>
        <v>-</v>
      </c>
      <c r="AE35" s="13" t="str">
        <f t="shared" si="26"/>
        <v>-</v>
      </c>
      <c r="AF35" s="13" t="str">
        <f t="shared" si="27"/>
        <v>-</v>
      </c>
      <c r="AG35" s="31" t="str">
        <f t="shared" si="12"/>
        <v>-</v>
      </c>
      <c r="AH35" s="2" t="str">
        <f t="shared" si="28"/>
        <v/>
      </c>
      <c r="AI35" s="2" t="str">
        <f>IF(AH35="","",COUNT($AH$3:AH35))</f>
        <v/>
      </c>
      <c r="AJ35" s="60" t="str">
        <f t="shared" si="29"/>
        <v/>
      </c>
    </row>
    <row r="36" spans="1:36" ht="16.5">
      <c r="A36" s="6">
        <v>34</v>
      </c>
      <c r="B36" s="9">
        <f t="shared" si="13"/>
        <v>46056</v>
      </c>
      <c r="C36" s="7">
        <f t="shared" si="0"/>
        <v>2</v>
      </c>
      <c r="D36" s="7">
        <f t="shared" si="1"/>
        <v>3</v>
      </c>
      <c r="E36" s="15">
        <f t="shared" si="2"/>
        <v>3</v>
      </c>
      <c r="F36" s="8" t="str">
        <f t="shared" si="3"/>
        <v/>
      </c>
      <c r="G36" s="58"/>
      <c r="H36" s="12" t="s">
        <v>63</v>
      </c>
      <c r="I36" s="6" t="str">
        <f t="shared" si="4"/>
        <v>야간</v>
      </c>
      <c r="J36" s="6" t="str">
        <f t="shared" si="14"/>
        <v/>
      </c>
      <c r="K36" s="6" t="str">
        <f>IF(J36="","",COUNT($J$3:J36))</f>
        <v/>
      </c>
      <c r="L36" s="6" t="str">
        <f t="shared" si="15"/>
        <v/>
      </c>
      <c r="M36" s="6" t="str">
        <f t="shared" si="16"/>
        <v/>
      </c>
      <c r="N36" s="6" t="str">
        <f t="shared" si="17"/>
        <v/>
      </c>
      <c r="O36" s="6" t="str">
        <f t="shared" si="18"/>
        <v/>
      </c>
      <c r="P36" s="32" t="str">
        <f t="shared" si="5"/>
        <v/>
      </c>
      <c r="Q36" s="13" t="str">
        <f t="shared" si="30"/>
        <v>-</v>
      </c>
      <c r="R36" s="13" t="str">
        <f t="shared" si="31"/>
        <v>-</v>
      </c>
      <c r="S36" s="13" t="str">
        <f t="shared" si="32"/>
        <v>-</v>
      </c>
      <c r="T36" s="13" t="str">
        <f t="shared" si="33"/>
        <v>-</v>
      </c>
      <c r="U36" s="31" t="str">
        <f t="shared" si="10"/>
        <v>-</v>
      </c>
      <c r="V36" s="6">
        <f t="shared" si="19"/>
        <v>1</v>
      </c>
      <c r="W36" s="6">
        <f>IF(V36="","",COUNT($V$3:V36))</f>
        <v>12</v>
      </c>
      <c r="X36" s="6">
        <f t="shared" si="20"/>
        <v>4</v>
      </c>
      <c r="Y36" s="6">
        <f t="shared" si="21"/>
        <v>1</v>
      </c>
      <c r="Z36" s="6">
        <f t="shared" si="22"/>
        <v>2</v>
      </c>
      <c r="AA36" s="6">
        <f t="shared" si="23"/>
        <v>3</v>
      </c>
      <c r="AB36" s="32">
        <f t="shared" si="11"/>
        <v>2</v>
      </c>
      <c r="AC36" s="13" t="str">
        <f t="shared" si="24"/>
        <v>정윤준</v>
      </c>
      <c r="AD36" s="13" t="str">
        <f t="shared" si="25"/>
        <v>이기수</v>
      </c>
      <c r="AE36" s="13" t="str">
        <f t="shared" si="26"/>
        <v>박성현</v>
      </c>
      <c r="AF36" s="13" t="str">
        <f t="shared" si="27"/>
        <v>허지웅</v>
      </c>
      <c r="AG36" s="31" t="str">
        <f t="shared" si="12"/>
        <v>장혁진</v>
      </c>
      <c r="AH36" s="2" t="str">
        <f t="shared" si="28"/>
        <v/>
      </c>
      <c r="AI36" s="2" t="str">
        <f>IF(AH36="","",COUNT($AH$3:AH36))</f>
        <v/>
      </c>
      <c r="AJ36" s="60" t="str">
        <f t="shared" si="29"/>
        <v/>
      </c>
    </row>
    <row r="37" spans="1:36" ht="16.5">
      <c r="A37" s="6">
        <v>35</v>
      </c>
      <c r="B37" s="9">
        <f t="shared" si="13"/>
        <v>46057</v>
      </c>
      <c r="C37" s="7">
        <f t="shared" si="0"/>
        <v>2</v>
      </c>
      <c r="D37" s="7">
        <f t="shared" si="1"/>
        <v>4</v>
      </c>
      <c r="E37" s="15">
        <f t="shared" si="2"/>
        <v>4</v>
      </c>
      <c r="F37" s="8" t="str">
        <f t="shared" si="3"/>
        <v/>
      </c>
      <c r="G37" s="58"/>
      <c r="H37" s="12" t="s">
        <v>64</v>
      </c>
      <c r="I37" s="6" t="str">
        <f t="shared" si="4"/>
        <v>비번</v>
      </c>
      <c r="J37" s="6" t="str">
        <f t="shared" si="14"/>
        <v/>
      </c>
      <c r="K37" s="6" t="str">
        <f>IF(J37="","",COUNT($J$3:J37))</f>
        <v/>
      </c>
      <c r="L37" s="6" t="str">
        <f t="shared" si="15"/>
        <v/>
      </c>
      <c r="M37" s="6" t="str">
        <f t="shared" si="16"/>
        <v/>
      </c>
      <c r="N37" s="6" t="str">
        <f t="shared" si="17"/>
        <v/>
      </c>
      <c r="O37" s="6" t="str">
        <f t="shared" si="18"/>
        <v/>
      </c>
      <c r="P37" s="32" t="str">
        <f t="shared" si="5"/>
        <v/>
      </c>
      <c r="Q37" s="13" t="str">
        <f t="shared" si="30"/>
        <v>-</v>
      </c>
      <c r="R37" s="13" t="str">
        <f t="shared" si="31"/>
        <v>-</v>
      </c>
      <c r="S37" s="13" t="str">
        <f t="shared" si="32"/>
        <v>-</v>
      </c>
      <c r="T37" s="13" t="str">
        <f t="shared" si="33"/>
        <v>-</v>
      </c>
      <c r="U37" s="31" t="str">
        <f t="shared" si="10"/>
        <v>-</v>
      </c>
      <c r="V37" s="6" t="str">
        <f t="shared" si="19"/>
        <v/>
      </c>
      <c r="W37" s="6" t="str">
        <f>IF(V37="","",COUNT($V$3:V37))</f>
        <v/>
      </c>
      <c r="X37" s="6" t="str">
        <f t="shared" si="20"/>
        <v/>
      </c>
      <c r="Y37" s="6" t="str">
        <f t="shared" si="21"/>
        <v/>
      </c>
      <c r="Z37" s="6" t="str">
        <f t="shared" si="22"/>
        <v/>
      </c>
      <c r="AA37" s="6" t="str">
        <f t="shared" si="23"/>
        <v/>
      </c>
      <c r="AB37" s="32" t="str">
        <f t="shared" si="11"/>
        <v/>
      </c>
      <c r="AC37" s="13" t="str">
        <f t="shared" si="24"/>
        <v>-</v>
      </c>
      <c r="AD37" s="13" t="str">
        <f t="shared" si="25"/>
        <v>-</v>
      </c>
      <c r="AE37" s="13" t="str">
        <f t="shared" si="26"/>
        <v>-</v>
      </c>
      <c r="AF37" s="13" t="str">
        <f t="shared" si="27"/>
        <v>-</v>
      </c>
      <c r="AG37" s="31" t="str">
        <f t="shared" si="12"/>
        <v>-</v>
      </c>
      <c r="AH37" s="2" t="str">
        <f t="shared" si="28"/>
        <v/>
      </c>
      <c r="AI37" s="2" t="str">
        <f>IF(AH37="","",COUNT($AH$3:AH37))</f>
        <v/>
      </c>
      <c r="AJ37" s="60" t="str">
        <f t="shared" si="29"/>
        <v/>
      </c>
    </row>
    <row r="38" spans="1:36" ht="16.5">
      <c r="A38" s="6">
        <v>36</v>
      </c>
      <c r="B38" s="9">
        <f t="shared" si="13"/>
        <v>46058</v>
      </c>
      <c r="C38" s="7">
        <f t="shared" si="0"/>
        <v>2</v>
      </c>
      <c r="D38" s="7">
        <f t="shared" si="1"/>
        <v>5</v>
      </c>
      <c r="E38" s="15">
        <f t="shared" si="2"/>
        <v>5</v>
      </c>
      <c r="F38" s="8" t="str">
        <f t="shared" si="3"/>
        <v/>
      </c>
      <c r="G38" s="58"/>
      <c r="H38" s="12" t="s">
        <v>65</v>
      </c>
      <c r="I38" s="6" t="str">
        <f t="shared" si="4"/>
        <v>주간</v>
      </c>
      <c r="J38" s="6">
        <f t="shared" si="14"/>
        <v>1</v>
      </c>
      <c r="K38" s="6">
        <f>IF(J38="","",COUNT($J$3:J38))</f>
        <v>9</v>
      </c>
      <c r="L38" s="6">
        <f t="shared" si="15"/>
        <v>3</v>
      </c>
      <c r="M38" s="6">
        <f t="shared" si="16"/>
        <v>4</v>
      </c>
      <c r="N38" s="6">
        <f t="shared" si="17"/>
        <v>1</v>
      </c>
      <c r="O38" s="6">
        <f t="shared" si="18"/>
        <v>2</v>
      </c>
      <c r="P38" s="32">
        <f t="shared" si="5"/>
        <v>4</v>
      </c>
      <c r="Q38" s="13" t="str">
        <f t="shared" si="30"/>
        <v>허지웅</v>
      </c>
      <c r="R38" s="13" t="str">
        <f t="shared" si="31"/>
        <v>정윤준</v>
      </c>
      <c r="S38" s="13" t="str">
        <f t="shared" si="32"/>
        <v>이기수</v>
      </c>
      <c r="T38" s="13" t="str">
        <f t="shared" si="33"/>
        <v>박성현</v>
      </c>
      <c r="U38" s="31" t="e">
        <f t="shared" si="10"/>
        <v>#VALUE!</v>
      </c>
      <c r="V38" s="6" t="str">
        <f t="shared" si="19"/>
        <v/>
      </c>
      <c r="W38" s="6" t="str">
        <f>IF(V38="","",COUNT($V$3:V38))</f>
        <v/>
      </c>
      <c r="X38" s="6" t="str">
        <f t="shared" si="20"/>
        <v/>
      </c>
      <c r="Y38" s="6" t="str">
        <f t="shared" si="21"/>
        <v/>
      </c>
      <c r="Z38" s="6" t="str">
        <f t="shared" si="22"/>
        <v/>
      </c>
      <c r="AA38" s="6" t="str">
        <f t="shared" si="23"/>
        <v/>
      </c>
      <c r="AB38" s="32" t="str">
        <f t="shared" si="11"/>
        <v/>
      </c>
      <c r="AC38" s="13" t="str">
        <f t="shared" si="24"/>
        <v>-</v>
      </c>
      <c r="AD38" s="13" t="str">
        <f t="shared" si="25"/>
        <v>-</v>
      </c>
      <c r="AE38" s="13" t="str">
        <f t="shared" si="26"/>
        <v>-</v>
      </c>
      <c r="AF38" s="13" t="str">
        <f t="shared" si="27"/>
        <v>-</v>
      </c>
      <c r="AG38" s="31" t="str">
        <f t="shared" si="12"/>
        <v>-</v>
      </c>
      <c r="AH38" s="2" t="str">
        <f t="shared" si="28"/>
        <v/>
      </c>
      <c r="AI38" s="2" t="str">
        <f>IF(AH38="","",COUNT($AH$3:AH38))</f>
        <v/>
      </c>
      <c r="AJ38" s="60" t="str">
        <f t="shared" si="29"/>
        <v/>
      </c>
    </row>
    <row r="39" spans="1:36" ht="16.5">
      <c r="A39" s="6">
        <v>37</v>
      </c>
      <c r="B39" s="9">
        <f t="shared" si="13"/>
        <v>46059</v>
      </c>
      <c r="C39" s="7">
        <f t="shared" si="0"/>
        <v>2</v>
      </c>
      <c r="D39" s="7">
        <f t="shared" si="1"/>
        <v>6</v>
      </c>
      <c r="E39" s="15">
        <f t="shared" si="2"/>
        <v>6</v>
      </c>
      <c r="F39" s="8" t="str">
        <f t="shared" si="3"/>
        <v/>
      </c>
      <c r="G39" s="58"/>
      <c r="H39" s="12" t="s">
        <v>63</v>
      </c>
      <c r="I39" s="6" t="str">
        <f t="shared" si="4"/>
        <v>야간</v>
      </c>
      <c r="J39" s="6" t="str">
        <f t="shared" si="14"/>
        <v/>
      </c>
      <c r="K39" s="6" t="str">
        <f>IF(J39="","",COUNT($J$3:J39))</f>
        <v/>
      </c>
      <c r="L39" s="6" t="str">
        <f t="shared" si="15"/>
        <v/>
      </c>
      <c r="M39" s="6" t="str">
        <f t="shared" si="16"/>
        <v/>
      </c>
      <c r="N39" s="6" t="str">
        <f t="shared" si="17"/>
        <v/>
      </c>
      <c r="O39" s="6" t="str">
        <f t="shared" si="18"/>
        <v/>
      </c>
      <c r="P39" s="32" t="str">
        <f t="shared" si="5"/>
        <v/>
      </c>
      <c r="Q39" s="13" t="str">
        <f t="shared" si="30"/>
        <v>-</v>
      </c>
      <c r="R39" s="13" t="str">
        <f t="shared" si="31"/>
        <v>-</v>
      </c>
      <c r="S39" s="13" t="str">
        <f t="shared" si="32"/>
        <v>-</v>
      </c>
      <c r="T39" s="13" t="str">
        <f t="shared" si="33"/>
        <v>-</v>
      </c>
      <c r="U39" s="31" t="str">
        <f t="shared" si="10"/>
        <v>-</v>
      </c>
      <c r="V39" s="6">
        <f t="shared" si="19"/>
        <v>1</v>
      </c>
      <c r="W39" s="6">
        <f>IF(V39="","",COUNT($V$3:V39))</f>
        <v>13</v>
      </c>
      <c r="X39" s="6">
        <f t="shared" si="20"/>
        <v>3</v>
      </c>
      <c r="Y39" s="6">
        <f t="shared" si="21"/>
        <v>4</v>
      </c>
      <c r="Z39" s="6">
        <f t="shared" si="22"/>
        <v>1</v>
      </c>
      <c r="AA39" s="6">
        <f t="shared" si="23"/>
        <v>2</v>
      </c>
      <c r="AB39" s="32">
        <f t="shared" si="11"/>
        <v>3</v>
      </c>
      <c r="AC39" s="13" t="str">
        <f t="shared" si="24"/>
        <v>허지웅</v>
      </c>
      <c r="AD39" s="13" t="str">
        <f t="shared" si="25"/>
        <v>정윤준</v>
      </c>
      <c r="AE39" s="13" t="str">
        <f t="shared" si="26"/>
        <v>이기수</v>
      </c>
      <c r="AF39" s="13" t="str">
        <f t="shared" si="27"/>
        <v>박성현</v>
      </c>
      <c r="AG39" s="31" t="str">
        <f t="shared" si="12"/>
        <v>이기수</v>
      </c>
      <c r="AH39" s="2" t="str">
        <f t="shared" si="28"/>
        <v/>
      </c>
      <c r="AI39" s="2" t="str">
        <f>IF(AH39="","",COUNT($AH$3:AH39))</f>
        <v/>
      </c>
      <c r="AJ39" s="60" t="str">
        <f t="shared" si="29"/>
        <v/>
      </c>
    </row>
    <row r="40" spans="1:36" ht="16.5">
      <c r="A40" s="6">
        <v>38</v>
      </c>
      <c r="B40" s="9">
        <f t="shared" si="13"/>
        <v>46060</v>
      </c>
      <c r="C40" s="7">
        <f t="shared" si="0"/>
        <v>2</v>
      </c>
      <c r="D40" s="7">
        <f t="shared" si="1"/>
        <v>7</v>
      </c>
      <c r="E40" s="15">
        <f t="shared" si="2"/>
        <v>7</v>
      </c>
      <c r="F40" s="8" t="str">
        <f t="shared" si="3"/>
        <v>휴</v>
      </c>
      <c r="G40" s="58"/>
      <c r="H40" s="12" t="s">
        <v>64</v>
      </c>
      <c r="I40" s="6" t="str">
        <f t="shared" si="4"/>
        <v>비번</v>
      </c>
      <c r="J40" s="6" t="str">
        <f t="shared" si="14"/>
        <v/>
      </c>
      <c r="K40" s="6" t="str">
        <f>IF(J40="","",COUNT($J$3:J40))</f>
        <v/>
      </c>
      <c r="L40" s="6" t="str">
        <f t="shared" si="15"/>
        <v/>
      </c>
      <c r="M40" s="6" t="str">
        <f t="shared" si="16"/>
        <v/>
      </c>
      <c r="N40" s="6" t="str">
        <f t="shared" si="17"/>
        <v/>
      </c>
      <c r="O40" s="6" t="str">
        <f t="shared" si="18"/>
        <v/>
      </c>
      <c r="P40" s="32" t="str">
        <f t="shared" si="5"/>
        <v/>
      </c>
      <c r="Q40" s="13" t="str">
        <f t="shared" si="30"/>
        <v>-</v>
      </c>
      <c r="R40" s="13" t="str">
        <f t="shared" si="31"/>
        <v>-</v>
      </c>
      <c r="S40" s="13" t="str">
        <f t="shared" si="32"/>
        <v>-</v>
      </c>
      <c r="T40" s="13" t="str">
        <f t="shared" si="33"/>
        <v>-</v>
      </c>
      <c r="U40" s="31" t="str">
        <f t="shared" si="10"/>
        <v>-</v>
      </c>
      <c r="V40" s="6" t="str">
        <f t="shared" si="19"/>
        <v/>
      </c>
      <c r="W40" s="6" t="str">
        <f>IF(V40="","",COUNT($V$3:V40))</f>
        <v/>
      </c>
      <c r="X40" s="6" t="str">
        <f t="shared" si="20"/>
        <v/>
      </c>
      <c r="Y40" s="6" t="str">
        <f t="shared" si="21"/>
        <v/>
      </c>
      <c r="Z40" s="6" t="str">
        <f t="shared" si="22"/>
        <v/>
      </c>
      <c r="AA40" s="6" t="str">
        <f t="shared" si="23"/>
        <v/>
      </c>
      <c r="AB40" s="32" t="str">
        <f t="shared" si="11"/>
        <v/>
      </c>
      <c r="AC40" s="13" t="str">
        <f t="shared" si="24"/>
        <v>-</v>
      </c>
      <c r="AD40" s="13" t="str">
        <f t="shared" si="25"/>
        <v>-</v>
      </c>
      <c r="AE40" s="13" t="str">
        <f t="shared" si="26"/>
        <v>-</v>
      </c>
      <c r="AF40" s="13" t="str">
        <f t="shared" si="27"/>
        <v>-</v>
      </c>
      <c r="AG40" s="31" t="str">
        <f t="shared" si="12"/>
        <v>-</v>
      </c>
      <c r="AH40" s="2" t="str">
        <f t="shared" si="28"/>
        <v/>
      </c>
      <c r="AI40" s="2" t="str">
        <f>IF(AH40="","",COUNT($AH$3:AH40))</f>
        <v/>
      </c>
      <c r="AJ40" s="60" t="str">
        <f t="shared" si="29"/>
        <v/>
      </c>
    </row>
    <row r="41" spans="1:36" ht="16.5">
      <c r="A41" s="6">
        <v>39</v>
      </c>
      <c r="B41" s="9">
        <f t="shared" si="13"/>
        <v>46061</v>
      </c>
      <c r="C41" s="7">
        <f t="shared" si="0"/>
        <v>2</v>
      </c>
      <c r="D41" s="7">
        <f t="shared" si="1"/>
        <v>8</v>
      </c>
      <c r="E41" s="15">
        <f t="shared" si="2"/>
        <v>1</v>
      </c>
      <c r="F41" s="8" t="str">
        <f t="shared" si="3"/>
        <v>휴</v>
      </c>
      <c r="G41" s="58"/>
      <c r="H41" s="12" t="s">
        <v>65</v>
      </c>
      <c r="I41" s="6" t="str">
        <f t="shared" si="4"/>
        <v>휴무</v>
      </c>
      <c r="J41" s="6" t="str">
        <f t="shared" si="14"/>
        <v/>
      </c>
      <c r="K41" s="6" t="str">
        <f>IF(J41="","",COUNT($J$3:J41))</f>
        <v/>
      </c>
      <c r="L41" s="6" t="str">
        <f t="shared" si="15"/>
        <v/>
      </c>
      <c r="M41" s="6" t="str">
        <f t="shared" si="16"/>
        <v/>
      </c>
      <c r="N41" s="6" t="str">
        <f t="shared" si="17"/>
        <v/>
      </c>
      <c r="O41" s="6" t="str">
        <f t="shared" si="18"/>
        <v/>
      </c>
      <c r="P41" s="32" t="str">
        <f t="shared" si="5"/>
        <v/>
      </c>
      <c r="Q41" s="13" t="str">
        <f t="shared" si="30"/>
        <v>-</v>
      </c>
      <c r="R41" s="13" t="str">
        <f t="shared" si="31"/>
        <v>-</v>
      </c>
      <c r="S41" s="13" t="str">
        <f t="shared" si="32"/>
        <v>-</v>
      </c>
      <c r="T41" s="13" t="str">
        <f t="shared" si="33"/>
        <v>-</v>
      </c>
      <c r="U41" s="31" t="str">
        <f t="shared" si="10"/>
        <v>-</v>
      </c>
      <c r="V41" s="6" t="str">
        <f t="shared" si="19"/>
        <v/>
      </c>
      <c r="W41" s="6" t="str">
        <f>IF(V41="","",COUNT($V$3:V41))</f>
        <v/>
      </c>
      <c r="X41" s="6" t="str">
        <f t="shared" si="20"/>
        <v/>
      </c>
      <c r="Y41" s="6" t="str">
        <f t="shared" si="21"/>
        <v/>
      </c>
      <c r="Z41" s="6" t="str">
        <f t="shared" si="22"/>
        <v/>
      </c>
      <c r="AA41" s="6" t="str">
        <f t="shared" si="23"/>
        <v/>
      </c>
      <c r="AB41" s="32" t="str">
        <f t="shared" si="11"/>
        <v/>
      </c>
      <c r="AC41" s="13" t="str">
        <f t="shared" si="24"/>
        <v>-</v>
      </c>
      <c r="AD41" s="13" t="str">
        <f t="shared" si="25"/>
        <v>-</v>
      </c>
      <c r="AE41" s="13" t="str">
        <f t="shared" si="26"/>
        <v>-</v>
      </c>
      <c r="AF41" s="13" t="str">
        <f t="shared" si="27"/>
        <v>-</v>
      </c>
      <c r="AG41" s="31" t="str">
        <f t="shared" si="12"/>
        <v>-</v>
      </c>
      <c r="AH41" s="2" t="str">
        <f t="shared" si="28"/>
        <v/>
      </c>
      <c r="AI41" s="2" t="str">
        <f>IF(AH41="","",COUNT($AH$3:AH41))</f>
        <v/>
      </c>
      <c r="AJ41" s="60" t="str">
        <f t="shared" si="29"/>
        <v/>
      </c>
    </row>
    <row r="42" spans="1:36" ht="16.5">
      <c r="A42" s="6">
        <v>40</v>
      </c>
      <c r="B42" s="9">
        <f t="shared" si="13"/>
        <v>46062</v>
      </c>
      <c r="C42" s="7">
        <f t="shared" si="0"/>
        <v>2</v>
      </c>
      <c r="D42" s="7">
        <f t="shared" si="1"/>
        <v>9</v>
      </c>
      <c r="E42" s="15">
        <f t="shared" si="2"/>
        <v>2</v>
      </c>
      <c r="F42" s="8" t="str">
        <f t="shared" si="3"/>
        <v/>
      </c>
      <c r="G42" s="58"/>
      <c r="H42" s="12" t="s">
        <v>63</v>
      </c>
      <c r="I42" s="6" t="str">
        <f t="shared" si="4"/>
        <v>야간</v>
      </c>
      <c r="J42" s="6" t="str">
        <f t="shared" si="14"/>
        <v/>
      </c>
      <c r="K42" s="6" t="str">
        <f>IF(J42="","",COUNT($J$3:J42))</f>
        <v/>
      </c>
      <c r="L42" s="6" t="str">
        <f t="shared" si="15"/>
        <v/>
      </c>
      <c r="M42" s="6" t="str">
        <f t="shared" si="16"/>
        <v/>
      </c>
      <c r="N42" s="6" t="str">
        <f t="shared" si="17"/>
        <v/>
      </c>
      <c r="O42" s="6" t="str">
        <f t="shared" si="18"/>
        <v/>
      </c>
      <c r="P42" s="32" t="str">
        <f t="shared" si="5"/>
        <v/>
      </c>
      <c r="Q42" s="13" t="str">
        <f t="shared" si="30"/>
        <v>-</v>
      </c>
      <c r="R42" s="13" t="str">
        <f t="shared" si="31"/>
        <v>-</v>
      </c>
      <c r="S42" s="13" t="str">
        <f t="shared" si="32"/>
        <v>-</v>
      </c>
      <c r="T42" s="13" t="str">
        <f t="shared" si="33"/>
        <v>-</v>
      </c>
      <c r="U42" s="31" t="str">
        <f t="shared" si="10"/>
        <v>-</v>
      </c>
      <c r="V42" s="6">
        <f t="shared" si="19"/>
        <v>1</v>
      </c>
      <c r="W42" s="6">
        <f>IF(V42="","",COUNT($V$3:V42))</f>
        <v>14</v>
      </c>
      <c r="X42" s="6">
        <f t="shared" si="20"/>
        <v>2</v>
      </c>
      <c r="Y42" s="6">
        <f t="shared" si="21"/>
        <v>3</v>
      </c>
      <c r="Z42" s="6">
        <f t="shared" si="22"/>
        <v>4</v>
      </c>
      <c r="AA42" s="6">
        <f t="shared" si="23"/>
        <v>1</v>
      </c>
      <c r="AB42" s="32">
        <f t="shared" si="11"/>
        <v>4</v>
      </c>
      <c r="AC42" s="13" t="str">
        <f t="shared" si="24"/>
        <v>박성현</v>
      </c>
      <c r="AD42" s="13" t="str">
        <f t="shared" si="25"/>
        <v>허지웅</v>
      </c>
      <c r="AE42" s="13" t="str">
        <f t="shared" si="26"/>
        <v>정윤준</v>
      </c>
      <c r="AF42" s="13" t="str">
        <f t="shared" si="27"/>
        <v>이기수</v>
      </c>
      <c r="AG42" s="31" t="e">
        <f t="shared" si="12"/>
        <v>#VALUE!</v>
      </c>
      <c r="AH42" s="2" t="str">
        <f t="shared" si="28"/>
        <v/>
      </c>
      <c r="AI42" s="2" t="str">
        <f>IF(AH42="","",COUNT($AH$3:AH42))</f>
        <v/>
      </c>
      <c r="AJ42" s="60" t="str">
        <f t="shared" si="29"/>
        <v/>
      </c>
    </row>
    <row r="43" spans="1:36" ht="16.5">
      <c r="A43" s="6">
        <v>41</v>
      </c>
      <c r="B43" s="9">
        <f t="shared" si="13"/>
        <v>46063</v>
      </c>
      <c r="C43" s="7">
        <f t="shared" si="0"/>
        <v>2</v>
      </c>
      <c r="D43" s="7">
        <f t="shared" si="1"/>
        <v>10</v>
      </c>
      <c r="E43" s="15">
        <f t="shared" si="2"/>
        <v>3</v>
      </c>
      <c r="F43" s="8" t="str">
        <f t="shared" si="3"/>
        <v/>
      </c>
      <c r="G43" s="58"/>
      <c r="H43" s="12" t="s">
        <v>64</v>
      </c>
      <c r="I43" s="6" t="str">
        <f t="shared" si="4"/>
        <v>비번</v>
      </c>
      <c r="J43" s="6" t="str">
        <f t="shared" si="14"/>
        <v/>
      </c>
      <c r="K43" s="6" t="str">
        <f>IF(J43="","",COUNT($J$3:J43))</f>
        <v/>
      </c>
      <c r="L43" s="6" t="str">
        <f t="shared" si="15"/>
        <v/>
      </c>
      <c r="M43" s="6" t="str">
        <f t="shared" si="16"/>
        <v/>
      </c>
      <c r="N43" s="6" t="str">
        <f t="shared" si="17"/>
        <v/>
      </c>
      <c r="O43" s="6" t="str">
        <f t="shared" si="18"/>
        <v/>
      </c>
      <c r="P43" s="32" t="str">
        <f t="shared" si="5"/>
        <v/>
      </c>
      <c r="Q43" s="13" t="str">
        <f t="shared" si="30"/>
        <v>-</v>
      </c>
      <c r="R43" s="13" t="str">
        <f t="shared" si="31"/>
        <v>-</v>
      </c>
      <c r="S43" s="13" t="str">
        <f t="shared" si="32"/>
        <v>-</v>
      </c>
      <c r="T43" s="13" t="str">
        <f t="shared" si="33"/>
        <v>-</v>
      </c>
      <c r="U43" s="31" t="str">
        <f t="shared" si="10"/>
        <v>-</v>
      </c>
      <c r="V43" s="6" t="str">
        <f t="shared" si="19"/>
        <v/>
      </c>
      <c r="W43" s="6" t="str">
        <f>IF(V43="","",COUNT($V$3:V43))</f>
        <v/>
      </c>
      <c r="X43" s="6" t="str">
        <f t="shared" si="20"/>
        <v/>
      </c>
      <c r="Y43" s="6" t="str">
        <f t="shared" si="21"/>
        <v/>
      </c>
      <c r="Z43" s="6" t="str">
        <f t="shared" si="22"/>
        <v/>
      </c>
      <c r="AA43" s="6" t="str">
        <f t="shared" si="23"/>
        <v/>
      </c>
      <c r="AB43" s="32" t="str">
        <f t="shared" si="11"/>
        <v/>
      </c>
      <c r="AC43" s="13" t="str">
        <f t="shared" si="24"/>
        <v>-</v>
      </c>
      <c r="AD43" s="13" t="str">
        <f t="shared" si="25"/>
        <v>-</v>
      </c>
      <c r="AE43" s="13" t="str">
        <f t="shared" si="26"/>
        <v>-</v>
      </c>
      <c r="AF43" s="13" t="str">
        <f t="shared" si="27"/>
        <v>-</v>
      </c>
      <c r="AG43" s="31" t="str">
        <f t="shared" si="12"/>
        <v>-</v>
      </c>
      <c r="AH43" s="2" t="str">
        <f t="shared" si="28"/>
        <v/>
      </c>
      <c r="AI43" s="2" t="str">
        <f>IF(AH43="","",COUNT($AH$3:AH43))</f>
        <v/>
      </c>
      <c r="AJ43" s="60" t="str">
        <f t="shared" si="29"/>
        <v/>
      </c>
    </row>
    <row r="44" spans="1:36" ht="16.5">
      <c r="A44" s="6">
        <v>42</v>
      </c>
      <c r="B44" s="9">
        <f t="shared" si="13"/>
        <v>46064</v>
      </c>
      <c r="C44" s="7">
        <f t="shared" si="0"/>
        <v>2</v>
      </c>
      <c r="D44" s="7">
        <f t="shared" si="1"/>
        <v>11</v>
      </c>
      <c r="E44" s="15">
        <f t="shared" si="2"/>
        <v>4</v>
      </c>
      <c r="F44" s="8" t="str">
        <f t="shared" si="3"/>
        <v/>
      </c>
      <c r="G44" s="58"/>
      <c r="H44" s="12" t="s">
        <v>65</v>
      </c>
      <c r="I44" s="6" t="str">
        <f t="shared" si="4"/>
        <v>주간</v>
      </c>
      <c r="J44" s="6">
        <f t="shared" si="14"/>
        <v>1</v>
      </c>
      <c r="K44" s="6">
        <f>IF(J44="","",COUNT($J$3:J44))</f>
        <v>10</v>
      </c>
      <c r="L44" s="6">
        <f t="shared" si="15"/>
        <v>2</v>
      </c>
      <c r="M44" s="6">
        <f t="shared" si="16"/>
        <v>3</v>
      </c>
      <c r="N44" s="6">
        <f t="shared" si="17"/>
        <v>4</v>
      </c>
      <c r="O44" s="6">
        <f t="shared" si="18"/>
        <v>1</v>
      </c>
      <c r="P44" s="32">
        <f t="shared" si="5"/>
        <v>0</v>
      </c>
      <c r="Q44" s="13" t="str">
        <f t="shared" si="30"/>
        <v>박성현</v>
      </c>
      <c r="R44" s="13" t="str">
        <f t="shared" si="31"/>
        <v>허지웅</v>
      </c>
      <c r="S44" s="13" t="str">
        <f t="shared" si="32"/>
        <v>정윤준</v>
      </c>
      <c r="T44" s="13" t="str">
        <f t="shared" si="33"/>
        <v>이기수</v>
      </c>
      <c r="U44" s="31" t="str">
        <f t="shared" si="10"/>
        <v>장혁진</v>
      </c>
      <c r="V44" s="6" t="str">
        <f t="shared" si="19"/>
        <v/>
      </c>
      <c r="W44" s="6" t="str">
        <f>IF(V44="","",COUNT($V$3:V44))</f>
        <v/>
      </c>
      <c r="X44" s="6" t="str">
        <f t="shared" si="20"/>
        <v/>
      </c>
      <c r="Y44" s="6" t="str">
        <f t="shared" si="21"/>
        <v/>
      </c>
      <c r="Z44" s="6" t="str">
        <f t="shared" si="22"/>
        <v/>
      </c>
      <c r="AA44" s="6" t="str">
        <f t="shared" si="23"/>
        <v/>
      </c>
      <c r="AB44" s="32" t="str">
        <f t="shared" si="11"/>
        <v/>
      </c>
      <c r="AC44" s="13" t="str">
        <f t="shared" si="24"/>
        <v>-</v>
      </c>
      <c r="AD44" s="13" t="str">
        <f t="shared" si="25"/>
        <v>-</v>
      </c>
      <c r="AE44" s="13" t="str">
        <f t="shared" si="26"/>
        <v>-</v>
      </c>
      <c r="AF44" s="13" t="str">
        <f t="shared" si="27"/>
        <v>-</v>
      </c>
      <c r="AG44" s="31" t="str">
        <f t="shared" si="12"/>
        <v>-</v>
      </c>
      <c r="AH44" s="2" t="str">
        <f t="shared" si="28"/>
        <v/>
      </c>
      <c r="AI44" s="2" t="str">
        <f>IF(AH44="","",COUNT($AH$3:AH44))</f>
        <v/>
      </c>
      <c r="AJ44" s="60" t="str">
        <f t="shared" si="29"/>
        <v/>
      </c>
    </row>
    <row r="45" spans="1:36" ht="16.5">
      <c r="A45" s="6">
        <v>43</v>
      </c>
      <c r="B45" s="9">
        <f t="shared" si="13"/>
        <v>46065</v>
      </c>
      <c r="C45" s="7">
        <f t="shared" si="0"/>
        <v>2</v>
      </c>
      <c r="D45" s="7">
        <f t="shared" si="1"/>
        <v>12</v>
      </c>
      <c r="E45" s="15">
        <f t="shared" si="2"/>
        <v>5</v>
      </c>
      <c r="F45" s="8" t="str">
        <f t="shared" si="3"/>
        <v/>
      </c>
      <c r="G45" s="58"/>
      <c r="H45" s="12" t="s">
        <v>63</v>
      </c>
      <c r="I45" s="6" t="str">
        <f t="shared" si="4"/>
        <v>야간</v>
      </c>
      <c r="J45" s="6" t="str">
        <f t="shared" si="14"/>
        <v/>
      </c>
      <c r="K45" s="6" t="str">
        <f>IF(J45="","",COUNT($J$3:J45))</f>
        <v/>
      </c>
      <c r="L45" s="6" t="str">
        <f t="shared" si="15"/>
        <v/>
      </c>
      <c r="M45" s="6" t="str">
        <f t="shared" si="16"/>
        <v/>
      </c>
      <c r="N45" s="6" t="str">
        <f t="shared" si="17"/>
        <v/>
      </c>
      <c r="O45" s="6" t="str">
        <f t="shared" si="18"/>
        <v/>
      </c>
      <c r="P45" s="32" t="str">
        <f t="shared" si="5"/>
        <v/>
      </c>
      <c r="Q45" s="13" t="str">
        <f t="shared" si="30"/>
        <v>-</v>
      </c>
      <c r="R45" s="13" t="str">
        <f t="shared" si="31"/>
        <v>-</v>
      </c>
      <c r="S45" s="13" t="str">
        <f t="shared" si="32"/>
        <v>-</v>
      </c>
      <c r="T45" s="13" t="str">
        <f t="shared" si="33"/>
        <v>-</v>
      </c>
      <c r="U45" s="31" t="str">
        <f t="shared" si="10"/>
        <v>-</v>
      </c>
      <c r="V45" s="6">
        <f t="shared" si="19"/>
        <v>1</v>
      </c>
      <c r="W45" s="6">
        <f>IF(V45="","",COUNT($V$3:V45))</f>
        <v>15</v>
      </c>
      <c r="X45" s="6">
        <f t="shared" si="20"/>
        <v>1</v>
      </c>
      <c r="Y45" s="6">
        <f t="shared" si="21"/>
        <v>2</v>
      </c>
      <c r="Z45" s="6">
        <f t="shared" si="22"/>
        <v>3</v>
      </c>
      <c r="AA45" s="6">
        <f t="shared" si="23"/>
        <v>4</v>
      </c>
      <c r="AB45" s="32">
        <f t="shared" si="11"/>
        <v>0</v>
      </c>
      <c r="AC45" s="13" t="str">
        <f t="shared" si="24"/>
        <v>이기수</v>
      </c>
      <c r="AD45" s="13" t="str">
        <f t="shared" si="25"/>
        <v>박성현</v>
      </c>
      <c r="AE45" s="13" t="str">
        <f t="shared" si="26"/>
        <v>허지웅</v>
      </c>
      <c r="AF45" s="13" t="str">
        <f t="shared" si="27"/>
        <v>정윤준</v>
      </c>
      <c r="AG45" s="31" t="str">
        <f t="shared" si="12"/>
        <v>정윤준</v>
      </c>
      <c r="AH45" s="2">
        <f t="shared" si="28"/>
        <v>1</v>
      </c>
      <c r="AI45" s="2">
        <f>IF(AH45="","",COUNT($AH$3:AH45))</f>
        <v>4</v>
      </c>
      <c r="AJ45" s="60" t="str">
        <f t="shared" si="29"/>
        <v>허지웅</v>
      </c>
    </row>
    <row r="46" spans="1:36" ht="16.5">
      <c r="A46" s="6">
        <v>44</v>
      </c>
      <c r="B46" s="9">
        <f t="shared" si="13"/>
        <v>46066</v>
      </c>
      <c r="C46" s="7">
        <f t="shared" si="0"/>
        <v>2</v>
      </c>
      <c r="D46" s="7">
        <f t="shared" si="1"/>
        <v>13</v>
      </c>
      <c r="E46" s="15">
        <f t="shared" si="2"/>
        <v>6</v>
      </c>
      <c r="F46" s="8" t="str">
        <f t="shared" si="3"/>
        <v/>
      </c>
      <c r="G46" s="58"/>
      <c r="H46" s="12" t="s">
        <v>64</v>
      </c>
      <c r="I46" s="6" t="str">
        <f t="shared" si="4"/>
        <v>비번</v>
      </c>
      <c r="J46" s="6" t="str">
        <f t="shared" si="14"/>
        <v/>
      </c>
      <c r="K46" s="6" t="str">
        <f>IF(J46="","",COUNT($J$3:J46))</f>
        <v/>
      </c>
      <c r="L46" s="6" t="str">
        <f t="shared" si="15"/>
        <v/>
      </c>
      <c r="M46" s="6" t="str">
        <f t="shared" si="16"/>
        <v/>
      </c>
      <c r="N46" s="6" t="str">
        <f t="shared" si="17"/>
        <v/>
      </c>
      <c r="O46" s="6" t="str">
        <f t="shared" si="18"/>
        <v/>
      </c>
      <c r="P46" s="32" t="str">
        <f t="shared" si="5"/>
        <v/>
      </c>
      <c r="Q46" s="13" t="str">
        <f t="shared" si="30"/>
        <v>-</v>
      </c>
      <c r="R46" s="13" t="str">
        <f t="shared" si="31"/>
        <v>-</v>
      </c>
      <c r="S46" s="13" t="str">
        <f t="shared" si="32"/>
        <v>-</v>
      </c>
      <c r="T46" s="13" t="str">
        <f t="shared" si="33"/>
        <v>-</v>
      </c>
      <c r="U46" s="31" t="str">
        <f t="shared" si="10"/>
        <v>-</v>
      </c>
      <c r="V46" s="6" t="str">
        <f t="shared" si="19"/>
        <v/>
      </c>
      <c r="W46" s="6" t="str">
        <f>IF(V46="","",COUNT($V$3:V46))</f>
        <v/>
      </c>
      <c r="X46" s="6" t="str">
        <f t="shared" si="20"/>
        <v/>
      </c>
      <c r="Y46" s="6" t="str">
        <f t="shared" si="21"/>
        <v/>
      </c>
      <c r="Z46" s="6" t="str">
        <f t="shared" si="22"/>
        <v/>
      </c>
      <c r="AA46" s="6" t="str">
        <f t="shared" si="23"/>
        <v/>
      </c>
      <c r="AB46" s="32" t="str">
        <f t="shared" si="11"/>
        <v/>
      </c>
      <c r="AC46" s="13" t="str">
        <f t="shared" si="24"/>
        <v>-</v>
      </c>
      <c r="AD46" s="13" t="str">
        <f t="shared" si="25"/>
        <v>-</v>
      </c>
      <c r="AE46" s="13" t="str">
        <f t="shared" si="26"/>
        <v>-</v>
      </c>
      <c r="AF46" s="13" t="str">
        <f t="shared" si="27"/>
        <v>-</v>
      </c>
      <c r="AG46" s="31" t="str">
        <f t="shared" si="12"/>
        <v>-</v>
      </c>
      <c r="AH46" s="2" t="str">
        <f t="shared" si="28"/>
        <v/>
      </c>
      <c r="AI46" s="2" t="str">
        <f>IF(AH46="","",COUNT($AH$3:AH46))</f>
        <v/>
      </c>
      <c r="AJ46" s="60" t="str">
        <f t="shared" si="29"/>
        <v/>
      </c>
    </row>
    <row r="47" spans="1:36" ht="16.5">
      <c r="A47" s="6">
        <v>45</v>
      </c>
      <c r="B47" s="9">
        <f t="shared" si="13"/>
        <v>46067</v>
      </c>
      <c r="C47" s="7">
        <f t="shared" si="0"/>
        <v>2</v>
      </c>
      <c r="D47" s="7">
        <f t="shared" si="1"/>
        <v>14</v>
      </c>
      <c r="E47" s="15">
        <f t="shared" si="2"/>
        <v>7</v>
      </c>
      <c r="F47" s="8" t="str">
        <f t="shared" si="3"/>
        <v>휴</v>
      </c>
      <c r="G47" s="58"/>
      <c r="H47" s="12" t="s">
        <v>65</v>
      </c>
      <c r="I47" s="6" t="str">
        <f t="shared" si="4"/>
        <v>휴무</v>
      </c>
      <c r="J47" s="6" t="str">
        <f t="shared" si="14"/>
        <v/>
      </c>
      <c r="K47" s="6" t="str">
        <f>IF(J47="","",COUNT($J$3:J47))</f>
        <v/>
      </c>
      <c r="L47" s="6" t="str">
        <f t="shared" si="15"/>
        <v/>
      </c>
      <c r="M47" s="6" t="str">
        <f t="shared" si="16"/>
        <v/>
      </c>
      <c r="N47" s="6" t="str">
        <f t="shared" si="17"/>
        <v/>
      </c>
      <c r="O47" s="6" t="str">
        <f t="shared" si="18"/>
        <v/>
      </c>
      <c r="P47" s="32" t="str">
        <f t="shared" si="5"/>
        <v/>
      </c>
      <c r="Q47" s="13" t="str">
        <f t="shared" si="30"/>
        <v>-</v>
      </c>
      <c r="R47" s="13" t="str">
        <f t="shared" si="31"/>
        <v>-</v>
      </c>
      <c r="S47" s="13" t="str">
        <f t="shared" si="32"/>
        <v>-</v>
      </c>
      <c r="T47" s="13" t="str">
        <f t="shared" si="33"/>
        <v>-</v>
      </c>
      <c r="U47" s="31" t="str">
        <f t="shared" si="10"/>
        <v>-</v>
      </c>
      <c r="V47" s="6" t="str">
        <f t="shared" si="19"/>
        <v/>
      </c>
      <c r="W47" s="6" t="str">
        <f>IF(V47="","",COUNT($V$3:V47))</f>
        <v/>
      </c>
      <c r="X47" s="6" t="str">
        <f t="shared" si="20"/>
        <v/>
      </c>
      <c r="Y47" s="6" t="str">
        <f t="shared" si="21"/>
        <v/>
      </c>
      <c r="Z47" s="6" t="str">
        <f t="shared" si="22"/>
        <v/>
      </c>
      <c r="AA47" s="6" t="str">
        <f t="shared" si="23"/>
        <v/>
      </c>
      <c r="AB47" s="32" t="str">
        <f t="shared" si="11"/>
        <v/>
      </c>
      <c r="AC47" s="13" t="str">
        <f t="shared" si="24"/>
        <v>-</v>
      </c>
      <c r="AD47" s="13" t="str">
        <f t="shared" si="25"/>
        <v>-</v>
      </c>
      <c r="AE47" s="13" t="str">
        <f t="shared" si="26"/>
        <v>-</v>
      </c>
      <c r="AF47" s="13" t="str">
        <f t="shared" si="27"/>
        <v>-</v>
      </c>
      <c r="AG47" s="31" t="str">
        <f t="shared" si="12"/>
        <v>-</v>
      </c>
      <c r="AH47" s="2" t="str">
        <f t="shared" si="28"/>
        <v/>
      </c>
      <c r="AI47" s="2" t="str">
        <f>IF(AH47="","",COUNT($AH$3:AH47))</f>
        <v/>
      </c>
      <c r="AJ47" s="60" t="str">
        <f t="shared" si="29"/>
        <v/>
      </c>
    </row>
    <row r="48" spans="1:36" ht="16.5">
      <c r="A48" s="6">
        <v>46</v>
      </c>
      <c r="B48" s="9">
        <f t="shared" si="13"/>
        <v>46068</v>
      </c>
      <c r="C48" s="7">
        <f t="shared" si="0"/>
        <v>2</v>
      </c>
      <c r="D48" s="7">
        <f t="shared" si="1"/>
        <v>15</v>
      </c>
      <c r="E48" s="15">
        <f t="shared" si="2"/>
        <v>1</v>
      </c>
      <c r="F48" s="8" t="str">
        <f t="shared" si="3"/>
        <v>휴</v>
      </c>
      <c r="G48" s="58"/>
      <c r="H48" s="12" t="s">
        <v>63</v>
      </c>
      <c r="I48" s="6" t="str">
        <f t="shared" si="4"/>
        <v>당직</v>
      </c>
      <c r="J48" s="6" t="str">
        <f t="shared" si="14"/>
        <v/>
      </c>
      <c r="K48" s="6" t="str">
        <f>IF(J48="","",COUNT($J$3:J48))</f>
        <v/>
      </c>
      <c r="L48" s="6" t="str">
        <f t="shared" si="15"/>
        <v/>
      </c>
      <c r="M48" s="6" t="str">
        <f t="shared" si="16"/>
        <v/>
      </c>
      <c r="N48" s="6" t="str">
        <f t="shared" si="17"/>
        <v/>
      </c>
      <c r="O48" s="6" t="str">
        <f t="shared" si="18"/>
        <v/>
      </c>
      <c r="P48" s="32" t="str">
        <f t="shared" si="5"/>
        <v/>
      </c>
      <c r="Q48" s="13" t="str">
        <f t="shared" si="30"/>
        <v>-</v>
      </c>
      <c r="R48" s="13" t="str">
        <f t="shared" si="31"/>
        <v>-</v>
      </c>
      <c r="S48" s="13" t="str">
        <f t="shared" si="32"/>
        <v>-</v>
      </c>
      <c r="T48" s="13" t="str">
        <f t="shared" si="33"/>
        <v>-</v>
      </c>
      <c r="U48" s="31" t="str">
        <f t="shared" si="10"/>
        <v>-</v>
      </c>
      <c r="V48" s="6">
        <f t="shared" si="19"/>
        <v>1</v>
      </c>
      <c r="W48" s="6">
        <f>IF(V48="","",COUNT($V$3:V48))</f>
        <v>16</v>
      </c>
      <c r="X48" s="6">
        <f t="shared" si="20"/>
        <v>4</v>
      </c>
      <c r="Y48" s="6">
        <f t="shared" si="21"/>
        <v>1</v>
      </c>
      <c r="Z48" s="6">
        <f t="shared" si="22"/>
        <v>2</v>
      </c>
      <c r="AA48" s="6">
        <f t="shared" si="23"/>
        <v>3</v>
      </c>
      <c r="AB48" s="32">
        <f t="shared" si="11"/>
        <v>1</v>
      </c>
      <c r="AC48" s="13" t="str">
        <f t="shared" si="24"/>
        <v>정윤준</v>
      </c>
      <c r="AD48" s="13" t="str">
        <f t="shared" si="25"/>
        <v>이기수</v>
      </c>
      <c r="AE48" s="13" t="str">
        <f t="shared" si="26"/>
        <v>박성현</v>
      </c>
      <c r="AF48" s="13" t="str">
        <f t="shared" si="27"/>
        <v>허지웅</v>
      </c>
      <c r="AG48" s="31" t="str">
        <f t="shared" si="12"/>
        <v>허지웅</v>
      </c>
      <c r="AH48" s="2" t="str">
        <f t="shared" si="28"/>
        <v/>
      </c>
      <c r="AI48" s="2" t="str">
        <f>IF(AH48="","",COUNT($AH$3:AH48))</f>
        <v/>
      </c>
      <c r="AJ48" s="60" t="str">
        <f t="shared" si="29"/>
        <v/>
      </c>
    </row>
    <row r="49" spans="1:36" ht="16.5">
      <c r="A49" s="6">
        <v>47</v>
      </c>
      <c r="B49" s="9">
        <f t="shared" si="13"/>
        <v>46069</v>
      </c>
      <c r="C49" s="7">
        <f t="shared" si="0"/>
        <v>2</v>
      </c>
      <c r="D49" s="7">
        <f t="shared" si="1"/>
        <v>16</v>
      </c>
      <c r="E49" s="15">
        <f t="shared" si="2"/>
        <v>2</v>
      </c>
      <c r="F49" s="8" t="str">
        <f t="shared" si="3"/>
        <v>휴</v>
      </c>
      <c r="G49" s="58" t="s">
        <v>66</v>
      </c>
      <c r="H49" s="12" t="s">
        <v>64</v>
      </c>
      <c r="I49" s="6" t="str">
        <f t="shared" si="4"/>
        <v>비번</v>
      </c>
      <c r="J49" s="6" t="str">
        <f t="shared" si="14"/>
        <v/>
      </c>
      <c r="K49" s="6" t="str">
        <f>IF(J49="","",COUNT($J$3:J49))</f>
        <v/>
      </c>
      <c r="L49" s="6" t="str">
        <f t="shared" si="15"/>
        <v/>
      </c>
      <c r="M49" s="6" t="str">
        <f t="shared" si="16"/>
        <v/>
      </c>
      <c r="N49" s="6" t="str">
        <f t="shared" si="17"/>
        <v/>
      </c>
      <c r="O49" s="6" t="str">
        <f t="shared" si="18"/>
        <v/>
      </c>
      <c r="P49" s="32" t="str">
        <f t="shared" si="5"/>
        <v/>
      </c>
      <c r="Q49" s="13" t="str">
        <f t="shared" si="30"/>
        <v>-</v>
      </c>
      <c r="R49" s="13" t="str">
        <f t="shared" si="31"/>
        <v>-</v>
      </c>
      <c r="S49" s="13" t="str">
        <f t="shared" si="32"/>
        <v>-</v>
      </c>
      <c r="T49" s="13" t="str">
        <f t="shared" si="33"/>
        <v>-</v>
      </c>
      <c r="U49" s="31" t="str">
        <f t="shared" si="10"/>
        <v>-</v>
      </c>
      <c r="V49" s="6" t="str">
        <f t="shared" si="19"/>
        <v/>
      </c>
      <c r="W49" s="6" t="str">
        <f>IF(V49="","",COUNT($V$3:V49))</f>
        <v/>
      </c>
      <c r="X49" s="6" t="str">
        <f t="shared" si="20"/>
        <v/>
      </c>
      <c r="Y49" s="6" t="str">
        <f t="shared" si="21"/>
        <v/>
      </c>
      <c r="Z49" s="6" t="str">
        <f t="shared" si="22"/>
        <v/>
      </c>
      <c r="AA49" s="6" t="str">
        <f t="shared" si="23"/>
        <v/>
      </c>
      <c r="AB49" s="32" t="str">
        <f t="shared" si="11"/>
        <v/>
      </c>
      <c r="AC49" s="13" t="str">
        <f t="shared" si="24"/>
        <v>-</v>
      </c>
      <c r="AD49" s="13" t="str">
        <f t="shared" si="25"/>
        <v>-</v>
      </c>
      <c r="AE49" s="13" t="str">
        <f t="shared" si="26"/>
        <v>-</v>
      </c>
      <c r="AF49" s="13" t="str">
        <f t="shared" si="27"/>
        <v>-</v>
      </c>
      <c r="AG49" s="31" t="str">
        <f t="shared" si="12"/>
        <v>-</v>
      </c>
      <c r="AH49" s="2" t="str">
        <f t="shared" si="28"/>
        <v/>
      </c>
      <c r="AI49" s="2" t="str">
        <f>IF(AH49="","",COUNT($AH$3:AH49))</f>
        <v/>
      </c>
      <c r="AJ49" s="60" t="str">
        <f t="shared" si="29"/>
        <v/>
      </c>
    </row>
    <row r="50" spans="1:36" ht="16.5">
      <c r="A50" s="6">
        <v>48</v>
      </c>
      <c r="B50" s="9">
        <f t="shared" si="13"/>
        <v>46070</v>
      </c>
      <c r="C50" s="7">
        <f t="shared" si="0"/>
        <v>2</v>
      </c>
      <c r="D50" s="7">
        <f t="shared" si="1"/>
        <v>17</v>
      </c>
      <c r="E50" s="15">
        <f t="shared" si="2"/>
        <v>3</v>
      </c>
      <c r="F50" s="8" t="str">
        <f t="shared" si="3"/>
        <v>휴</v>
      </c>
      <c r="G50" s="58" t="s">
        <v>67</v>
      </c>
      <c r="H50" s="12" t="s">
        <v>65</v>
      </c>
      <c r="I50" s="6" t="str">
        <f t="shared" si="4"/>
        <v>휴무</v>
      </c>
      <c r="J50" s="6" t="str">
        <f t="shared" si="14"/>
        <v/>
      </c>
      <c r="K50" s="6" t="str">
        <f>IF(J50="","",COUNT($J$3:J50))</f>
        <v/>
      </c>
      <c r="L50" s="6" t="str">
        <f t="shared" si="15"/>
        <v/>
      </c>
      <c r="M50" s="6" t="str">
        <f t="shared" si="16"/>
        <v/>
      </c>
      <c r="N50" s="6" t="str">
        <f t="shared" si="17"/>
        <v/>
      </c>
      <c r="O50" s="6" t="str">
        <f t="shared" si="18"/>
        <v/>
      </c>
      <c r="P50" s="32" t="str">
        <f t="shared" si="5"/>
        <v/>
      </c>
      <c r="Q50" s="13" t="str">
        <f t="shared" si="30"/>
        <v>-</v>
      </c>
      <c r="R50" s="13" t="str">
        <f t="shared" si="31"/>
        <v>-</v>
      </c>
      <c r="S50" s="13" t="str">
        <f t="shared" si="32"/>
        <v>-</v>
      </c>
      <c r="T50" s="13" t="str">
        <f t="shared" si="33"/>
        <v>-</v>
      </c>
      <c r="U50" s="31" t="str">
        <f t="shared" si="10"/>
        <v>-</v>
      </c>
      <c r="V50" s="6" t="str">
        <f t="shared" si="19"/>
        <v/>
      </c>
      <c r="W50" s="6" t="str">
        <f>IF(V50="","",COUNT($V$3:V50))</f>
        <v/>
      </c>
      <c r="X50" s="6" t="str">
        <f t="shared" si="20"/>
        <v/>
      </c>
      <c r="Y50" s="6" t="str">
        <f t="shared" si="21"/>
        <v/>
      </c>
      <c r="Z50" s="6" t="str">
        <f t="shared" si="22"/>
        <v/>
      </c>
      <c r="AA50" s="6" t="str">
        <f t="shared" si="23"/>
        <v/>
      </c>
      <c r="AB50" s="32" t="str">
        <f t="shared" si="11"/>
        <v/>
      </c>
      <c r="AC50" s="13" t="str">
        <f t="shared" si="24"/>
        <v>-</v>
      </c>
      <c r="AD50" s="13" t="str">
        <f t="shared" si="25"/>
        <v>-</v>
      </c>
      <c r="AE50" s="13" t="str">
        <f t="shared" si="26"/>
        <v>-</v>
      </c>
      <c r="AF50" s="13" t="str">
        <f t="shared" si="27"/>
        <v>-</v>
      </c>
      <c r="AG50" s="31" t="str">
        <f t="shared" si="12"/>
        <v>-</v>
      </c>
      <c r="AH50" s="2" t="str">
        <f t="shared" si="28"/>
        <v/>
      </c>
      <c r="AI50" s="2" t="str">
        <f>IF(AH50="","",COUNT($AH$3:AH50))</f>
        <v/>
      </c>
      <c r="AJ50" s="60" t="str">
        <f t="shared" si="29"/>
        <v/>
      </c>
    </row>
    <row r="51" spans="1:36" ht="16.5">
      <c r="A51" s="6">
        <v>49</v>
      </c>
      <c r="B51" s="9">
        <f t="shared" si="13"/>
        <v>46071</v>
      </c>
      <c r="C51" s="7">
        <f t="shared" si="0"/>
        <v>2</v>
      </c>
      <c r="D51" s="7">
        <f t="shared" si="1"/>
        <v>18</v>
      </c>
      <c r="E51" s="15">
        <f t="shared" si="2"/>
        <v>4</v>
      </c>
      <c r="F51" s="8" t="str">
        <f t="shared" si="3"/>
        <v>휴</v>
      </c>
      <c r="G51" s="58" t="s">
        <v>66</v>
      </c>
      <c r="H51" s="12" t="s">
        <v>63</v>
      </c>
      <c r="I51" s="6" t="str">
        <f t="shared" si="4"/>
        <v>당직</v>
      </c>
      <c r="J51" s="6" t="str">
        <f t="shared" si="14"/>
        <v/>
      </c>
      <c r="K51" s="6" t="str">
        <f>IF(J51="","",COUNT($J$3:J51))</f>
        <v/>
      </c>
      <c r="L51" s="6" t="str">
        <f t="shared" si="15"/>
        <v/>
      </c>
      <c r="M51" s="6" t="str">
        <f t="shared" si="16"/>
        <v/>
      </c>
      <c r="N51" s="6" t="str">
        <f t="shared" si="17"/>
        <v/>
      </c>
      <c r="O51" s="6" t="str">
        <f t="shared" si="18"/>
        <v/>
      </c>
      <c r="P51" s="32" t="str">
        <f t="shared" si="5"/>
        <v/>
      </c>
      <c r="Q51" s="13" t="str">
        <f t="shared" si="30"/>
        <v>-</v>
      </c>
      <c r="R51" s="13" t="str">
        <f t="shared" si="31"/>
        <v>-</v>
      </c>
      <c r="S51" s="13" t="str">
        <f t="shared" si="32"/>
        <v>-</v>
      </c>
      <c r="T51" s="13" t="str">
        <f t="shared" si="33"/>
        <v>-</v>
      </c>
      <c r="U51" s="31" t="str">
        <f t="shared" si="10"/>
        <v>-</v>
      </c>
      <c r="V51" s="6">
        <f t="shared" si="19"/>
        <v>1</v>
      </c>
      <c r="W51" s="6">
        <f>IF(V51="","",COUNT($V$3:V51))</f>
        <v>17</v>
      </c>
      <c r="X51" s="6">
        <f t="shared" si="20"/>
        <v>3</v>
      </c>
      <c r="Y51" s="6">
        <f t="shared" si="21"/>
        <v>4</v>
      </c>
      <c r="Z51" s="6">
        <f t="shared" si="22"/>
        <v>1</v>
      </c>
      <c r="AA51" s="6">
        <f t="shared" si="23"/>
        <v>2</v>
      </c>
      <c r="AB51" s="32">
        <f t="shared" si="11"/>
        <v>2</v>
      </c>
      <c r="AC51" s="13" t="str">
        <f t="shared" si="24"/>
        <v>허지웅</v>
      </c>
      <c r="AD51" s="13" t="str">
        <f t="shared" si="25"/>
        <v>정윤준</v>
      </c>
      <c r="AE51" s="13" t="str">
        <f t="shared" si="26"/>
        <v>이기수</v>
      </c>
      <c r="AF51" s="13" t="str">
        <f t="shared" si="27"/>
        <v>박성현</v>
      </c>
      <c r="AG51" s="31" t="str">
        <f t="shared" si="12"/>
        <v>장혁진</v>
      </c>
      <c r="AH51" s="2" t="str">
        <f t="shared" si="28"/>
        <v/>
      </c>
      <c r="AI51" s="2" t="str">
        <f>IF(AH51="","",COUNT($AH$3:AH51))</f>
        <v/>
      </c>
      <c r="AJ51" s="60" t="str">
        <f t="shared" si="29"/>
        <v/>
      </c>
    </row>
    <row r="52" spans="1:36" ht="16.5">
      <c r="A52" s="6">
        <v>50</v>
      </c>
      <c r="B52" s="9">
        <f t="shared" si="13"/>
        <v>46072</v>
      </c>
      <c r="C52" s="7">
        <f t="shared" si="0"/>
        <v>2</v>
      </c>
      <c r="D52" s="7">
        <f t="shared" si="1"/>
        <v>19</v>
      </c>
      <c r="E52" s="15">
        <f t="shared" si="2"/>
        <v>5</v>
      </c>
      <c r="F52" s="8" t="str">
        <f t="shared" si="3"/>
        <v/>
      </c>
      <c r="G52" s="58"/>
      <c r="H52" s="12" t="s">
        <v>64</v>
      </c>
      <c r="I52" s="6" t="str">
        <f t="shared" si="4"/>
        <v>비번</v>
      </c>
      <c r="J52" s="6" t="str">
        <f t="shared" si="14"/>
        <v/>
      </c>
      <c r="K52" s="6" t="str">
        <f>IF(J52="","",COUNT($J$3:J52))</f>
        <v/>
      </c>
      <c r="L52" s="6" t="str">
        <f t="shared" si="15"/>
        <v/>
      </c>
      <c r="M52" s="6" t="str">
        <f t="shared" si="16"/>
        <v/>
      </c>
      <c r="N52" s="6" t="str">
        <f t="shared" si="17"/>
        <v/>
      </c>
      <c r="O52" s="6" t="str">
        <f t="shared" si="18"/>
        <v/>
      </c>
      <c r="P52" s="32" t="str">
        <f t="shared" si="5"/>
        <v/>
      </c>
      <c r="Q52" s="13" t="str">
        <f t="shared" si="30"/>
        <v>-</v>
      </c>
      <c r="R52" s="13" t="str">
        <f t="shared" si="31"/>
        <v>-</v>
      </c>
      <c r="S52" s="13" t="str">
        <f t="shared" si="32"/>
        <v>-</v>
      </c>
      <c r="T52" s="13" t="str">
        <f t="shared" si="33"/>
        <v>-</v>
      </c>
      <c r="U52" s="31" t="str">
        <f t="shared" si="10"/>
        <v>-</v>
      </c>
      <c r="V52" s="6" t="str">
        <f t="shared" si="19"/>
        <v/>
      </c>
      <c r="W52" s="6" t="str">
        <f>IF(V52="","",COUNT($V$3:V52))</f>
        <v/>
      </c>
      <c r="X52" s="6" t="str">
        <f t="shared" si="20"/>
        <v/>
      </c>
      <c r="Y52" s="6" t="str">
        <f t="shared" si="21"/>
        <v/>
      </c>
      <c r="Z52" s="6" t="str">
        <f t="shared" si="22"/>
        <v/>
      </c>
      <c r="AA52" s="6" t="str">
        <f t="shared" si="23"/>
        <v/>
      </c>
      <c r="AB52" s="32" t="str">
        <f t="shared" si="11"/>
        <v/>
      </c>
      <c r="AC52" s="13" t="str">
        <f t="shared" si="24"/>
        <v>-</v>
      </c>
      <c r="AD52" s="13" t="str">
        <f t="shared" si="25"/>
        <v>-</v>
      </c>
      <c r="AE52" s="13" t="str">
        <f t="shared" si="26"/>
        <v>-</v>
      </c>
      <c r="AF52" s="13" t="str">
        <f t="shared" si="27"/>
        <v>-</v>
      </c>
      <c r="AG52" s="31" t="str">
        <f t="shared" si="12"/>
        <v>-</v>
      </c>
      <c r="AH52" s="2" t="str">
        <f t="shared" si="28"/>
        <v/>
      </c>
      <c r="AI52" s="2" t="str">
        <f>IF(AH52="","",COUNT($AH$3:AH52))</f>
        <v/>
      </c>
      <c r="AJ52" s="60" t="str">
        <f t="shared" si="29"/>
        <v/>
      </c>
    </row>
    <row r="53" spans="1:36" ht="16.5">
      <c r="A53" s="6">
        <v>51</v>
      </c>
      <c r="B53" s="9">
        <f t="shared" si="13"/>
        <v>46073</v>
      </c>
      <c r="C53" s="7">
        <f t="shared" si="0"/>
        <v>2</v>
      </c>
      <c r="D53" s="7">
        <f t="shared" si="1"/>
        <v>20</v>
      </c>
      <c r="E53" s="15">
        <f t="shared" si="2"/>
        <v>6</v>
      </c>
      <c r="F53" s="8" t="str">
        <f t="shared" si="3"/>
        <v/>
      </c>
      <c r="G53" s="58"/>
      <c r="H53" s="12" t="s">
        <v>65</v>
      </c>
      <c r="I53" s="6" t="str">
        <f t="shared" si="4"/>
        <v>주간</v>
      </c>
      <c r="J53" s="6">
        <f t="shared" si="14"/>
        <v>1</v>
      </c>
      <c r="K53" s="6">
        <f>IF(J53="","",COUNT($J$3:J53))</f>
        <v>11</v>
      </c>
      <c r="L53" s="6">
        <f t="shared" si="15"/>
        <v>1</v>
      </c>
      <c r="M53" s="6">
        <f t="shared" si="16"/>
        <v>2</v>
      </c>
      <c r="N53" s="6">
        <f t="shared" si="17"/>
        <v>3</v>
      </c>
      <c r="O53" s="6">
        <f t="shared" si="18"/>
        <v>4</v>
      </c>
      <c r="P53" s="32">
        <f t="shared" si="5"/>
        <v>1</v>
      </c>
      <c r="Q53" s="13" t="str">
        <f t="shared" si="30"/>
        <v>이기수</v>
      </c>
      <c r="R53" s="13" t="str">
        <f t="shared" si="31"/>
        <v>박성현</v>
      </c>
      <c r="S53" s="13" t="str">
        <f t="shared" si="32"/>
        <v>허지웅</v>
      </c>
      <c r="T53" s="13" t="str">
        <f t="shared" si="33"/>
        <v>정윤준</v>
      </c>
      <c r="U53" s="31" t="str">
        <f t="shared" si="10"/>
        <v>이기수</v>
      </c>
      <c r="V53" s="6" t="str">
        <f t="shared" si="19"/>
        <v/>
      </c>
      <c r="W53" s="6" t="str">
        <f>IF(V53="","",COUNT($V$3:V53))</f>
        <v/>
      </c>
      <c r="X53" s="6" t="str">
        <f t="shared" si="20"/>
        <v/>
      </c>
      <c r="Y53" s="6" t="str">
        <f t="shared" si="21"/>
        <v/>
      </c>
      <c r="Z53" s="6" t="str">
        <f t="shared" si="22"/>
        <v/>
      </c>
      <c r="AA53" s="6" t="str">
        <f t="shared" si="23"/>
        <v/>
      </c>
      <c r="AB53" s="32" t="str">
        <f t="shared" si="11"/>
        <v/>
      </c>
      <c r="AC53" s="13" t="str">
        <f t="shared" si="24"/>
        <v>-</v>
      </c>
      <c r="AD53" s="13" t="str">
        <f t="shared" si="25"/>
        <v>-</v>
      </c>
      <c r="AE53" s="13" t="str">
        <f t="shared" si="26"/>
        <v>-</v>
      </c>
      <c r="AF53" s="13" t="str">
        <f t="shared" si="27"/>
        <v>-</v>
      </c>
      <c r="AG53" s="31" t="str">
        <f t="shared" si="12"/>
        <v>-</v>
      </c>
      <c r="AH53" s="2" t="str">
        <f t="shared" si="28"/>
        <v/>
      </c>
      <c r="AI53" s="2" t="str">
        <f>IF(AH53="","",COUNT($AH$3:AH53))</f>
        <v/>
      </c>
      <c r="AJ53" s="60" t="str">
        <f t="shared" si="29"/>
        <v/>
      </c>
    </row>
    <row r="54" spans="1:36" ht="16.5">
      <c r="A54" s="6">
        <v>52</v>
      </c>
      <c r="B54" s="9">
        <f t="shared" si="13"/>
        <v>46074</v>
      </c>
      <c r="C54" s="7">
        <f t="shared" si="0"/>
        <v>2</v>
      </c>
      <c r="D54" s="7">
        <f t="shared" si="1"/>
        <v>21</v>
      </c>
      <c r="E54" s="15">
        <f t="shared" si="2"/>
        <v>7</v>
      </c>
      <c r="F54" s="8" t="str">
        <f t="shared" si="3"/>
        <v>휴</v>
      </c>
      <c r="G54" s="58"/>
      <c r="H54" s="12" t="s">
        <v>63</v>
      </c>
      <c r="I54" s="6" t="str">
        <f t="shared" si="4"/>
        <v>당직</v>
      </c>
      <c r="J54" s="6" t="str">
        <f t="shared" si="14"/>
        <v/>
      </c>
      <c r="K54" s="6" t="str">
        <f>IF(J54="","",COUNT($J$3:J54))</f>
        <v/>
      </c>
      <c r="L54" s="6" t="str">
        <f t="shared" si="15"/>
        <v/>
      </c>
      <c r="M54" s="6" t="str">
        <f t="shared" si="16"/>
        <v/>
      </c>
      <c r="N54" s="6" t="str">
        <f t="shared" si="17"/>
        <v/>
      </c>
      <c r="O54" s="6" t="str">
        <f t="shared" si="18"/>
        <v/>
      </c>
      <c r="P54" s="32" t="str">
        <f t="shared" si="5"/>
        <v/>
      </c>
      <c r="Q54" s="13" t="str">
        <f t="shared" si="30"/>
        <v>-</v>
      </c>
      <c r="R54" s="13" t="str">
        <f t="shared" si="31"/>
        <v>-</v>
      </c>
      <c r="S54" s="13" t="str">
        <f t="shared" si="32"/>
        <v>-</v>
      </c>
      <c r="T54" s="13" t="str">
        <f t="shared" si="33"/>
        <v>-</v>
      </c>
      <c r="U54" s="31" t="str">
        <f t="shared" si="10"/>
        <v>-</v>
      </c>
      <c r="V54" s="6">
        <f t="shared" si="19"/>
        <v>1</v>
      </c>
      <c r="W54" s="6">
        <f>IF(V54="","",COUNT($V$3:V54))</f>
        <v>18</v>
      </c>
      <c r="X54" s="6">
        <f t="shared" si="20"/>
        <v>2</v>
      </c>
      <c r="Y54" s="6">
        <f t="shared" si="21"/>
        <v>3</v>
      </c>
      <c r="Z54" s="6">
        <f t="shared" si="22"/>
        <v>4</v>
      </c>
      <c r="AA54" s="6">
        <f t="shared" si="23"/>
        <v>1</v>
      </c>
      <c r="AB54" s="32">
        <f t="shared" si="11"/>
        <v>3</v>
      </c>
      <c r="AC54" s="13" t="str">
        <f t="shared" si="24"/>
        <v>박성현</v>
      </c>
      <c r="AD54" s="13" t="str">
        <f t="shared" si="25"/>
        <v>허지웅</v>
      </c>
      <c r="AE54" s="13" t="str">
        <f t="shared" si="26"/>
        <v>정윤준</v>
      </c>
      <c r="AF54" s="13" t="str">
        <f t="shared" si="27"/>
        <v>이기수</v>
      </c>
      <c r="AG54" s="31" t="str">
        <f t="shared" si="12"/>
        <v>이기수</v>
      </c>
      <c r="AH54" s="2" t="str">
        <f t="shared" si="28"/>
        <v/>
      </c>
      <c r="AI54" s="2" t="str">
        <f>IF(AH54="","",COUNT($AH$3:AH54))</f>
        <v/>
      </c>
      <c r="AJ54" s="60" t="str">
        <f t="shared" si="29"/>
        <v/>
      </c>
    </row>
    <row r="55" spans="1:36" ht="16.5">
      <c r="A55" s="6">
        <v>53</v>
      </c>
      <c r="B55" s="9">
        <f t="shared" si="13"/>
        <v>46075</v>
      </c>
      <c r="C55" s="7">
        <f t="shared" si="0"/>
        <v>2</v>
      </c>
      <c r="D55" s="7">
        <f t="shared" si="1"/>
        <v>22</v>
      </c>
      <c r="E55" s="15">
        <f t="shared" si="2"/>
        <v>1</v>
      </c>
      <c r="F55" s="8" t="str">
        <f t="shared" si="3"/>
        <v>휴</v>
      </c>
      <c r="G55" s="58"/>
      <c r="H55" s="12" t="s">
        <v>64</v>
      </c>
      <c r="I55" s="6" t="str">
        <f t="shared" si="4"/>
        <v>비번</v>
      </c>
      <c r="J55" s="6" t="str">
        <f t="shared" si="14"/>
        <v/>
      </c>
      <c r="K55" s="6" t="str">
        <f>IF(J55="","",COUNT($J$3:J55))</f>
        <v/>
      </c>
      <c r="L55" s="6" t="str">
        <f t="shared" si="15"/>
        <v/>
      </c>
      <c r="M55" s="6" t="str">
        <f t="shared" si="16"/>
        <v/>
      </c>
      <c r="N55" s="6" t="str">
        <f t="shared" si="17"/>
        <v/>
      </c>
      <c r="O55" s="6" t="str">
        <f t="shared" si="18"/>
        <v/>
      </c>
      <c r="P55" s="32" t="str">
        <f t="shared" si="5"/>
        <v/>
      </c>
      <c r="Q55" s="13" t="str">
        <f t="shared" si="30"/>
        <v>-</v>
      </c>
      <c r="R55" s="13" t="str">
        <f t="shared" si="31"/>
        <v>-</v>
      </c>
      <c r="S55" s="13" t="str">
        <f t="shared" si="32"/>
        <v>-</v>
      </c>
      <c r="T55" s="13" t="str">
        <f t="shared" si="33"/>
        <v>-</v>
      </c>
      <c r="U55" s="31" t="str">
        <f t="shared" si="10"/>
        <v>-</v>
      </c>
      <c r="V55" s="6" t="str">
        <f t="shared" si="19"/>
        <v/>
      </c>
      <c r="W55" s="6" t="str">
        <f>IF(V55="","",COUNT($V$3:V55))</f>
        <v/>
      </c>
      <c r="X55" s="6" t="str">
        <f t="shared" si="20"/>
        <v/>
      </c>
      <c r="Y55" s="6" t="str">
        <f t="shared" si="21"/>
        <v/>
      </c>
      <c r="Z55" s="6" t="str">
        <f t="shared" si="22"/>
        <v/>
      </c>
      <c r="AA55" s="6" t="str">
        <f t="shared" si="23"/>
        <v/>
      </c>
      <c r="AB55" s="32" t="str">
        <f t="shared" si="11"/>
        <v/>
      </c>
      <c r="AC55" s="13" t="str">
        <f t="shared" si="24"/>
        <v>-</v>
      </c>
      <c r="AD55" s="13" t="str">
        <f t="shared" si="25"/>
        <v>-</v>
      </c>
      <c r="AE55" s="13" t="str">
        <f t="shared" si="26"/>
        <v>-</v>
      </c>
      <c r="AF55" s="13" t="str">
        <f t="shared" si="27"/>
        <v>-</v>
      </c>
      <c r="AG55" s="31" t="str">
        <f t="shared" si="12"/>
        <v>-</v>
      </c>
      <c r="AH55" s="2" t="str">
        <f t="shared" si="28"/>
        <v/>
      </c>
      <c r="AI55" s="2" t="str">
        <f>IF(AH55="","",COUNT($AH$3:AH55))</f>
        <v/>
      </c>
      <c r="AJ55" s="60" t="str">
        <f t="shared" si="29"/>
        <v/>
      </c>
    </row>
    <row r="56" spans="1:36" ht="16.5">
      <c r="A56" s="6">
        <v>54</v>
      </c>
      <c r="B56" s="9">
        <f t="shared" si="13"/>
        <v>46076</v>
      </c>
      <c r="C56" s="7">
        <f t="shared" si="0"/>
        <v>2</v>
      </c>
      <c r="D56" s="7">
        <f t="shared" si="1"/>
        <v>23</v>
      </c>
      <c r="E56" s="15">
        <f t="shared" si="2"/>
        <v>2</v>
      </c>
      <c r="F56" s="8" t="str">
        <f t="shared" si="3"/>
        <v/>
      </c>
      <c r="G56" s="58"/>
      <c r="H56" s="12" t="s">
        <v>65</v>
      </c>
      <c r="I56" s="6" t="str">
        <f t="shared" si="4"/>
        <v>주간</v>
      </c>
      <c r="J56" s="6">
        <f t="shared" si="14"/>
        <v>1</v>
      </c>
      <c r="K56" s="6">
        <f>IF(J56="","",COUNT($J$3:J56))</f>
        <v>12</v>
      </c>
      <c r="L56" s="6">
        <f t="shared" si="15"/>
        <v>4</v>
      </c>
      <c r="M56" s="6">
        <f t="shared" si="16"/>
        <v>1</v>
      </c>
      <c r="N56" s="6">
        <f t="shared" si="17"/>
        <v>2</v>
      </c>
      <c r="O56" s="6">
        <f t="shared" si="18"/>
        <v>3</v>
      </c>
      <c r="P56" s="32">
        <f t="shared" si="5"/>
        <v>2</v>
      </c>
      <c r="Q56" s="13" t="str">
        <f t="shared" si="30"/>
        <v>정윤준</v>
      </c>
      <c r="R56" s="13" t="str">
        <f t="shared" si="31"/>
        <v>이기수</v>
      </c>
      <c r="S56" s="13" t="str">
        <f t="shared" si="32"/>
        <v>박성현</v>
      </c>
      <c r="T56" s="13" t="str">
        <f t="shared" si="33"/>
        <v>허지웅</v>
      </c>
      <c r="U56" s="31" t="str">
        <f t="shared" si="10"/>
        <v>정윤준</v>
      </c>
      <c r="V56" s="6" t="str">
        <f t="shared" si="19"/>
        <v/>
      </c>
      <c r="W56" s="6" t="str">
        <f>IF(V56="","",COUNT($V$3:V56))</f>
        <v/>
      </c>
      <c r="X56" s="6" t="str">
        <f t="shared" si="20"/>
        <v/>
      </c>
      <c r="Y56" s="6" t="str">
        <f t="shared" si="21"/>
        <v/>
      </c>
      <c r="Z56" s="6" t="str">
        <f t="shared" si="22"/>
        <v/>
      </c>
      <c r="AA56" s="6" t="str">
        <f t="shared" si="23"/>
        <v/>
      </c>
      <c r="AB56" s="32" t="str">
        <f t="shared" si="11"/>
        <v/>
      </c>
      <c r="AC56" s="13" t="str">
        <f t="shared" si="24"/>
        <v>-</v>
      </c>
      <c r="AD56" s="13" t="str">
        <f t="shared" si="25"/>
        <v>-</v>
      </c>
      <c r="AE56" s="13" t="str">
        <f t="shared" si="26"/>
        <v>-</v>
      </c>
      <c r="AF56" s="13" t="str">
        <f t="shared" si="27"/>
        <v>-</v>
      </c>
      <c r="AG56" s="31" t="str">
        <f t="shared" si="12"/>
        <v>-</v>
      </c>
      <c r="AH56" s="2" t="str">
        <f t="shared" si="28"/>
        <v/>
      </c>
      <c r="AI56" s="2" t="str">
        <f>IF(AH56="","",COUNT($AH$3:AH56))</f>
        <v/>
      </c>
      <c r="AJ56" s="60" t="str">
        <f t="shared" si="29"/>
        <v/>
      </c>
    </row>
    <row r="57" spans="1:36" ht="16.5">
      <c r="A57" s="6">
        <v>55</v>
      </c>
      <c r="B57" s="9">
        <f t="shared" si="13"/>
        <v>46077</v>
      </c>
      <c r="C57" s="7">
        <f t="shared" si="0"/>
        <v>2</v>
      </c>
      <c r="D57" s="7">
        <f t="shared" si="1"/>
        <v>24</v>
      </c>
      <c r="E57" s="15">
        <f t="shared" si="2"/>
        <v>3</v>
      </c>
      <c r="F57" s="8" t="str">
        <f t="shared" si="3"/>
        <v/>
      </c>
      <c r="G57" s="58"/>
      <c r="H57" s="12" t="s">
        <v>63</v>
      </c>
      <c r="I57" s="6" t="str">
        <f t="shared" si="4"/>
        <v>야간</v>
      </c>
      <c r="J57" s="6" t="str">
        <f t="shared" si="14"/>
        <v/>
      </c>
      <c r="K57" s="6" t="str">
        <f>IF(J57="","",COUNT($J$3:J57))</f>
        <v/>
      </c>
      <c r="L57" s="6" t="str">
        <f t="shared" si="15"/>
        <v/>
      </c>
      <c r="M57" s="6" t="str">
        <f t="shared" si="16"/>
        <v/>
      </c>
      <c r="N57" s="6" t="str">
        <f t="shared" si="17"/>
        <v/>
      </c>
      <c r="O57" s="6" t="str">
        <f t="shared" si="18"/>
        <v/>
      </c>
      <c r="P57" s="32" t="str">
        <f t="shared" si="5"/>
        <v/>
      </c>
      <c r="Q57" s="13" t="str">
        <f t="shared" si="30"/>
        <v>-</v>
      </c>
      <c r="R57" s="13" t="str">
        <f t="shared" si="31"/>
        <v>-</v>
      </c>
      <c r="S57" s="13" t="str">
        <f t="shared" si="32"/>
        <v>-</v>
      </c>
      <c r="T57" s="13" t="str">
        <f t="shared" si="33"/>
        <v>-</v>
      </c>
      <c r="U57" s="31" t="str">
        <f t="shared" si="10"/>
        <v>-</v>
      </c>
      <c r="V57" s="6">
        <f t="shared" si="19"/>
        <v>1</v>
      </c>
      <c r="W57" s="6">
        <f>IF(V57="","",COUNT($V$3:V57))</f>
        <v>19</v>
      </c>
      <c r="X57" s="6">
        <f t="shared" si="20"/>
        <v>1</v>
      </c>
      <c r="Y57" s="6">
        <f t="shared" si="21"/>
        <v>2</v>
      </c>
      <c r="Z57" s="6">
        <f t="shared" si="22"/>
        <v>3</v>
      </c>
      <c r="AA57" s="6">
        <f t="shared" si="23"/>
        <v>4</v>
      </c>
      <c r="AB57" s="32">
        <f t="shared" si="11"/>
        <v>4</v>
      </c>
      <c r="AC57" s="13" t="str">
        <f t="shared" si="24"/>
        <v>이기수</v>
      </c>
      <c r="AD57" s="13" t="str">
        <f t="shared" si="25"/>
        <v>박성현</v>
      </c>
      <c r="AE57" s="13" t="str">
        <f t="shared" si="26"/>
        <v>허지웅</v>
      </c>
      <c r="AF57" s="13" t="str">
        <f t="shared" si="27"/>
        <v>정윤준</v>
      </c>
      <c r="AG57" s="31" t="e">
        <f t="shared" si="12"/>
        <v>#VALUE!</v>
      </c>
      <c r="AH57" s="2">
        <f t="shared" si="28"/>
        <v>1</v>
      </c>
      <c r="AI57" s="2">
        <f>IF(AH57="","",COUNT($AH$3:AH57))</f>
        <v>5</v>
      </c>
      <c r="AJ57" s="60" t="str">
        <f t="shared" si="29"/>
        <v>정윤준</v>
      </c>
    </row>
    <row r="58" spans="1:36" ht="16.5">
      <c r="A58" s="6">
        <v>56</v>
      </c>
      <c r="B58" s="9">
        <f t="shared" si="13"/>
        <v>46078</v>
      </c>
      <c r="C58" s="7">
        <f t="shared" si="0"/>
        <v>2</v>
      </c>
      <c r="D58" s="7">
        <f t="shared" si="1"/>
        <v>25</v>
      </c>
      <c r="E58" s="15">
        <f t="shared" si="2"/>
        <v>4</v>
      </c>
      <c r="F58" s="8" t="str">
        <f t="shared" si="3"/>
        <v/>
      </c>
      <c r="G58" s="58"/>
      <c r="H58" s="12" t="s">
        <v>64</v>
      </c>
      <c r="I58" s="6" t="str">
        <f t="shared" si="4"/>
        <v>비번</v>
      </c>
      <c r="J58" s="6" t="str">
        <f t="shared" si="14"/>
        <v/>
      </c>
      <c r="K58" s="6" t="str">
        <f>IF(J58="","",COUNT($J$3:J58))</f>
        <v/>
      </c>
      <c r="L58" s="6" t="str">
        <f t="shared" si="15"/>
        <v/>
      </c>
      <c r="M58" s="6" t="str">
        <f t="shared" si="16"/>
        <v/>
      </c>
      <c r="N58" s="6" t="str">
        <f t="shared" si="17"/>
        <v/>
      </c>
      <c r="O58" s="6" t="str">
        <f t="shared" si="18"/>
        <v/>
      </c>
      <c r="P58" s="32" t="str">
        <f t="shared" si="5"/>
        <v/>
      </c>
      <c r="Q58" s="13" t="str">
        <f t="shared" si="30"/>
        <v>-</v>
      </c>
      <c r="R58" s="13" t="str">
        <f t="shared" si="31"/>
        <v>-</v>
      </c>
      <c r="S58" s="13" t="str">
        <f t="shared" si="32"/>
        <v>-</v>
      </c>
      <c r="T58" s="13" t="str">
        <f t="shared" si="33"/>
        <v>-</v>
      </c>
      <c r="U58" s="31" t="str">
        <f t="shared" si="10"/>
        <v>-</v>
      </c>
      <c r="V58" s="6" t="str">
        <f t="shared" si="19"/>
        <v/>
      </c>
      <c r="W58" s="6" t="str">
        <f>IF(V58="","",COUNT($V$3:V58))</f>
        <v/>
      </c>
      <c r="X58" s="6" t="str">
        <f t="shared" si="20"/>
        <v/>
      </c>
      <c r="Y58" s="6" t="str">
        <f t="shared" si="21"/>
        <v/>
      </c>
      <c r="Z58" s="6" t="str">
        <f t="shared" si="22"/>
        <v/>
      </c>
      <c r="AA58" s="6" t="str">
        <f t="shared" si="23"/>
        <v/>
      </c>
      <c r="AB58" s="32" t="str">
        <f t="shared" si="11"/>
        <v/>
      </c>
      <c r="AC58" s="13" t="str">
        <f t="shared" si="24"/>
        <v>-</v>
      </c>
      <c r="AD58" s="13" t="str">
        <f t="shared" si="25"/>
        <v>-</v>
      </c>
      <c r="AE58" s="13" t="str">
        <f t="shared" si="26"/>
        <v>-</v>
      </c>
      <c r="AF58" s="13" t="str">
        <f t="shared" si="27"/>
        <v>-</v>
      </c>
      <c r="AG58" s="31" t="str">
        <f t="shared" si="12"/>
        <v>-</v>
      </c>
      <c r="AH58" s="2" t="str">
        <f t="shared" si="28"/>
        <v/>
      </c>
      <c r="AI58" s="2" t="str">
        <f>IF(AH58="","",COUNT($AH$3:AH58))</f>
        <v/>
      </c>
      <c r="AJ58" s="60" t="str">
        <f t="shared" si="29"/>
        <v/>
      </c>
    </row>
    <row r="59" spans="1:36" ht="16.5">
      <c r="A59" s="6">
        <v>57</v>
      </c>
      <c r="B59" s="9">
        <f t="shared" si="13"/>
        <v>46079</v>
      </c>
      <c r="C59" s="7">
        <f t="shared" si="0"/>
        <v>2</v>
      </c>
      <c r="D59" s="7">
        <f t="shared" si="1"/>
        <v>26</v>
      </c>
      <c r="E59" s="15">
        <f t="shared" si="2"/>
        <v>5</v>
      </c>
      <c r="F59" s="8" t="str">
        <f t="shared" si="3"/>
        <v/>
      </c>
      <c r="G59" s="58"/>
      <c r="H59" s="12" t="s">
        <v>65</v>
      </c>
      <c r="I59" s="6" t="str">
        <f t="shared" si="4"/>
        <v>주간</v>
      </c>
      <c r="J59" s="6">
        <f t="shared" si="14"/>
        <v>1</v>
      </c>
      <c r="K59" s="6">
        <f>IF(J59="","",COUNT($J$3:J59))</f>
        <v>13</v>
      </c>
      <c r="L59" s="6">
        <f t="shared" si="15"/>
        <v>3</v>
      </c>
      <c r="M59" s="6">
        <f t="shared" si="16"/>
        <v>4</v>
      </c>
      <c r="N59" s="6">
        <f t="shared" si="17"/>
        <v>1</v>
      </c>
      <c r="O59" s="6">
        <f t="shared" si="18"/>
        <v>2</v>
      </c>
      <c r="P59" s="32">
        <f t="shared" si="5"/>
        <v>3</v>
      </c>
      <c r="Q59" s="13" t="str">
        <f t="shared" si="30"/>
        <v>허지웅</v>
      </c>
      <c r="R59" s="13" t="str">
        <f t="shared" si="31"/>
        <v>정윤준</v>
      </c>
      <c r="S59" s="13" t="str">
        <f t="shared" si="32"/>
        <v>이기수</v>
      </c>
      <c r="T59" s="13" t="str">
        <f t="shared" si="33"/>
        <v>박성현</v>
      </c>
      <c r="U59" s="31" t="str">
        <f t="shared" si="10"/>
        <v>허지웅</v>
      </c>
      <c r="V59" s="6" t="str">
        <f t="shared" si="19"/>
        <v/>
      </c>
      <c r="W59" s="6" t="str">
        <f>IF(V59="","",COUNT($V$3:V59))</f>
        <v/>
      </c>
      <c r="X59" s="6" t="str">
        <f t="shared" si="20"/>
        <v/>
      </c>
      <c r="Y59" s="6" t="str">
        <f t="shared" si="21"/>
        <v/>
      </c>
      <c r="Z59" s="6" t="str">
        <f t="shared" si="22"/>
        <v/>
      </c>
      <c r="AA59" s="6" t="str">
        <f t="shared" si="23"/>
        <v/>
      </c>
      <c r="AB59" s="32" t="str">
        <f t="shared" si="11"/>
        <v/>
      </c>
      <c r="AC59" s="13" t="str">
        <f t="shared" si="24"/>
        <v>-</v>
      </c>
      <c r="AD59" s="13" t="str">
        <f t="shared" si="25"/>
        <v>-</v>
      </c>
      <c r="AE59" s="13" t="str">
        <f t="shared" si="26"/>
        <v>-</v>
      </c>
      <c r="AF59" s="13" t="str">
        <f t="shared" si="27"/>
        <v>-</v>
      </c>
      <c r="AG59" s="31" t="str">
        <f t="shared" si="12"/>
        <v>-</v>
      </c>
      <c r="AH59" s="2" t="str">
        <f t="shared" si="28"/>
        <v/>
      </c>
      <c r="AI59" s="2" t="str">
        <f>IF(AH59="","",COUNT($AH$3:AH59))</f>
        <v/>
      </c>
      <c r="AJ59" s="60" t="str">
        <f t="shared" si="29"/>
        <v/>
      </c>
    </row>
    <row r="60" spans="1:36" ht="16.5">
      <c r="A60" s="6">
        <v>58</v>
      </c>
      <c r="B60" s="9">
        <f t="shared" si="13"/>
        <v>46080</v>
      </c>
      <c r="C60" s="7">
        <f t="shared" si="0"/>
        <v>2</v>
      </c>
      <c r="D60" s="7">
        <f t="shared" si="1"/>
        <v>27</v>
      </c>
      <c r="E60" s="15">
        <f t="shared" si="2"/>
        <v>6</v>
      </c>
      <c r="F60" s="8" t="str">
        <f t="shared" si="3"/>
        <v/>
      </c>
      <c r="G60" s="58"/>
      <c r="H60" s="12" t="s">
        <v>63</v>
      </c>
      <c r="I60" s="6" t="str">
        <f t="shared" si="4"/>
        <v>야간</v>
      </c>
      <c r="J60" s="6" t="str">
        <f t="shared" si="14"/>
        <v/>
      </c>
      <c r="K60" s="6" t="str">
        <f>IF(J60="","",COUNT($J$3:J60))</f>
        <v/>
      </c>
      <c r="L60" s="6" t="str">
        <f t="shared" si="15"/>
        <v/>
      </c>
      <c r="M60" s="6" t="str">
        <f t="shared" si="16"/>
        <v/>
      </c>
      <c r="N60" s="6" t="str">
        <f t="shared" si="17"/>
        <v/>
      </c>
      <c r="O60" s="6" t="str">
        <f t="shared" si="18"/>
        <v/>
      </c>
      <c r="P60" s="32" t="str">
        <f t="shared" si="5"/>
        <v/>
      </c>
      <c r="Q60" s="13" t="str">
        <f t="shared" si="30"/>
        <v>-</v>
      </c>
      <c r="R60" s="13" t="str">
        <f t="shared" si="31"/>
        <v>-</v>
      </c>
      <c r="S60" s="13" t="str">
        <f t="shared" si="32"/>
        <v>-</v>
      </c>
      <c r="T60" s="13" t="str">
        <f t="shared" si="33"/>
        <v>-</v>
      </c>
      <c r="U60" s="31" t="str">
        <f t="shared" si="10"/>
        <v>-</v>
      </c>
      <c r="V60" s="6">
        <f t="shared" si="19"/>
        <v>1</v>
      </c>
      <c r="W60" s="6">
        <f>IF(V60="","",COUNT($V$3:V60))</f>
        <v>20</v>
      </c>
      <c r="X60" s="6">
        <f t="shared" si="20"/>
        <v>4</v>
      </c>
      <c r="Y60" s="6">
        <f t="shared" si="21"/>
        <v>1</v>
      </c>
      <c r="Z60" s="6">
        <f t="shared" si="22"/>
        <v>2</v>
      </c>
      <c r="AA60" s="6">
        <f t="shared" si="23"/>
        <v>3</v>
      </c>
      <c r="AB60" s="32">
        <f t="shared" si="11"/>
        <v>0</v>
      </c>
      <c r="AC60" s="13" t="str">
        <f t="shared" si="24"/>
        <v>정윤준</v>
      </c>
      <c r="AD60" s="13" t="str">
        <f t="shared" si="25"/>
        <v>이기수</v>
      </c>
      <c r="AE60" s="13" t="str">
        <f t="shared" si="26"/>
        <v>박성현</v>
      </c>
      <c r="AF60" s="13" t="str">
        <f t="shared" si="27"/>
        <v>허지웅</v>
      </c>
      <c r="AG60" s="31" t="str">
        <f t="shared" si="12"/>
        <v>정윤준</v>
      </c>
      <c r="AH60" s="2" t="str">
        <f t="shared" si="28"/>
        <v/>
      </c>
      <c r="AI60" s="2" t="str">
        <f>IF(AH60="","",COUNT($AH$3:AH60))</f>
        <v/>
      </c>
      <c r="AJ60" s="60" t="str">
        <f t="shared" si="29"/>
        <v/>
      </c>
    </row>
    <row r="61" spans="1:36" ht="16.5">
      <c r="A61" s="6">
        <v>59</v>
      </c>
      <c r="B61" s="9">
        <f t="shared" si="13"/>
        <v>46081</v>
      </c>
      <c r="C61" s="7">
        <f t="shared" si="0"/>
        <v>2</v>
      </c>
      <c r="D61" s="7">
        <f t="shared" si="1"/>
        <v>28</v>
      </c>
      <c r="E61" s="15">
        <f t="shared" si="2"/>
        <v>7</v>
      </c>
      <c r="F61" s="8" t="str">
        <f t="shared" si="3"/>
        <v>휴</v>
      </c>
      <c r="G61" s="58"/>
      <c r="H61" s="12" t="s">
        <v>64</v>
      </c>
      <c r="I61" s="6" t="str">
        <f t="shared" si="4"/>
        <v>비번</v>
      </c>
      <c r="J61" s="6" t="str">
        <f t="shared" si="14"/>
        <v/>
      </c>
      <c r="K61" s="6" t="str">
        <f>IF(J61="","",COUNT($J$3:J61))</f>
        <v/>
      </c>
      <c r="L61" s="6" t="str">
        <f t="shared" si="15"/>
        <v/>
      </c>
      <c r="M61" s="6" t="str">
        <f t="shared" si="16"/>
        <v/>
      </c>
      <c r="N61" s="6" t="str">
        <f t="shared" si="17"/>
        <v/>
      </c>
      <c r="O61" s="6" t="str">
        <f t="shared" si="18"/>
        <v/>
      </c>
      <c r="P61" s="32" t="str">
        <f t="shared" si="5"/>
        <v/>
      </c>
      <c r="Q61" s="13" t="str">
        <f t="shared" si="30"/>
        <v>-</v>
      </c>
      <c r="R61" s="13" t="str">
        <f t="shared" si="31"/>
        <v>-</v>
      </c>
      <c r="S61" s="13" t="str">
        <f t="shared" si="32"/>
        <v>-</v>
      </c>
      <c r="T61" s="13" t="str">
        <f t="shared" si="33"/>
        <v>-</v>
      </c>
      <c r="U61" s="31" t="str">
        <f t="shared" si="10"/>
        <v>-</v>
      </c>
      <c r="V61" s="6" t="str">
        <f t="shared" si="19"/>
        <v/>
      </c>
      <c r="W61" s="6" t="str">
        <f>IF(V61="","",COUNT($V$3:V61))</f>
        <v/>
      </c>
      <c r="X61" s="6" t="str">
        <f t="shared" si="20"/>
        <v/>
      </c>
      <c r="Y61" s="6" t="str">
        <f t="shared" si="21"/>
        <v/>
      </c>
      <c r="Z61" s="6" t="str">
        <f t="shared" si="22"/>
        <v/>
      </c>
      <c r="AA61" s="6" t="str">
        <f t="shared" si="23"/>
        <v/>
      </c>
      <c r="AB61" s="32" t="str">
        <f t="shared" si="11"/>
        <v/>
      </c>
      <c r="AC61" s="13" t="str">
        <f t="shared" si="24"/>
        <v>-</v>
      </c>
      <c r="AD61" s="13" t="str">
        <f t="shared" si="25"/>
        <v>-</v>
      </c>
      <c r="AE61" s="13" t="str">
        <f t="shared" si="26"/>
        <v>-</v>
      </c>
      <c r="AF61" s="13" t="str">
        <f t="shared" si="27"/>
        <v>-</v>
      </c>
      <c r="AG61" s="31" t="str">
        <f t="shared" si="12"/>
        <v>-</v>
      </c>
      <c r="AH61" s="2" t="str">
        <f t="shared" si="28"/>
        <v/>
      </c>
      <c r="AI61" s="2" t="str">
        <f>IF(AH61="","",COUNT($AH$3:AH61))</f>
        <v/>
      </c>
      <c r="AJ61" s="60" t="str">
        <f t="shared" si="29"/>
        <v/>
      </c>
    </row>
    <row r="62" spans="1:36" ht="16.5">
      <c r="A62" s="6">
        <v>60</v>
      </c>
      <c r="B62" s="9">
        <f t="shared" si="13"/>
        <v>46082</v>
      </c>
      <c r="C62" s="7">
        <f t="shared" si="0"/>
        <v>3</v>
      </c>
      <c r="D62" s="7">
        <f t="shared" si="1"/>
        <v>1</v>
      </c>
      <c r="E62" s="15">
        <f t="shared" si="2"/>
        <v>1</v>
      </c>
      <c r="F62" s="8" t="str">
        <f t="shared" si="3"/>
        <v>휴</v>
      </c>
      <c r="G62" s="58"/>
      <c r="H62" s="12" t="s">
        <v>65</v>
      </c>
      <c r="I62" s="6" t="str">
        <f t="shared" si="4"/>
        <v>휴무</v>
      </c>
      <c r="J62" s="6" t="str">
        <f t="shared" si="14"/>
        <v/>
      </c>
      <c r="K62" s="6" t="str">
        <f>IF(J62="","",COUNT($J$3:J62))</f>
        <v/>
      </c>
      <c r="L62" s="6" t="str">
        <f t="shared" si="15"/>
        <v/>
      </c>
      <c r="M62" s="6" t="str">
        <f t="shared" si="16"/>
        <v/>
      </c>
      <c r="N62" s="6" t="str">
        <f t="shared" si="17"/>
        <v/>
      </c>
      <c r="O62" s="6" t="str">
        <f t="shared" si="18"/>
        <v/>
      </c>
      <c r="P62" s="32" t="str">
        <f t="shared" si="5"/>
        <v/>
      </c>
      <c r="Q62" s="13" t="str">
        <f t="shared" si="30"/>
        <v>-</v>
      </c>
      <c r="R62" s="13" t="str">
        <f t="shared" si="31"/>
        <v>-</v>
      </c>
      <c r="S62" s="13" t="str">
        <f t="shared" si="32"/>
        <v>-</v>
      </c>
      <c r="T62" s="13" t="str">
        <f t="shared" si="33"/>
        <v>-</v>
      </c>
      <c r="U62" s="31" t="str">
        <f t="shared" si="10"/>
        <v>-</v>
      </c>
      <c r="V62" s="6" t="str">
        <f t="shared" si="19"/>
        <v/>
      </c>
      <c r="W62" s="6" t="str">
        <f>IF(V62="","",COUNT($V$3:V62))</f>
        <v/>
      </c>
      <c r="X62" s="6" t="str">
        <f t="shared" si="20"/>
        <v/>
      </c>
      <c r="Y62" s="6" t="str">
        <f t="shared" si="21"/>
        <v/>
      </c>
      <c r="Z62" s="6" t="str">
        <f t="shared" si="22"/>
        <v/>
      </c>
      <c r="AA62" s="6" t="str">
        <f t="shared" si="23"/>
        <v/>
      </c>
      <c r="AB62" s="32" t="str">
        <f t="shared" si="11"/>
        <v/>
      </c>
      <c r="AC62" s="13" t="str">
        <f t="shared" si="24"/>
        <v>-</v>
      </c>
      <c r="AD62" s="13" t="str">
        <f t="shared" si="25"/>
        <v>-</v>
      </c>
      <c r="AE62" s="13" t="str">
        <f t="shared" si="26"/>
        <v>-</v>
      </c>
      <c r="AF62" s="13" t="str">
        <f t="shared" si="27"/>
        <v>-</v>
      </c>
      <c r="AG62" s="31" t="str">
        <f t="shared" si="12"/>
        <v>-</v>
      </c>
      <c r="AH62" s="2" t="str">
        <f t="shared" si="28"/>
        <v/>
      </c>
      <c r="AI62" s="2" t="str">
        <f>IF(AH62="","",COUNT($AH$3:AH62))</f>
        <v/>
      </c>
      <c r="AJ62" s="60" t="str">
        <f t="shared" si="29"/>
        <v/>
      </c>
    </row>
    <row r="63" spans="1:36" ht="16.5">
      <c r="A63" s="6">
        <v>61</v>
      </c>
      <c r="B63" s="9">
        <f t="shared" si="13"/>
        <v>46083</v>
      </c>
      <c r="C63" s="7">
        <f t="shared" si="0"/>
        <v>3</v>
      </c>
      <c r="D63" s="7">
        <f t="shared" si="1"/>
        <v>2</v>
      </c>
      <c r="E63" s="15">
        <f t="shared" si="2"/>
        <v>2</v>
      </c>
      <c r="F63" s="8" t="str">
        <f t="shared" si="3"/>
        <v>휴</v>
      </c>
      <c r="G63" s="58" t="s">
        <v>68</v>
      </c>
      <c r="H63" s="12" t="s">
        <v>63</v>
      </c>
      <c r="I63" s="6" t="str">
        <f t="shared" si="4"/>
        <v>당직</v>
      </c>
      <c r="J63" s="6" t="str">
        <f t="shared" si="14"/>
        <v/>
      </c>
      <c r="K63" s="6" t="str">
        <f>IF(J63="","",COUNT($J$3:J63))</f>
        <v/>
      </c>
      <c r="L63" s="6" t="str">
        <f t="shared" si="15"/>
        <v/>
      </c>
      <c r="M63" s="6" t="str">
        <f t="shared" si="16"/>
        <v/>
      </c>
      <c r="N63" s="6" t="str">
        <f t="shared" si="17"/>
        <v/>
      </c>
      <c r="O63" s="6" t="str">
        <f t="shared" si="18"/>
        <v/>
      </c>
      <c r="P63" s="32" t="str">
        <f t="shared" si="5"/>
        <v/>
      </c>
      <c r="Q63" s="13" t="str">
        <f t="shared" si="30"/>
        <v>-</v>
      </c>
      <c r="R63" s="13" t="str">
        <f t="shared" si="31"/>
        <v>-</v>
      </c>
      <c r="S63" s="13" t="str">
        <f t="shared" si="32"/>
        <v>-</v>
      </c>
      <c r="T63" s="13" t="str">
        <f t="shared" si="33"/>
        <v>-</v>
      </c>
      <c r="U63" s="31" t="str">
        <f t="shared" si="10"/>
        <v>-</v>
      </c>
      <c r="V63" s="6">
        <f t="shared" si="19"/>
        <v>1</v>
      </c>
      <c r="W63" s="6">
        <f>IF(V63="","",COUNT($V$3:V63))</f>
        <v>21</v>
      </c>
      <c r="X63" s="6">
        <f t="shared" si="20"/>
        <v>3</v>
      </c>
      <c r="Y63" s="6">
        <f t="shared" si="21"/>
        <v>4</v>
      </c>
      <c r="Z63" s="6">
        <f t="shared" si="22"/>
        <v>1</v>
      </c>
      <c r="AA63" s="6">
        <f t="shared" si="23"/>
        <v>2</v>
      </c>
      <c r="AB63" s="32">
        <f t="shared" si="11"/>
        <v>1</v>
      </c>
      <c r="AC63" s="13" t="str">
        <f t="shared" si="24"/>
        <v>허지웅</v>
      </c>
      <c r="AD63" s="13" t="str">
        <f t="shared" si="25"/>
        <v>정윤준</v>
      </c>
      <c r="AE63" s="13" t="str">
        <f t="shared" si="26"/>
        <v>이기수</v>
      </c>
      <c r="AF63" s="13" t="str">
        <f t="shared" si="27"/>
        <v>박성현</v>
      </c>
      <c r="AG63" s="31" t="str">
        <f t="shared" si="12"/>
        <v>허지웅</v>
      </c>
      <c r="AH63" s="2" t="str">
        <f t="shared" si="28"/>
        <v/>
      </c>
      <c r="AI63" s="2" t="str">
        <f>IF(AH63="","",COUNT($AH$3:AH63))</f>
        <v/>
      </c>
      <c r="AJ63" s="60" t="str">
        <f t="shared" si="29"/>
        <v/>
      </c>
    </row>
    <row r="64" spans="1:36" ht="16.5">
      <c r="A64" s="6">
        <v>62</v>
      </c>
      <c r="B64" s="9">
        <f t="shared" si="13"/>
        <v>46084</v>
      </c>
      <c r="C64" s="7">
        <f t="shared" si="0"/>
        <v>3</v>
      </c>
      <c r="D64" s="7">
        <f t="shared" si="1"/>
        <v>3</v>
      </c>
      <c r="E64" s="15">
        <f t="shared" si="2"/>
        <v>3</v>
      </c>
      <c r="F64" s="8" t="str">
        <f t="shared" si="3"/>
        <v/>
      </c>
      <c r="G64" s="58"/>
      <c r="H64" s="12" t="s">
        <v>64</v>
      </c>
      <c r="I64" s="6" t="str">
        <f t="shared" si="4"/>
        <v>비번</v>
      </c>
      <c r="J64" s="6" t="str">
        <f t="shared" si="14"/>
        <v/>
      </c>
      <c r="K64" s="6" t="str">
        <f>IF(J64="","",COUNT($J$3:J64))</f>
        <v/>
      </c>
      <c r="L64" s="6" t="str">
        <f t="shared" si="15"/>
        <v/>
      </c>
      <c r="M64" s="6" t="str">
        <f t="shared" si="16"/>
        <v/>
      </c>
      <c r="N64" s="6" t="str">
        <f t="shared" si="17"/>
        <v/>
      </c>
      <c r="O64" s="6" t="str">
        <f t="shared" si="18"/>
        <v/>
      </c>
      <c r="P64" s="32" t="str">
        <f t="shared" si="5"/>
        <v/>
      </c>
      <c r="Q64" s="13" t="str">
        <f t="shared" si="30"/>
        <v>-</v>
      </c>
      <c r="R64" s="13" t="str">
        <f t="shared" si="31"/>
        <v>-</v>
      </c>
      <c r="S64" s="13" t="str">
        <f t="shared" si="32"/>
        <v>-</v>
      </c>
      <c r="T64" s="13" t="str">
        <f t="shared" si="33"/>
        <v>-</v>
      </c>
      <c r="U64" s="31" t="str">
        <f t="shared" si="10"/>
        <v>-</v>
      </c>
      <c r="V64" s="6" t="str">
        <f t="shared" si="19"/>
        <v/>
      </c>
      <c r="W64" s="6" t="str">
        <f>IF(V64="","",COUNT($V$3:V64))</f>
        <v/>
      </c>
      <c r="X64" s="6" t="str">
        <f t="shared" si="20"/>
        <v/>
      </c>
      <c r="Y64" s="6" t="str">
        <f t="shared" si="21"/>
        <v/>
      </c>
      <c r="Z64" s="6" t="str">
        <f t="shared" si="22"/>
        <v/>
      </c>
      <c r="AA64" s="6" t="str">
        <f t="shared" si="23"/>
        <v/>
      </c>
      <c r="AB64" s="32" t="str">
        <f t="shared" si="11"/>
        <v/>
      </c>
      <c r="AC64" s="13" t="str">
        <f t="shared" si="24"/>
        <v>-</v>
      </c>
      <c r="AD64" s="13" t="str">
        <f t="shared" si="25"/>
        <v>-</v>
      </c>
      <c r="AE64" s="13" t="str">
        <f t="shared" si="26"/>
        <v>-</v>
      </c>
      <c r="AF64" s="13" t="str">
        <f t="shared" si="27"/>
        <v>-</v>
      </c>
      <c r="AG64" s="31" t="str">
        <f t="shared" si="12"/>
        <v>-</v>
      </c>
      <c r="AH64" s="2" t="str">
        <f t="shared" si="28"/>
        <v/>
      </c>
      <c r="AI64" s="2" t="str">
        <f>IF(AH64="","",COUNT($AH$3:AH64))</f>
        <v/>
      </c>
      <c r="AJ64" s="60" t="str">
        <f t="shared" si="29"/>
        <v/>
      </c>
    </row>
    <row r="65" spans="1:36" ht="16.5">
      <c r="A65" s="6">
        <v>63</v>
      </c>
      <c r="B65" s="9">
        <f t="shared" si="13"/>
        <v>46085</v>
      </c>
      <c r="C65" s="7">
        <f t="shared" si="0"/>
        <v>3</v>
      </c>
      <c r="D65" s="7">
        <f t="shared" si="1"/>
        <v>4</v>
      </c>
      <c r="E65" s="15">
        <f t="shared" si="2"/>
        <v>4</v>
      </c>
      <c r="F65" s="8" t="str">
        <f t="shared" si="3"/>
        <v/>
      </c>
      <c r="G65" s="58"/>
      <c r="H65" s="12" t="s">
        <v>65</v>
      </c>
      <c r="I65" s="6" t="str">
        <f t="shared" si="4"/>
        <v>주간</v>
      </c>
      <c r="J65" s="6">
        <f t="shared" si="14"/>
        <v>1</v>
      </c>
      <c r="K65" s="6">
        <f>IF(J65="","",COUNT($J$3:J65))</f>
        <v>14</v>
      </c>
      <c r="L65" s="6">
        <f t="shared" si="15"/>
        <v>2</v>
      </c>
      <c r="M65" s="6">
        <f t="shared" si="16"/>
        <v>3</v>
      </c>
      <c r="N65" s="6">
        <f t="shared" si="17"/>
        <v>4</v>
      </c>
      <c r="O65" s="6">
        <f t="shared" si="18"/>
        <v>1</v>
      </c>
      <c r="P65" s="32">
        <f t="shared" si="5"/>
        <v>4</v>
      </c>
      <c r="Q65" s="13" t="str">
        <f t="shared" si="30"/>
        <v>박성현</v>
      </c>
      <c r="R65" s="13" t="str">
        <f t="shared" si="31"/>
        <v>허지웅</v>
      </c>
      <c r="S65" s="13" t="str">
        <f t="shared" si="32"/>
        <v>정윤준</v>
      </c>
      <c r="T65" s="13" t="str">
        <f t="shared" si="33"/>
        <v>이기수</v>
      </c>
      <c r="U65" s="31" t="e">
        <f t="shared" si="10"/>
        <v>#VALUE!</v>
      </c>
      <c r="V65" s="6" t="str">
        <f t="shared" si="19"/>
        <v/>
      </c>
      <c r="W65" s="6" t="str">
        <f>IF(V65="","",COUNT($V$3:V65))</f>
        <v/>
      </c>
      <c r="X65" s="6" t="str">
        <f t="shared" si="20"/>
        <v/>
      </c>
      <c r="Y65" s="6" t="str">
        <f t="shared" si="21"/>
        <v/>
      </c>
      <c r="Z65" s="6" t="str">
        <f t="shared" si="22"/>
        <v/>
      </c>
      <c r="AA65" s="6" t="str">
        <f t="shared" si="23"/>
        <v/>
      </c>
      <c r="AB65" s="32" t="str">
        <f t="shared" si="11"/>
        <v/>
      </c>
      <c r="AC65" s="13" t="str">
        <f t="shared" si="24"/>
        <v>-</v>
      </c>
      <c r="AD65" s="13" t="str">
        <f t="shared" si="25"/>
        <v>-</v>
      </c>
      <c r="AE65" s="13" t="str">
        <f t="shared" si="26"/>
        <v>-</v>
      </c>
      <c r="AF65" s="13" t="str">
        <f t="shared" si="27"/>
        <v>-</v>
      </c>
      <c r="AG65" s="31" t="str">
        <f t="shared" si="12"/>
        <v>-</v>
      </c>
      <c r="AH65" s="2" t="str">
        <f t="shared" si="28"/>
        <v/>
      </c>
      <c r="AI65" s="2" t="str">
        <f>IF(AH65="","",COUNT($AH$3:AH65))</f>
        <v/>
      </c>
      <c r="AJ65" s="60" t="str">
        <f t="shared" si="29"/>
        <v/>
      </c>
    </row>
    <row r="66" spans="1:36" ht="16.5">
      <c r="A66" s="6">
        <v>64</v>
      </c>
      <c r="B66" s="9">
        <f t="shared" si="13"/>
        <v>46086</v>
      </c>
      <c r="C66" s="7">
        <f t="shared" si="0"/>
        <v>3</v>
      </c>
      <c r="D66" s="7">
        <f t="shared" si="1"/>
        <v>5</v>
      </c>
      <c r="E66" s="15">
        <f t="shared" si="2"/>
        <v>5</v>
      </c>
      <c r="F66" s="8" t="str">
        <f t="shared" si="3"/>
        <v/>
      </c>
      <c r="G66" s="58"/>
      <c r="H66" s="12" t="s">
        <v>63</v>
      </c>
      <c r="I66" s="6" t="str">
        <f t="shared" si="4"/>
        <v>야간</v>
      </c>
      <c r="J66" s="6" t="str">
        <f t="shared" si="14"/>
        <v/>
      </c>
      <c r="K66" s="6" t="str">
        <f>IF(J66="","",COUNT($J$3:J66))</f>
        <v/>
      </c>
      <c r="L66" s="6" t="str">
        <f t="shared" si="15"/>
        <v/>
      </c>
      <c r="M66" s="6" t="str">
        <f t="shared" si="16"/>
        <v/>
      </c>
      <c r="N66" s="6" t="str">
        <f t="shared" si="17"/>
        <v/>
      </c>
      <c r="O66" s="6" t="str">
        <f t="shared" si="18"/>
        <v/>
      </c>
      <c r="P66" s="32" t="str">
        <f t="shared" si="5"/>
        <v/>
      </c>
      <c r="Q66" s="13" t="str">
        <f t="shared" si="30"/>
        <v>-</v>
      </c>
      <c r="R66" s="13" t="str">
        <f t="shared" si="31"/>
        <v>-</v>
      </c>
      <c r="S66" s="13" t="str">
        <f t="shared" si="32"/>
        <v>-</v>
      </c>
      <c r="T66" s="13" t="str">
        <f t="shared" si="33"/>
        <v>-</v>
      </c>
      <c r="U66" s="31" t="str">
        <f t="shared" si="10"/>
        <v>-</v>
      </c>
      <c r="V66" s="6">
        <f t="shared" si="19"/>
        <v>1</v>
      </c>
      <c r="W66" s="6">
        <f>IF(V66="","",COUNT($V$3:V66))</f>
        <v>22</v>
      </c>
      <c r="X66" s="6">
        <f t="shared" si="20"/>
        <v>2</v>
      </c>
      <c r="Y66" s="6">
        <f t="shared" si="21"/>
        <v>3</v>
      </c>
      <c r="Z66" s="6">
        <f t="shared" si="22"/>
        <v>4</v>
      </c>
      <c r="AA66" s="6">
        <f t="shared" si="23"/>
        <v>1</v>
      </c>
      <c r="AB66" s="32">
        <f t="shared" si="11"/>
        <v>2</v>
      </c>
      <c r="AC66" s="13" t="str">
        <f t="shared" si="24"/>
        <v>박성현</v>
      </c>
      <c r="AD66" s="13" t="str">
        <f t="shared" si="25"/>
        <v>허지웅</v>
      </c>
      <c r="AE66" s="13" t="str">
        <f t="shared" si="26"/>
        <v>정윤준</v>
      </c>
      <c r="AF66" s="13" t="str">
        <f t="shared" si="27"/>
        <v>이기수</v>
      </c>
      <c r="AG66" s="31" t="str">
        <f t="shared" si="12"/>
        <v>장혁진</v>
      </c>
      <c r="AH66" s="2" t="str">
        <f t="shared" si="28"/>
        <v/>
      </c>
      <c r="AI66" s="2" t="str">
        <f>IF(AH66="","",COUNT($AH$3:AH66))</f>
        <v/>
      </c>
      <c r="AJ66" s="60" t="str">
        <f t="shared" si="29"/>
        <v/>
      </c>
    </row>
    <row r="67" spans="1:36" ht="16.5">
      <c r="A67" s="6">
        <v>65</v>
      </c>
      <c r="B67" s="9">
        <f t="shared" ref="B67:B130" si="34">B66+1</f>
        <v>46087</v>
      </c>
      <c r="C67" s="7">
        <f t="shared" ref="C67:C130" si="35">MONTH(B67)</f>
        <v>3</v>
      </c>
      <c r="D67" s="7">
        <f t="shared" ref="D67:D130" si="36">DAY(B67)</f>
        <v>6</v>
      </c>
      <c r="E67" s="15">
        <f t="shared" ref="E67:E130" si="37">WEEKDAY(B67)</f>
        <v>6</v>
      </c>
      <c r="F67" s="8" t="str">
        <f t="shared" ref="F67:F130" si="38">IF(OR(TEXT(E67,"aaa")="토",TEXT(E67,"aaa")="일",NOT(ISBLANK(G67))),"휴","")</f>
        <v/>
      </c>
      <c r="G67" s="58"/>
      <c r="H67" s="12" t="s">
        <v>64</v>
      </c>
      <c r="I67" s="6" t="str">
        <f t="shared" ref="I67:I130" si="39">IF(AND(F67="휴",H67="주간"),"휴무",
  IF(AND(F67="휴",H67="야간"),"당직",
  H67
))</f>
        <v>비번</v>
      </c>
      <c r="J67" s="6" t="str">
        <f t="shared" ref="J67:J130" si="40">IF(OR(I67="주간"),1,"")</f>
        <v/>
      </c>
      <c r="K67" s="6" t="str">
        <f>IF(J67="","",COUNT($J$3:J67))</f>
        <v/>
      </c>
      <c r="L67" s="6" t="str">
        <f t="shared" si="15"/>
        <v/>
      </c>
      <c r="M67" s="6" t="str">
        <f t="shared" si="16"/>
        <v/>
      </c>
      <c r="N67" s="6" t="str">
        <f t="shared" si="17"/>
        <v/>
      </c>
      <c r="O67" s="6" t="str">
        <f t="shared" si="18"/>
        <v/>
      </c>
      <c r="P67" s="32" t="str">
        <f t="shared" ref="P67:P130" si="41">IF(ISERR(MOD($K67,5)),"",MOD($K67,5))</f>
        <v/>
      </c>
      <c r="Q67" s="13" t="str">
        <f t="shared" si="30"/>
        <v>-</v>
      </c>
      <c r="R67" s="13" t="str">
        <f t="shared" si="31"/>
        <v>-</v>
      </c>
      <c r="S67" s="13" t="str">
        <f t="shared" si="32"/>
        <v>-</v>
      </c>
      <c r="T67" s="13" t="str">
        <f t="shared" si="33"/>
        <v>-</v>
      </c>
      <c r="U67" s="31" t="str">
        <f t="shared" ref="U67:U130" si="42">IF(P67="","-",CHOOSE(P67+1,"장혁진","이기수","정윤준","허지웅"))</f>
        <v>-</v>
      </c>
      <c r="V67" s="6" t="str">
        <f t="shared" ref="V67:V130" si="43">IF(OR(I67="당직",I67="야간"),1,"")</f>
        <v/>
      </c>
      <c r="W67" s="6" t="str">
        <f>IF(V67="","",COUNT($V$3:V67))</f>
        <v/>
      </c>
      <c r="X67" s="6" t="str">
        <f t="shared" si="20"/>
        <v/>
      </c>
      <c r="Y67" s="6" t="str">
        <f t="shared" si="21"/>
        <v/>
      </c>
      <c r="Z67" s="6" t="str">
        <f t="shared" si="22"/>
        <v/>
      </c>
      <c r="AA67" s="6" t="str">
        <f t="shared" si="23"/>
        <v/>
      </c>
      <c r="AB67" s="32" t="str">
        <f t="shared" ref="AB67:AB130" si="44">IF(ISERR(MOD($W67,5)),"",MOD($W67,5))</f>
        <v/>
      </c>
      <c r="AC67" s="13" t="str">
        <f t="shared" si="24"/>
        <v>-</v>
      </c>
      <c r="AD67" s="13" t="str">
        <f t="shared" si="25"/>
        <v>-</v>
      </c>
      <c r="AE67" s="13" t="str">
        <f t="shared" si="26"/>
        <v>-</v>
      </c>
      <c r="AF67" s="13" t="str">
        <f t="shared" si="27"/>
        <v>-</v>
      </c>
      <c r="AG67" s="31" t="str">
        <f t="shared" ref="AG67:AG130" si="45">IF(AB67="","-",CHOOSE(AB67+1,"정윤준","허지웅","장혁진","이기수"))</f>
        <v>-</v>
      </c>
      <c r="AH67" s="2" t="str">
        <f t="shared" si="28"/>
        <v/>
      </c>
      <c r="AI67" s="2" t="str">
        <f>IF(AH67="","",COUNT($AH$3:AH67))</f>
        <v/>
      </c>
      <c r="AJ67" s="60" t="str">
        <f t="shared" si="29"/>
        <v/>
      </c>
    </row>
    <row r="68" spans="1:36" ht="16.5">
      <c r="A68" s="6">
        <v>66</v>
      </c>
      <c r="B68" s="9">
        <f t="shared" si="34"/>
        <v>46088</v>
      </c>
      <c r="C68" s="7">
        <f t="shared" si="35"/>
        <v>3</v>
      </c>
      <c r="D68" s="7">
        <f t="shared" si="36"/>
        <v>7</v>
      </c>
      <c r="E68" s="15">
        <f t="shared" si="37"/>
        <v>7</v>
      </c>
      <c r="F68" s="8" t="str">
        <f t="shared" si="38"/>
        <v>휴</v>
      </c>
      <c r="G68" s="58"/>
      <c r="H68" s="12" t="s">
        <v>65</v>
      </c>
      <c r="I68" s="6" t="str">
        <f t="shared" si="39"/>
        <v>휴무</v>
      </c>
      <c r="J68" s="6" t="str">
        <f t="shared" si="40"/>
        <v/>
      </c>
      <c r="K68" s="6" t="str">
        <f>IF(J68="","",COUNT($J$3:J68))</f>
        <v/>
      </c>
      <c r="L68" s="6" t="str">
        <f t="shared" ref="L68:L131" si="46">IF(ISERR(4-MOD($K68,4)),"",4-MOD($K68,4))</f>
        <v/>
      </c>
      <c r="M68" s="6" t="str">
        <f t="shared" ref="M68:M131" si="47">IF(ISERR(4-MOD($K68-1,4)),"",4-MOD($K68-1,4))</f>
        <v/>
      </c>
      <c r="N68" s="6" t="str">
        <f t="shared" ref="N68:N131" si="48">IF(ISERR(4-MOD($K68-2,4)),"",4-MOD($K68-2,4))</f>
        <v/>
      </c>
      <c r="O68" s="6" t="str">
        <f t="shared" ref="O68:O131" si="49">IF(ISERR(4-MOD($K68-3,4)),"",4-MOD($K68-3,4))</f>
        <v/>
      </c>
      <c r="P68" s="32" t="str">
        <f t="shared" si="41"/>
        <v/>
      </c>
      <c r="Q68" s="13" t="str">
        <f t="shared" si="30"/>
        <v>-</v>
      </c>
      <c r="R68" s="13" t="str">
        <f t="shared" si="31"/>
        <v>-</v>
      </c>
      <c r="S68" s="13" t="str">
        <f t="shared" si="32"/>
        <v>-</v>
      </c>
      <c r="T68" s="13" t="str">
        <f t="shared" si="33"/>
        <v>-</v>
      </c>
      <c r="U68" s="31" t="str">
        <f t="shared" si="42"/>
        <v>-</v>
      </c>
      <c r="V68" s="6" t="str">
        <f t="shared" si="43"/>
        <v/>
      </c>
      <c r="W68" s="6" t="str">
        <f>IF(V68="","",COUNT($V$3:V68))</f>
        <v/>
      </c>
      <c r="X68" s="6" t="str">
        <f t="shared" ref="X68:X131" si="50">IF(ISERR(4-MOD($W68,4)),"",4-MOD($W68,4))</f>
        <v/>
      </c>
      <c r="Y68" s="6" t="str">
        <f t="shared" ref="Y68:Y131" si="51">IF(ISERR(4-MOD($W68-1,4)),"",4-MOD($W68-1,4))</f>
        <v/>
      </c>
      <c r="Z68" s="6" t="str">
        <f t="shared" ref="Z68:Z131" si="52">IF(ISERR(4-MOD($W68-2,4)),"",4-MOD($W68-2,4))</f>
        <v/>
      </c>
      <c r="AA68" s="6" t="str">
        <f t="shared" ref="AA68:AA131" si="53">IF(ISERR(4-MOD($W68-3,4)),"",4-MOD($W68-3,4))</f>
        <v/>
      </c>
      <c r="AB68" s="32" t="str">
        <f t="shared" si="44"/>
        <v/>
      </c>
      <c r="AC68" s="13" t="str">
        <f t="shared" ref="AC68:AC131" si="54">IF(X68="","-",CHOOSE(MOD(X68+$AD$1,4)+1,$X$1,$Y$1,$Z$1,$AA$1))</f>
        <v>-</v>
      </c>
      <c r="AD68" s="13" t="str">
        <f t="shared" ref="AD68:AD131" si="55">IF(Y68="","-",CHOOSE(MOD(Y68+$AD$1,4)+1,$X$1,$Y$1,$Z$1,$AA$1))</f>
        <v>-</v>
      </c>
      <c r="AE68" s="13" t="str">
        <f t="shared" ref="AE68:AE131" si="56">IF(Z68="","-",CHOOSE(MOD(Z68+$AD$1,4)+1,$X$1,$Y$1,$Z$1,$AA$1))</f>
        <v>-</v>
      </c>
      <c r="AF68" s="13" t="str">
        <f t="shared" ref="AF68:AF131" si="57">IF(AA68="","-",CHOOSE(MOD(AA68+$AD$1,4)+1,$X$1,$Y$1,$Z$1,$AA$1))</f>
        <v>-</v>
      </c>
      <c r="AG68" s="31" t="str">
        <f t="shared" si="45"/>
        <v>-</v>
      </c>
      <c r="AH68" s="2" t="str">
        <f t="shared" ref="AH68:AH131" si="58">IF(OR(AE68&amp;AF68="허지웅정윤준", AE68&amp;AF68="정윤준허지웅"),1,"")</f>
        <v/>
      </c>
      <c r="AI68" s="2" t="str">
        <f>IF(AH68="","",COUNT($AH$3:AH68))</f>
        <v/>
      </c>
      <c r="AJ68" s="60" t="str">
        <f t="shared" ref="AJ68:AJ131" si="59">IF(AI68&lt;&gt;"", CHOOSE(MOD(AI68, 2) + 1, $X$1, $Y$1), "")</f>
        <v/>
      </c>
    </row>
    <row r="69" spans="1:36" ht="16.5">
      <c r="A69" s="6">
        <v>67</v>
      </c>
      <c r="B69" s="9">
        <f t="shared" si="34"/>
        <v>46089</v>
      </c>
      <c r="C69" s="7">
        <f t="shared" si="35"/>
        <v>3</v>
      </c>
      <c r="D69" s="7">
        <f t="shared" si="36"/>
        <v>8</v>
      </c>
      <c r="E69" s="15">
        <f t="shared" si="37"/>
        <v>1</v>
      </c>
      <c r="F69" s="8" t="str">
        <f t="shared" si="38"/>
        <v>휴</v>
      </c>
      <c r="G69" s="58"/>
      <c r="H69" s="12" t="s">
        <v>63</v>
      </c>
      <c r="I69" s="6" t="str">
        <f t="shared" si="39"/>
        <v>당직</v>
      </c>
      <c r="J69" s="6" t="str">
        <f t="shared" si="40"/>
        <v/>
      </c>
      <c r="K69" s="6" t="str">
        <f>IF(J69="","",COUNT($J$3:J69))</f>
        <v/>
      </c>
      <c r="L69" s="6" t="str">
        <f t="shared" si="46"/>
        <v/>
      </c>
      <c r="M69" s="6" t="str">
        <f t="shared" si="47"/>
        <v/>
      </c>
      <c r="N69" s="6" t="str">
        <f t="shared" si="48"/>
        <v/>
      </c>
      <c r="O69" s="6" t="str">
        <f t="shared" si="49"/>
        <v/>
      </c>
      <c r="P69" s="32" t="str">
        <f t="shared" si="41"/>
        <v/>
      </c>
      <c r="Q69" s="13" t="str">
        <f t="shared" si="30"/>
        <v>-</v>
      </c>
      <c r="R69" s="13" t="str">
        <f t="shared" si="31"/>
        <v>-</v>
      </c>
      <c r="S69" s="13" t="str">
        <f t="shared" si="32"/>
        <v>-</v>
      </c>
      <c r="T69" s="13" t="str">
        <f t="shared" si="33"/>
        <v>-</v>
      </c>
      <c r="U69" s="31" t="str">
        <f t="shared" si="42"/>
        <v>-</v>
      </c>
      <c r="V69" s="6">
        <f t="shared" si="43"/>
        <v>1</v>
      </c>
      <c r="W69" s="6">
        <f>IF(V69="","",COUNT($V$3:V69))</f>
        <v>23</v>
      </c>
      <c r="X69" s="6">
        <f t="shared" si="50"/>
        <v>1</v>
      </c>
      <c r="Y69" s="6">
        <f t="shared" si="51"/>
        <v>2</v>
      </c>
      <c r="Z69" s="6">
        <f t="shared" si="52"/>
        <v>3</v>
      </c>
      <c r="AA69" s="6">
        <f t="shared" si="53"/>
        <v>4</v>
      </c>
      <c r="AB69" s="32">
        <f t="shared" si="44"/>
        <v>3</v>
      </c>
      <c r="AC69" s="13" t="str">
        <f t="shared" si="54"/>
        <v>이기수</v>
      </c>
      <c r="AD69" s="13" t="str">
        <f t="shared" si="55"/>
        <v>박성현</v>
      </c>
      <c r="AE69" s="13" t="str">
        <f t="shared" si="56"/>
        <v>허지웅</v>
      </c>
      <c r="AF69" s="13" t="str">
        <f t="shared" si="57"/>
        <v>정윤준</v>
      </c>
      <c r="AG69" s="31" t="str">
        <f t="shared" si="45"/>
        <v>이기수</v>
      </c>
      <c r="AH69" s="2">
        <f t="shared" si="58"/>
        <v>1</v>
      </c>
      <c r="AI69" s="2">
        <f>IF(AH69="","",COUNT($AH$3:AH69))</f>
        <v>6</v>
      </c>
      <c r="AJ69" s="60" t="str">
        <f t="shared" si="59"/>
        <v>허지웅</v>
      </c>
    </row>
    <row r="70" spans="1:36" ht="16.5">
      <c r="A70" s="6">
        <v>68</v>
      </c>
      <c r="B70" s="9">
        <f t="shared" si="34"/>
        <v>46090</v>
      </c>
      <c r="C70" s="7">
        <f t="shared" si="35"/>
        <v>3</v>
      </c>
      <c r="D70" s="7">
        <f t="shared" si="36"/>
        <v>9</v>
      </c>
      <c r="E70" s="15">
        <f t="shared" si="37"/>
        <v>2</v>
      </c>
      <c r="F70" s="8" t="str">
        <f t="shared" si="38"/>
        <v/>
      </c>
      <c r="G70" s="58"/>
      <c r="H70" s="12" t="s">
        <v>64</v>
      </c>
      <c r="I70" s="6" t="str">
        <f t="shared" si="39"/>
        <v>비번</v>
      </c>
      <c r="J70" s="6" t="str">
        <f t="shared" si="40"/>
        <v/>
      </c>
      <c r="K70" s="6" t="str">
        <f>IF(J70="","",COUNT($J$3:J70))</f>
        <v/>
      </c>
      <c r="L70" s="6" t="str">
        <f t="shared" si="46"/>
        <v/>
      </c>
      <c r="M70" s="6" t="str">
        <f t="shared" si="47"/>
        <v/>
      </c>
      <c r="N70" s="6" t="str">
        <f t="shared" si="48"/>
        <v/>
      </c>
      <c r="O70" s="6" t="str">
        <f t="shared" si="49"/>
        <v/>
      </c>
      <c r="P70" s="32" t="str">
        <f t="shared" si="41"/>
        <v/>
      </c>
      <c r="Q70" s="13" t="str">
        <f t="shared" si="30"/>
        <v>-</v>
      </c>
      <c r="R70" s="13" t="str">
        <f t="shared" si="31"/>
        <v>-</v>
      </c>
      <c r="S70" s="13" t="str">
        <f t="shared" si="32"/>
        <v>-</v>
      </c>
      <c r="T70" s="13" t="str">
        <f t="shared" si="33"/>
        <v>-</v>
      </c>
      <c r="U70" s="31" t="str">
        <f t="shared" si="42"/>
        <v>-</v>
      </c>
      <c r="V70" s="6" t="str">
        <f t="shared" si="43"/>
        <v/>
      </c>
      <c r="W70" s="6" t="str">
        <f>IF(V70="","",COUNT($V$3:V70))</f>
        <v/>
      </c>
      <c r="X70" s="6" t="str">
        <f t="shared" si="50"/>
        <v/>
      </c>
      <c r="Y70" s="6" t="str">
        <f t="shared" si="51"/>
        <v/>
      </c>
      <c r="Z70" s="6" t="str">
        <f t="shared" si="52"/>
        <v/>
      </c>
      <c r="AA70" s="6" t="str">
        <f t="shared" si="53"/>
        <v/>
      </c>
      <c r="AB70" s="32" t="str">
        <f t="shared" si="44"/>
        <v/>
      </c>
      <c r="AC70" s="13" t="str">
        <f t="shared" si="54"/>
        <v>-</v>
      </c>
      <c r="AD70" s="13" t="str">
        <f t="shared" si="55"/>
        <v>-</v>
      </c>
      <c r="AE70" s="13" t="str">
        <f t="shared" si="56"/>
        <v>-</v>
      </c>
      <c r="AF70" s="13" t="str">
        <f t="shared" si="57"/>
        <v>-</v>
      </c>
      <c r="AG70" s="31" t="str">
        <f t="shared" si="45"/>
        <v>-</v>
      </c>
      <c r="AH70" s="2" t="str">
        <f t="shared" si="58"/>
        <v/>
      </c>
      <c r="AI70" s="2" t="str">
        <f>IF(AH70="","",COUNT($AH$3:AH70))</f>
        <v/>
      </c>
      <c r="AJ70" s="60" t="str">
        <f t="shared" si="59"/>
        <v/>
      </c>
    </row>
    <row r="71" spans="1:36" ht="16.5">
      <c r="A71" s="6">
        <v>69</v>
      </c>
      <c r="B71" s="9">
        <f t="shared" si="34"/>
        <v>46091</v>
      </c>
      <c r="C71" s="7">
        <f t="shared" si="35"/>
        <v>3</v>
      </c>
      <c r="D71" s="7">
        <f t="shared" si="36"/>
        <v>10</v>
      </c>
      <c r="E71" s="15">
        <f t="shared" si="37"/>
        <v>3</v>
      </c>
      <c r="F71" s="8" t="str">
        <f t="shared" si="38"/>
        <v/>
      </c>
      <c r="G71" s="58"/>
      <c r="H71" s="12" t="s">
        <v>65</v>
      </c>
      <c r="I71" s="6" t="str">
        <f t="shared" si="39"/>
        <v>주간</v>
      </c>
      <c r="J71" s="6">
        <f t="shared" si="40"/>
        <v>1</v>
      </c>
      <c r="K71" s="6">
        <f>IF(J71="","",COUNT($J$3:J71))</f>
        <v>15</v>
      </c>
      <c r="L71" s="6">
        <f t="shared" si="46"/>
        <v>1</v>
      </c>
      <c r="M71" s="6">
        <f t="shared" si="47"/>
        <v>2</v>
      </c>
      <c r="N71" s="6">
        <f t="shared" si="48"/>
        <v>3</v>
      </c>
      <c r="O71" s="6">
        <f t="shared" si="49"/>
        <v>4</v>
      </c>
      <c r="P71" s="32">
        <f t="shared" si="41"/>
        <v>0</v>
      </c>
      <c r="Q71" s="13" t="str">
        <f t="shared" si="30"/>
        <v>이기수</v>
      </c>
      <c r="R71" s="13" t="str">
        <f t="shared" si="31"/>
        <v>박성현</v>
      </c>
      <c r="S71" s="13" t="str">
        <f t="shared" si="32"/>
        <v>허지웅</v>
      </c>
      <c r="T71" s="13" t="str">
        <f t="shared" si="33"/>
        <v>정윤준</v>
      </c>
      <c r="U71" s="31" t="str">
        <f t="shared" si="42"/>
        <v>장혁진</v>
      </c>
      <c r="V71" s="6" t="str">
        <f t="shared" si="43"/>
        <v/>
      </c>
      <c r="W71" s="6" t="str">
        <f>IF(V71="","",COUNT($V$3:V71))</f>
        <v/>
      </c>
      <c r="X71" s="6" t="str">
        <f t="shared" si="50"/>
        <v/>
      </c>
      <c r="Y71" s="6" t="str">
        <f t="shared" si="51"/>
        <v/>
      </c>
      <c r="Z71" s="6" t="str">
        <f t="shared" si="52"/>
        <v/>
      </c>
      <c r="AA71" s="6" t="str">
        <f t="shared" si="53"/>
        <v/>
      </c>
      <c r="AB71" s="32" t="str">
        <f t="shared" si="44"/>
        <v/>
      </c>
      <c r="AC71" s="13" t="str">
        <f t="shared" si="54"/>
        <v>-</v>
      </c>
      <c r="AD71" s="13" t="str">
        <f t="shared" si="55"/>
        <v>-</v>
      </c>
      <c r="AE71" s="13" t="str">
        <f t="shared" si="56"/>
        <v>-</v>
      </c>
      <c r="AF71" s="13" t="str">
        <f t="shared" si="57"/>
        <v>-</v>
      </c>
      <c r="AG71" s="31" t="str">
        <f t="shared" si="45"/>
        <v>-</v>
      </c>
      <c r="AH71" s="2" t="str">
        <f t="shared" si="58"/>
        <v/>
      </c>
      <c r="AI71" s="2" t="str">
        <f>IF(AH71="","",COUNT($AH$3:AH71))</f>
        <v/>
      </c>
      <c r="AJ71" s="60" t="str">
        <f t="shared" si="59"/>
        <v/>
      </c>
    </row>
    <row r="72" spans="1:36" ht="16.5">
      <c r="A72" s="6">
        <v>70</v>
      </c>
      <c r="B72" s="9">
        <f t="shared" si="34"/>
        <v>46092</v>
      </c>
      <c r="C72" s="7">
        <f t="shared" si="35"/>
        <v>3</v>
      </c>
      <c r="D72" s="7">
        <f t="shared" si="36"/>
        <v>11</v>
      </c>
      <c r="E72" s="15">
        <f t="shared" si="37"/>
        <v>4</v>
      </c>
      <c r="F72" s="8" t="str">
        <f t="shared" si="38"/>
        <v/>
      </c>
      <c r="G72" s="58"/>
      <c r="H72" s="12" t="s">
        <v>63</v>
      </c>
      <c r="I72" s="6" t="str">
        <f t="shared" si="39"/>
        <v>야간</v>
      </c>
      <c r="J72" s="6" t="str">
        <f t="shared" si="40"/>
        <v/>
      </c>
      <c r="K72" s="6" t="str">
        <f>IF(J72="","",COUNT($J$3:J72))</f>
        <v/>
      </c>
      <c r="L72" s="6" t="str">
        <f t="shared" si="46"/>
        <v/>
      </c>
      <c r="M72" s="6" t="str">
        <f t="shared" si="47"/>
        <v/>
      </c>
      <c r="N72" s="6" t="str">
        <f t="shared" si="48"/>
        <v/>
      </c>
      <c r="O72" s="6" t="str">
        <f t="shared" si="49"/>
        <v/>
      </c>
      <c r="P72" s="32" t="str">
        <f t="shared" si="41"/>
        <v/>
      </c>
      <c r="Q72" s="13" t="str">
        <f t="shared" si="30"/>
        <v>-</v>
      </c>
      <c r="R72" s="13" t="str">
        <f t="shared" si="31"/>
        <v>-</v>
      </c>
      <c r="S72" s="13" t="str">
        <f t="shared" si="32"/>
        <v>-</v>
      </c>
      <c r="T72" s="13" t="str">
        <f t="shared" si="33"/>
        <v>-</v>
      </c>
      <c r="U72" s="31" t="str">
        <f t="shared" si="42"/>
        <v>-</v>
      </c>
      <c r="V72" s="6">
        <f t="shared" si="43"/>
        <v>1</v>
      </c>
      <c r="W72" s="6">
        <f>IF(V72="","",COUNT($V$3:V72))</f>
        <v>24</v>
      </c>
      <c r="X72" s="6">
        <f t="shared" si="50"/>
        <v>4</v>
      </c>
      <c r="Y72" s="6">
        <f t="shared" si="51"/>
        <v>1</v>
      </c>
      <c r="Z72" s="6">
        <f t="shared" si="52"/>
        <v>2</v>
      </c>
      <c r="AA72" s="6">
        <f t="shared" si="53"/>
        <v>3</v>
      </c>
      <c r="AB72" s="32">
        <f t="shared" si="44"/>
        <v>4</v>
      </c>
      <c r="AC72" s="13" t="str">
        <f t="shared" si="54"/>
        <v>정윤준</v>
      </c>
      <c r="AD72" s="13" t="str">
        <f t="shared" si="55"/>
        <v>이기수</v>
      </c>
      <c r="AE72" s="13" t="str">
        <f t="shared" si="56"/>
        <v>박성현</v>
      </c>
      <c r="AF72" s="13" t="str">
        <f t="shared" si="57"/>
        <v>허지웅</v>
      </c>
      <c r="AG72" s="31" t="e">
        <f t="shared" si="45"/>
        <v>#VALUE!</v>
      </c>
      <c r="AH72" s="2" t="str">
        <f t="shared" si="58"/>
        <v/>
      </c>
      <c r="AI72" s="2" t="str">
        <f>IF(AH72="","",COUNT($AH$3:AH72))</f>
        <v/>
      </c>
      <c r="AJ72" s="60" t="str">
        <f t="shared" si="59"/>
        <v/>
      </c>
    </row>
    <row r="73" spans="1:36" ht="16.5">
      <c r="A73" s="6">
        <v>71</v>
      </c>
      <c r="B73" s="9">
        <f t="shared" si="34"/>
        <v>46093</v>
      </c>
      <c r="C73" s="7">
        <f t="shared" si="35"/>
        <v>3</v>
      </c>
      <c r="D73" s="7">
        <f t="shared" si="36"/>
        <v>12</v>
      </c>
      <c r="E73" s="15">
        <f t="shared" si="37"/>
        <v>5</v>
      </c>
      <c r="F73" s="8" t="str">
        <f t="shared" si="38"/>
        <v/>
      </c>
      <c r="G73" s="58"/>
      <c r="H73" s="12" t="s">
        <v>64</v>
      </c>
      <c r="I73" s="6" t="str">
        <f t="shared" si="39"/>
        <v>비번</v>
      </c>
      <c r="J73" s="6" t="str">
        <f t="shared" si="40"/>
        <v/>
      </c>
      <c r="K73" s="6" t="str">
        <f>IF(J73="","",COUNT($J$3:J73))</f>
        <v/>
      </c>
      <c r="L73" s="6" t="str">
        <f t="shared" si="46"/>
        <v/>
      </c>
      <c r="M73" s="6" t="str">
        <f t="shared" si="47"/>
        <v/>
      </c>
      <c r="N73" s="6" t="str">
        <f t="shared" si="48"/>
        <v/>
      </c>
      <c r="O73" s="6" t="str">
        <f t="shared" si="49"/>
        <v/>
      </c>
      <c r="P73" s="32" t="str">
        <f t="shared" si="41"/>
        <v/>
      </c>
      <c r="Q73" s="13" t="str">
        <f t="shared" ref="Q73:Q136" si="60">IF(L73="","-",CHOOSE(MOD(L73+$R$1,4)+1,$L$1,$M$1,$N$1,$O$1))</f>
        <v>-</v>
      </c>
      <c r="R73" s="13" t="str">
        <f t="shared" ref="R73:R136" si="61">IF(M73="","-",CHOOSE(MOD(M73+$R$1,4)+1,$L$1,$M$1,$N$1,$O$1))</f>
        <v>-</v>
      </c>
      <c r="S73" s="13" t="str">
        <f t="shared" ref="S73:S136" si="62">IF(N73="","-",CHOOSE(MOD(N73+$R$1,4)+1,$L$1,$M$1,$N$1,$O$1))</f>
        <v>-</v>
      </c>
      <c r="T73" s="13" t="str">
        <f t="shared" ref="T73:T136" si="63">IF(O73="","-",CHOOSE(MOD(O73+$R$1,4)+1,$L$1,$M$1,$N$1,$O$1))</f>
        <v>-</v>
      </c>
      <c r="U73" s="31" t="str">
        <f t="shared" si="42"/>
        <v>-</v>
      </c>
      <c r="V73" s="6" t="str">
        <f t="shared" si="43"/>
        <v/>
      </c>
      <c r="W73" s="6" t="str">
        <f>IF(V73="","",COUNT($V$3:V73))</f>
        <v/>
      </c>
      <c r="X73" s="6" t="str">
        <f t="shared" si="50"/>
        <v/>
      </c>
      <c r="Y73" s="6" t="str">
        <f t="shared" si="51"/>
        <v/>
      </c>
      <c r="Z73" s="6" t="str">
        <f t="shared" si="52"/>
        <v/>
      </c>
      <c r="AA73" s="6" t="str">
        <f t="shared" si="53"/>
        <v/>
      </c>
      <c r="AB73" s="32" t="str">
        <f t="shared" si="44"/>
        <v/>
      </c>
      <c r="AC73" s="13" t="str">
        <f t="shared" si="54"/>
        <v>-</v>
      </c>
      <c r="AD73" s="13" t="str">
        <f t="shared" si="55"/>
        <v>-</v>
      </c>
      <c r="AE73" s="13" t="str">
        <f t="shared" si="56"/>
        <v>-</v>
      </c>
      <c r="AF73" s="13" t="str">
        <f t="shared" si="57"/>
        <v>-</v>
      </c>
      <c r="AG73" s="31" t="str">
        <f t="shared" si="45"/>
        <v>-</v>
      </c>
      <c r="AH73" s="2" t="str">
        <f t="shared" si="58"/>
        <v/>
      </c>
      <c r="AI73" s="2" t="str">
        <f>IF(AH73="","",COUNT($AH$3:AH73))</f>
        <v/>
      </c>
      <c r="AJ73" s="60" t="str">
        <f t="shared" si="59"/>
        <v/>
      </c>
    </row>
    <row r="74" spans="1:36" ht="16.5">
      <c r="A74" s="6">
        <v>72</v>
      </c>
      <c r="B74" s="9">
        <f t="shared" si="34"/>
        <v>46094</v>
      </c>
      <c r="C74" s="7">
        <f t="shared" si="35"/>
        <v>3</v>
      </c>
      <c r="D74" s="7">
        <f t="shared" si="36"/>
        <v>13</v>
      </c>
      <c r="E74" s="15">
        <f t="shared" si="37"/>
        <v>6</v>
      </c>
      <c r="F74" s="8" t="str">
        <f t="shared" si="38"/>
        <v/>
      </c>
      <c r="G74" s="58"/>
      <c r="H74" s="12" t="s">
        <v>65</v>
      </c>
      <c r="I74" s="6" t="str">
        <f t="shared" si="39"/>
        <v>주간</v>
      </c>
      <c r="J74" s="6">
        <f t="shared" si="40"/>
        <v>1</v>
      </c>
      <c r="K74" s="6">
        <f>IF(J74="","",COUNT($J$3:J74))</f>
        <v>16</v>
      </c>
      <c r="L74" s="6">
        <f t="shared" si="46"/>
        <v>4</v>
      </c>
      <c r="M74" s="6">
        <f t="shared" si="47"/>
        <v>1</v>
      </c>
      <c r="N74" s="6">
        <f t="shared" si="48"/>
        <v>2</v>
      </c>
      <c r="O74" s="6">
        <f t="shared" si="49"/>
        <v>3</v>
      </c>
      <c r="P74" s="32">
        <f t="shared" si="41"/>
        <v>1</v>
      </c>
      <c r="Q74" s="13" t="str">
        <f t="shared" si="60"/>
        <v>정윤준</v>
      </c>
      <c r="R74" s="13" t="str">
        <f t="shared" si="61"/>
        <v>이기수</v>
      </c>
      <c r="S74" s="13" t="str">
        <f t="shared" si="62"/>
        <v>박성현</v>
      </c>
      <c r="T74" s="13" t="str">
        <f t="shared" si="63"/>
        <v>허지웅</v>
      </c>
      <c r="U74" s="31" t="str">
        <f t="shared" si="42"/>
        <v>이기수</v>
      </c>
      <c r="V74" s="6" t="str">
        <f t="shared" si="43"/>
        <v/>
      </c>
      <c r="W74" s="6" t="str">
        <f>IF(V74="","",COUNT($V$3:V74))</f>
        <v/>
      </c>
      <c r="X74" s="6" t="str">
        <f t="shared" si="50"/>
        <v/>
      </c>
      <c r="Y74" s="6" t="str">
        <f t="shared" si="51"/>
        <v/>
      </c>
      <c r="Z74" s="6" t="str">
        <f t="shared" si="52"/>
        <v/>
      </c>
      <c r="AA74" s="6" t="str">
        <f t="shared" si="53"/>
        <v/>
      </c>
      <c r="AB74" s="32" t="str">
        <f t="shared" si="44"/>
        <v/>
      </c>
      <c r="AC74" s="13" t="str">
        <f t="shared" si="54"/>
        <v>-</v>
      </c>
      <c r="AD74" s="13" t="str">
        <f t="shared" si="55"/>
        <v>-</v>
      </c>
      <c r="AE74" s="13" t="str">
        <f t="shared" si="56"/>
        <v>-</v>
      </c>
      <c r="AF74" s="13" t="str">
        <f t="shared" si="57"/>
        <v>-</v>
      </c>
      <c r="AG74" s="31" t="str">
        <f t="shared" si="45"/>
        <v>-</v>
      </c>
      <c r="AH74" s="2" t="str">
        <f t="shared" si="58"/>
        <v/>
      </c>
      <c r="AI74" s="2" t="str">
        <f>IF(AH74="","",COUNT($AH$3:AH74))</f>
        <v/>
      </c>
      <c r="AJ74" s="60" t="str">
        <f t="shared" si="59"/>
        <v/>
      </c>
    </row>
    <row r="75" spans="1:36" ht="16.5">
      <c r="A75" s="6">
        <v>73</v>
      </c>
      <c r="B75" s="9">
        <f t="shared" si="34"/>
        <v>46095</v>
      </c>
      <c r="C75" s="7">
        <f t="shared" si="35"/>
        <v>3</v>
      </c>
      <c r="D75" s="7">
        <f t="shared" si="36"/>
        <v>14</v>
      </c>
      <c r="E75" s="15">
        <f t="shared" si="37"/>
        <v>7</v>
      </c>
      <c r="F75" s="8" t="str">
        <f t="shared" si="38"/>
        <v>휴</v>
      </c>
      <c r="G75" s="58"/>
      <c r="H75" s="12" t="s">
        <v>63</v>
      </c>
      <c r="I75" s="6" t="str">
        <f t="shared" si="39"/>
        <v>당직</v>
      </c>
      <c r="J75" s="6" t="str">
        <f t="shared" si="40"/>
        <v/>
      </c>
      <c r="K75" s="6" t="str">
        <f>IF(J75="","",COUNT($J$3:J75))</f>
        <v/>
      </c>
      <c r="L75" s="6" t="str">
        <f t="shared" si="46"/>
        <v/>
      </c>
      <c r="M75" s="6" t="str">
        <f t="shared" si="47"/>
        <v/>
      </c>
      <c r="N75" s="6" t="str">
        <f t="shared" si="48"/>
        <v/>
      </c>
      <c r="O75" s="6" t="str">
        <f t="shared" si="49"/>
        <v/>
      </c>
      <c r="P75" s="32" t="str">
        <f t="shared" si="41"/>
        <v/>
      </c>
      <c r="Q75" s="13" t="str">
        <f t="shared" si="60"/>
        <v>-</v>
      </c>
      <c r="R75" s="13" t="str">
        <f t="shared" si="61"/>
        <v>-</v>
      </c>
      <c r="S75" s="13" t="str">
        <f t="shared" si="62"/>
        <v>-</v>
      </c>
      <c r="T75" s="13" t="str">
        <f t="shared" si="63"/>
        <v>-</v>
      </c>
      <c r="U75" s="31" t="str">
        <f t="shared" si="42"/>
        <v>-</v>
      </c>
      <c r="V75" s="6">
        <f t="shared" si="43"/>
        <v>1</v>
      </c>
      <c r="W75" s="6">
        <f>IF(V75="","",COUNT($V$3:V75))</f>
        <v>25</v>
      </c>
      <c r="X75" s="6">
        <f t="shared" si="50"/>
        <v>3</v>
      </c>
      <c r="Y75" s="6">
        <f t="shared" si="51"/>
        <v>4</v>
      </c>
      <c r="Z75" s="6">
        <f t="shared" si="52"/>
        <v>1</v>
      </c>
      <c r="AA75" s="6">
        <f t="shared" si="53"/>
        <v>2</v>
      </c>
      <c r="AB75" s="32">
        <f t="shared" si="44"/>
        <v>0</v>
      </c>
      <c r="AC75" s="13" t="str">
        <f t="shared" si="54"/>
        <v>허지웅</v>
      </c>
      <c r="AD75" s="13" t="str">
        <f t="shared" si="55"/>
        <v>정윤준</v>
      </c>
      <c r="AE75" s="13" t="str">
        <f t="shared" si="56"/>
        <v>이기수</v>
      </c>
      <c r="AF75" s="13" t="str">
        <f t="shared" si="57"/>
        <v>박성현</v>
      </c>
      <c r="AG75" s="31" t="str">
        <f t="shared" si="45"/>
        <v>정윤준</v>
      </c>
      <c r="AH75" s="2" t="str">
        <f t="shared" si="58"/>
        <v/>
      </c>
      <c r="AI75" s="2" t="str">
        <f>IF(AH75="","",COUNT($AH$3:AH75))</f>
        <v/>
      </c>
      <c r="AJ75" s="60" t="str">
        <f t="shared" si="59"/>
        <v/>
      </c>
    </row>
    <row r="76" spans="1:36" ht="16.5">
      <c r="A76" s="6">
        <v>74</v>
      </c>
      <c r="B76" s="9">
        <f t="shared" si="34"/>
        <v>46096</v>
      </c>
      <c r="C76" s="7">
        <f t="shared" si="35"/>
        <v>3</v>
      </c>
      <c r="D76" s="7">
        <f t="shared" si="36"/>
        <v>15</v>
      </c>
      <c r="E76" s="15">
        <f t="shared" si="37"/>
        <v>1</v>
      </c>
      <c r="F76" s="8" t="str">
        <f t="shared" si="38"/>
        <v>휴</v>
      </c>
      <c r="G76" s="58"/>
      <c r="H76" s="12" t="s">
        <v>64</v>
      </c>
      <c r="I76" s="6" t="str">
        <f t="shared" si="39"/>
        <v>비번</v>
      </c>
      <c r="J76" s="6" t="str">
        <f t="shared" si="40"/>
        <v/>
      </c>
      <c r="K76" s="6" t="str">
        <f>IF(J76="","",COUNT($J$3:J76))</f>
        <v/>
      </c>
      <c r="L76" s="6" t="str">
        <f t="shared" si="46"/>
        <v/>
      </c>
      <c r="M76" s="6" t="str">
        <f t="shared" si="47"/>
        <v/>
      </c>
      <c r="N76" s="6" t="str">
        <f t="shared" si="48"/>
        <v/>
      </c>
      <c r="O76" s="6" t="str">
        <f t="shared" si="49"/>
        <v/>
      </c>
      <c r="P76" s="32" t="str">
        <f t="shared" si="41"/>
        <v/>
      </c>
      <c r="Q76" s="13" t="str">
        <f t="shared" si="60"/>
        <v>-</v>
      </c>
      <c r="R76" s="13" t="str">
        <f t="shared" si="61"/>
        <v>-</v>
      </c>
      <c r="S76" s="13" t="str">
        <f t="shared" si="62"/>
        <v>-</v>
      </c>
      <c r="T76" s="13" t="str">
        <f t="shared" si="63"/>
        <v>-</v>
      </c>
      <c r="U76" s="31" t="str">
        <f t="shared" si="42"/>
        <v>-</v>
      </c>
      <c r="V76" s="6" t="str">
        <f t="shared" si="43"/>
        <v/>
      </c>
      <c r="W76" s="6" t="str">
        <f>IF(V76="","",COUNT($V$3:V76))</f>
        <v/>
      </c>
      <c r="X76" s="6" t="str">
        <f t="shared" si="50"/>
        <v/>
      </c>
      <c r="Y76" s="6" t="str">
        <f t="shared" si="51"/>
        <v/>
      </c>
      <c r="Z76" s="6" t="str">
        <f t="shared" si="52"/>
        <v/>
      </c>
      <c r="AA76" s="6" t="str">
        <f t="shared" si="53"/>
        <v/>
      </c>
      <c r="AB76" s="32" t="str">
        <f t="shared" si="44"/>
        <v/>
      </c>
      <c r="AC76" s="13" t="str">
        <f t="shared" si="54"/>
        <v>-</v>
      </c>
      <c r="AD76" s="13" t="str">
        <f t="shared" si="55"/>
        <v>-</v>
      </c>
      <c r="AE76" s="13" t="str">
        <f t="shared" si="56"/>
        <v>-</v>
      </c>
      <c r="AF76" s="13" t="str">
        <f t="shared" si="57"/>
        <v>-</v>
      </c>
      <c r="AG76" s="31" t="str">
        <f t="shared" si="45"/>
        <v>-</v>
      </c>
      <c r="AH76" s="2" t="str">
        <f t="shared" si="58"/>
        <v/>
      </c>
      <c r="AI76" s="2" t="str">
        <f>IF(AH76="","",COUNT($AH$3:AH76))</f>
        <v/>
      </c>
      <c r="AJ76" s="60" t="str">
        <f t="shared" si="59"/>
        <v/>
      </c>
    </row>
    <row r="77" spans="1:36" ht="16.5">
      <c r="A77" s="6">
        <v>75</v>
      </c>
      <c r="B77" s="9">
        <f t="shared" si="34"/>
        <v>46097</v>
      </c>
      <c r="C77" s="7">
        <f t="shared" si="35"/>
        <v>3</v>
      </c>
      <c r="D77" s="7">
        <f t="shared" si="36"/>
        <v>16</v>
      </c>
      <c r="E77" s="15">
        <f t="shared" si="37"/>
        <v>2</v>
      </c>
      <c r="F77" s="8" t="str">
        <f t="shared" si="38"/>
        <v/>
      </c>
      <c r="G77" s="58"/>
      <c r="H77" s="12" t="s">
        <v>65</v>
      </c>
      <c r="I77" s="6" t="str">
        <f t="shared" si="39"/>
        <v>주간</v>
      </c>
      <c r="J77" s="6">
        <f t="shared" si="40"/>
        <v>1</v>
      </c>
      <c r="K77" s="6">
        <f>IF(J77="","",COUNT($J$3:J77))</f>
        <v>17</v>
      </c>
      <c r="L77" s="6">
        <f t="shared" si="46"/>
        <v>3</v>
      </c>
      <c r="M77" s="6">
        <f t="shared" si="47"/>
        <v>4</v>
      </c>
      <c r="N77" s="6">
        <f t="shared" si="48"/>
        <v>1</v>
      </c>
      <c r="O77" s="6">
        <f t="shared" si="49"/>
        <v>2</v>
      </c>
      <c r="P77" s="32">
        <f t="shared" si="41"/>
        <v>2</v>
      </c>
      <c r="Q77" s="13" t="str">
        <f t="shared" si="60"/>
        <v>허지웅</v>
      </c>
      <c r="R77" s="13" t="str">
        <f t="shared" si="61"/>
        <v>정윤준</v>
      </c>
      <c r="S77" s="13" t="str">
        <f t="shared" si="62"/>
        <v>이기수</v>
      </c>
      <c r="T77" s="13" t="str">
        <f t="shared" si="63"/>
        <v>박성현</v>
      </c>
      <c r="U77" s="31" t="str">
        <f t="shared" si="42"/>
        <v>정윤준</v>
      </c>
      <c r="V77" s="6" t="str">
        <f t="shared" si="43"/>
        <v/>
      </c>
      <c r="W77" s="6" t="str">
        <f>IF(V77="","",COUNT($V$3:V77))</f>
        <v/>
      </c>
      <c r="X77" s="6" t="str">
        <f t="shared" si="50"/>
        <v/>
      </c>
      <c r="Y77" s="6" t="str">
        <f t="shared" si="51"/>
        <v/>
      </c>
      <c r="Z77" s="6" t="str">
        <f t="shared" si="52"/>
        <v/>
      </c>
      <c r="AA77" s="6" t="str">
        <f t="shared" si="53"/>
        <v/>
      </c>
      <c r="AB77" s="32" t="str">
        <f t="shared" si="44"/>
        <v/>
      </c>
      <c r="AC77" s="13" t="str">
        <f t="shared" si="54"/>
        <v>-</v>
      </c>
      <c r="AD77" s="13" t="str">
        <f t="shared" si="55"/>
        <v>-</v>
      </c>
      <c r="AE77" s="13" t="str">
        <f t="shared" si="56"/>
        <v>-</v>
      </c>
      <c r="AF77" s="13" t="str">
        <f t="shared" si="57"/>
        <v>-</v>
      </c>
      <c r="AG77" s="31" t="str">
        <f t="shared" si="45"/>
        <v>-</v>
      </c>
      <c r="AH77" s="2" t="str">
        <f t="shared" si="58"/>
        <v/>
      </c>
      <c r="AI77" s="2" t="str">
        <f>IF(AH77="","",COUNT($AH$3:AH77))</f>
        <v/>
      </c>
      <c r="AJ77" s="60" t="str">
        <f t="shared" si="59"/>
        <v/>
      </c>
    </row>
    <row r="78" spans="1:36" ht="16.5">
      <c r="A78" s="6">
        <v>76</v>
      </c>
      <c r="B78" s="9">
        <f t="shared" si="34"/>
        <v>46098</v>
      </c>
      <c r="C78" s="7">
        <f t="shared" si="35"/>
        <v>3</v>
      </c>
      <c r="D78" s="7">
        <f t="shared" si="36"/>
        <v>17</v>
      </c>
      <c r="E78" s="15">
        <f t="shared" si="37"/>
        <v>3</v>
      </c>
      <c r="F78" s="8" t="str">
        <f t="shared" si="38"/>
        <v/>
      </c>
      <c r="G78" s="58"/>
      <c r="H78" s="12" t="s">
        <v>63</v>
      </c>
      <c r="I78" s="6" t="str">
        <f t="shared" si="39"/>
        <v>야간</v>
      </c>
      <c r="J78" s="6" t="str">
        <f t="shared" si="40"/>
        <v/>
      </c>
      <c r="K78" s="6" t="str">
        <f>IF(J78="","",COUNT($J$3:J78))</f>
        <v/>
      </c>
      <c r="L78" s="6" t="str">
        <f t="shared" si="46"/>
        <v/>
      </c>
      <c r="M78" s="6" t="str">
        <f t="shared" si="47"/>
        <v/>
      </c>
      <c r="N78" s="6" t="str">
        <f t="shared" si="48"/>
        <v/>
      </c>
      <c r="O78" s="6" t="str">
        <f t="shared" si="49"/>
        <v/>
      </c>
      <c r="P78" s="32" t="str">
        <f t="shared" si="41"/>
        <v/>
      </c>
      <c r="Q78" s="13" t="str">
        <f t="shared" si="60"/>
        <v>-</v>
      </c>
      <c r="R78" s="13" t="str">
        <f t="shared" si="61"/>
        <v>-</v>
      </c>
      <c r="S78" s="13" t="str">
        <f t="shared" si="62"/>
        <v>-</v>
      </c>
      <c r="T78" s="13" t="str">
        <f t="shared" si="63"/>
        <v>-</v>
      </c>
      <c r="U78" s="31" t="str">
        <f t="shared" si="42"/>
        <v>-</v>
      </c>
      <c r="V78" s="6">
        <f t="shared" si="43"/>
        <v>1</v>
      </c>
      <c r="W78" s="6">
        <f>IF(V78="","",COUNT($V$3:V78))</f>
        <v>26</v>
      </c>
      <c r="X78" s="6">
        <f t="shared" si="50"/>
        <v>2</v>
      </c>
      <c r="Y78" s="6">
        <f t="shared" si="51"/>
        <v>3</v>
      </c>
      <c r="Z78" s="6">
        <f t="shared" si="52"/>
        <v>4</v>
      </c>
      <c r="AA78" s="6">
        <f t="shared" si="53"/>
        <v>1</v>
      </c>
      <c r="AB78" s="32">
        <f t="shared" si="44"/>
        <v>1</v>
      </c>
      <c r="AC78" s="13" t="str">
        <f t="shared" si="54"/>
        <v>박성현</v>
      </c>
      <c r="AD78" s="13" t="str">
        <f t="shared" si="55"/>
        <v>허지웅</v>
      </c>
      <c r="AE78" s="13" t="str">
        <f t="shared" si="56"/>
        <v>정윤준</v>
      </c>
      <c r="AF78" s="13" t="str">
        <f t="shared" si="57"/>
        <v>이기수</v>
      </c>
      <c r="AG78" s="31" t="str">
        <f t="shared" si="45"/>
        <v>허지웅</v>
      </c>
      <c r="AH78" s="2" t="str">
        <f t="shared" si="58"/>
        <v/>
      </c>
      <c r="AI78" s="2" t="str">
        <f>IF(AH78="","",COUNT($AH$3:AH78))</f>
        <v/>
      </c>
      <c r="AJ78" s="60" t="str">
        <f t="shared" si="59"/>
        <v/>
      </c>
    </row>
    <row r="79" spans="1:36" ht="16.5">
      <c r="A79" s="6">
        <v>77</v>
      </c>
      <c r="B79" s="9">
        <f t="shared" si="34"/>
        <v>46099</v>
      </c>
      <c r="C79" s="7">
        <f t="shared" si="35"/>
        <v>3</v>
      </c>
      <c r="D79" s="7">
        <f t="shared" si="36"/>
        <v>18</v>
      </c>
      <c r="E79" s="15">
        <f t="shared" si="37"/>
        <v>4</v>
      </c>
      <c r="F79" s="8" t="str">
        <f t="shared" si="38"/>
        <v/>
      </c>
      <c r="G79" s="58"/>
      <c r="H79" s="12" t="s">
        <v>64</v>
      </c>
      <c r="I79" s="6" t="str">
        <f t="shared" si="39"/>
        <v>비번</v>
      </c>
      <c r="J79" s="6" t="str">
        <f t="shared" si="40"/>
        <v/>
      </c>
      <c r="K79" s="6" t="str">
        <f>IF(J79="","",COUNT($J$3:J79))</f>
        <v/>
      </c>
      <c r="L79" s="6" t="str">
        <f t="shared" si="46"/>
        <v/>
      </c>
      <c r="M79" s="6" t="str">
        <f t="shared" si="47"/>
        <v/>
      </c>
      <c r="N79" s="6" t="str">
        <f t="shared" si="48"/>
        <v/>
      </c>
      <c r="O79" s="6" t="str">
        <f t="shared" si="49"/>
        <v/>
      </c>
      <c r="P79" s="32" t="str">
        <f t="shared" si="41"/>
        <v/>
      </c>
      <c r="Q79" s="13" t="str">
        <f t="shared" si="60"/>
        <v>-</v>
      </c>
      <c r="R79" s="13" t="str">
        <f t="shared" si="61"/>
        <v>-</v>
      </c>
      <c r="S79" s="13" t="str">
        <f t="shared" si="62"/>
        <v>-</v>
      </c>
      <c r="T79" s="13" t="str">
        <f t="shared" si="63"/>
        <v>-</v>
      </c>
      <c r="U79" s="31" t="str">
        <f t="shared" si="42"/>
        <v>-</v>
      </c>
      <c r="V79" s="6" t="str">
        <f t="shared" si="43"/>
        <v/>
      </c>
      <c r="W79" s="6" t="str">
        <f>IF(V79="","",COUNT($V$3:V79))</f>
        <v/>
      </c>
      <c r="X79" s="6" t="str">
        <f t="shared" si="50"/>
        <v/>
      </c>
      <c r="Y79" s="6" t="str">
        <f t="shared" si="51"/>
        <v/>
      </c>
      <c r="Z79" s="6" t="str">
        <f t="shared" si="52"/>
        <v/>
      </c>
      <c r="AA79" s="6" t="str">
        <f t="shared" si="53"/>
        <v/>
      </c>
      <c r="AB79" s="32" t="str">
        <f t="shared" si="44"/>
        <v/>
      </c>
      <c r="AC79" s="13" t="str">
        <f t="shared" si="54"/>
        <v>-</v>
      </c>
      <c r="AD79" s="13" t="str">
        <f t="shared" si="55"/>
        <v>-</v>
      </c>
      <c r="AE79" s="13" t="str">
        <f t="shared" si="56"/>
        <v>-</v>
      </c>
      <c r="AF79" s="13" t="str">
        <f t="shared" si="57"/>
        <v>-</v>
      </c>
      <c r="AG79" s="31" t="str">
        <f t="shared" si="45"/>
        <v>-</v>
      </c>
      <c r="AH79" s="2" t="str">
        <f t="shared" si="58"/>
        <v/>
      </c>
      <c r="AI79" s="2" t="str">
        <f>IF(AH79="","",COUNT($AH$3:AH79))</f>
        <v/>
      </c>
      <c r="AJ79" s="60" t="str">
        <f t="shared" si="59"/>
        <v/>
      </c>
    </row>
    <row r="80" spans="1:36" ht="16.5">
      <c r="A80" s="6">
        <v>78</v>
      </c>
      <c r="B80" s="9">
        <f t="shared" si="34"/>
        <v>46100</v>
      </c>
      <c r="C80" s="7">
        <f t="shared" si="35"/>
        <v>3</v>
      </c>
      <c r="D80" s="7">
        <f t="shared" si="36"/>
        <v>19</v>
      </c>
      <c r="E80" s="15">
        <f t="shared" si="37"/>
        <v>5</v>
      </c>
      <c r="F80" s="8" t="str">
        <f t="shared" si="38"/>
        <v/>
      </c>
      <c r="G80" s="58"/>
      <c r="H80" s="12" t="s">
        <v>65</v>
      </c>
      <c r="I80" s="6" t="str">
        <f t="shared" si="39"/>
        <v>주간</v>
      </c>
      <c r="J80" s="6">
        <f t="shared" si="40"/>
        <v>1</v>
      </c>
      <c r="K80" s="6">
        <f>IF(J80="","",COUNT($J$3:J80))</f>
        <v>18</v>
      </c>
      <c r="L80" s="6">
        <f t="shared" si="46"/>
        <v>2</v>
      </c>
      <c r="M80" s="6">
        <f t="shared" si="47"/>
        <v>3</v>
      </c>
      <c r="N80" s="6">
        <f t="shared" si="48"/>
        <v>4</v>
      </c>
      <c r="O80" s="6">
        <f t="shared" si="49"/>
        <v>1</v>
      </c>
      <c r="P80" s="32">
        <f t="shared" si="41"/>
        <v>3</v>
      </c>
      <c r="Q80" s="13" t="str">
        <f t="shared" si="60"/>
        <v>박성현</v>
      </c>
      <c r="R80" s="13" t="str">
        <f t="shared" si="61"/>
        <v>허지웅</v>
      </c>
      <c r="S80" s="13" t="str">
        <f t="shared" si="62"/>
        <v>정윤준</v>
      </c>
      <c r="T80" s="13" t="str">
        <f t="shared" si="63"/>
        <v>이기수</v>
      </c>
      <c r="U80" s="31" t="str">
        <f t="shared" si="42"/>
        <v>허지웅</v>
      </c>
      <c r="V80" s="6" t="str">
        <f t="shared" si="43"/>
        <v/>
      </c>
      <c r="W80" s="6" t="str">
        <f>IF(V80="","",COUNT($V$3:V80))</f>
        <v/>
      </c>
      <c r="X80" s="6" t="str">
        <f t="shared" si="50"/>
        <v/>
      </c>
      <c r="Y80" s="6" t="str">
        <f t="shared" si="51"/>
        <v/>
      </c>
      <c r="Z80" s="6" t="str">
        <f t="shared" si="52"/>
        <v/>
      </c>
      <c r="AA80" s="6" t="str">
        <f t="shared" si="53"/>
        <v/>
      </c>
      <c r="AB80" s="32" t="str">
        <f t="shared" si="44"/>
        <v/>
      </c>
      <c r="AC80" s="13" t="str">
        <f t="shared" si="54"/>
        <v>-</v>
      </c>
      <c r="AD80" s="13" t="str">
        <f t="shared" si="55"/>
        <v>-</v>
      </c>
      <c r="AE80" s="13" t="str">
        <f t="shared" si="56"/>
        <v>-</v>
      </c>
      <c r="AF80" s="13" t="str">
        <f t="shared" si="57"/>
        <v>-</v>
      </c>
      <c r="AG80" s="31" t="str">
        <f t="shared" si="45"/>
        <v>-</v>
      </c>
      <c r="AH80" s="2" t="str">
        <f t="shared" si="58"/>
        <v/>
      </c>
      <c r="AI80" s="2" t="str">
        <f>IF(AH80="","",COUNT($AH$3:AH80))</f>
        <v/>
      </c>
      <c r="AJ80" s="60" t="str">
        <f t="shared" si="59"/>
        <v/>
      </c>
    </row>
    <row r="81" spans="1:36" ht="16.5">
      <c r="A81" s="6">
        <v>79</v>
      </c>
      <c r="B81" s="9">
        <f t="shared" si="34"/>
        <v>46101</v>
      </c>
      <c r="C81" s="7">
        <f t="shared" si="35"/>
        <v>3</v>
      </c>
      <c r="D81" s="7">
        <f t="shared" si="36"/>
        <v>20</v>
      </c>
      <c r="E81" s="15">
        <f t="shared" si="37"/>
        <v>6</v>
      </c>
      <c r="F81" s="8" t="str">
        <f t="shared" si="38"/>
        <v/>
      </c>
      <c r="G81" s="58"/>
      <c r="H81" s="12" t="s">
        <v>63</v>
      </c>
      <c r="I81" s="6" t="str">
        <f t="shared" si="39"/>
        <v>야간</v>
      </c>
      <c r="J81" s="6" t="str">
        <f t="shared" si="40"/>
        <v/>
      </c>
      <c r="K81" s="6" t="str">
        <f>IF(J81="","",COUNT($J$3:J81))</f>
        <v/>
      </c>
      <c r="L81" s="6" t="str">
        <f t="shared" si="46"/>
        <v/>
      </c>
      <c r="M81" s="6" t="str">
        <f t="shared" si="47"/>
        <v/>
      </c>
      <c r="N81" s="6" t="str">
        <f t="shared" si="48"/>
        <v/>
      </c>
      <c r="O81" s="6" t="str">
        <f t="shared" si="49"/>
        <v/>
      </c>
      <c r="P81" s="32" t="str">
        <f t="shared" si="41"/>
        <v/>
      </c>
      <c r="Q81" s="13" t="str">
        <f t="shared" si="60"/>
        <v>-</v>
      </c>
      <c r="R81" s="13" t="str">
        <f t="shared" si="61"/>
        <v>-</v>
      </c>
      <c r="S81" s="13" t="str">
        <f t="shared" si="62"/>
        <v>-</v>
      </c>
      <c r="T81" s="13" t="str">
        <f t="shared" si="63"/>
        <v>-</v>
      </c>
      <c r="U81" s="31" t="str">
        <f t="shared" si="42"/>
        <v>-</v>
      </c>
      <c r="V81" s="6">
        <f t="shared" si="43"/>
        <v>1</v>
      </c>
      <c r="W81" s="6">
        <f>IF(V81="","",COUNT($V$3:V81))</f>
        <v>27</v>
      </c>
      <c r="X81" s="6">
        <f t="shared" si="50"/>
        <v>1</v>
      </c>
      <c r="Y81" s="6">
        <f t="shared" si="51"/>
        <v>2</v>
      </c>
      <c r="Z81" s="6">
        <f t="shared" si="52"/>
        <v>3</v>
      </c>
      <c r="AA81" s="6">
        <f t="shared" si="53"/>
        <v>4</v>
      </c>
      <c r="AB81" s="32">
        <f t="shared" si="44"/>
        <v>2</v>
      </c>
      <c r="AC81" s="13" t="str">
        <f t="shared" si="54"/>
        <v>이기수</v>
      </c>
      <c r="AD81" s="13" t="str">
        <f t="shared" si="55"/>
        <v>박성현</v>
      </c>
      <c r="AE81" s="13" t="str">
        <f t="shared" si="56"/>
        <v>허지웅</v>
      </c>
      <c r="AF81" s="13" t="str">
        <f t="shared" si="57"/>
        <v>정윤준</v>
      </c>
      <c r="AG81" s="31" t="str">
        <f t="shared" si="45"/>
        <v>장혁진</v>
      </c>
      <c r="AH81" s="2">
        <f t="shared" si="58"/>
        <v>1</v>
      </c>
      <c r="AI81" s="2">
        <f>IF(AH81="","",COUNT($AH$3:AH81))</f>
        <v>7</v>
      </c>
      <c r="AJ81" s="60" t="str">
        <f t="shared" si="59"/>
        <v>정윤준</v>
      </c>
    </row>
    <row r="82" spans="1:36" ht="16.5">
      <c r="A82" s="6">
        <v>80</v>
      </c>
      <c r="B82" s="9">
        <f t="shared" si="34"/>
        <v>46102</v>
      </c>
      <c r="C82" s="7">
        <f t="shared" si="35"/>
        <v>3</v>
      </c>
      <c r="D82" s="7">
        <f t="shared" si="36"/>
        <v>21</v>
      </c>
      <c r="E82" s="15">
        <f t="shared" si="37"/>
        <v>7</v>
      </c>
      <c r="F82" s="8" t="str">
        <f t="shared" si="38"/>
        <v>휴</v>
      </c>
      <c r="G82" s="58"/>
      <c r="H82" s="12" t="s">
        <v>64</v>
      </c>
      <c r="I82" s="6" t="str">
        <f t="shared" si="39"/>
        <v>비번</v>
      </c>
      <c r="J82" s="6" t="str">
        <f t="shared" si="40"/>
        <v/>
      </c>
      <c r="K82" s="6" t="str">
        <f>IF(J82="","",COUNT($J$3:J82))</f>
        <v/>
      </c>
      <c r="L82" s="6" t="str">
        <f t="shared" si="46"/>
        <v/>
      </c>
      <c r="M82" s="6" t="str">
        <f t="shared" si="47"/>
        <v/>
      </c>
      <c r="N82" s="6" t="str">
        <f t="shared" si="48"/>
        <v/>
      </c>
      <c r="O82" s="6" t="str">
        <f t="shared" si="49"/>
        <v/>
      </c>
      <c r="P82" s="32" t="str">
        <f t="shared" si="41"/>
        <v/>
      </c>
      <c r="Q82" s="13" t="str">
        <f t="shared" si="60"/>
        <v>-</v>
      </c>
      <c r="R82" s="13" t="str">
        <f t="shared" si="61"/>
        <v>-</v>
      </c>
      <c r="S82" s="13" t="str">
        <f t="shared" si="62"/>
        <v>-</v>
      </c>
      <c r="T82" s="13" t="str">
        <f t="shared" si="63"/>
        <v>-</v>
      </c>
      <c r="U82" s="31" t="str">
        <f t="shared" si="42"/>
        <v>-</v>
      </c>
      <c r="V82" s="6" t="str">
        <f t="shared" si="43"/>
        <v/>
      </c>
      <c r="W82" s="6" t="str">
        <f>IF(V82="","",COUNT($V$3:V82))</f>
        <v/>
      </c>
      <c r="X82" s="6" t="str">
        <f t="shared" si="50"/>
        <v/>
      </c>
      <c r="Y82" s="6" t="str">
        <f t="shared" si="51"/>
        <v/>
      </c>
      <c r="Z82" s="6" t="str">
        <f t="shared" si="52"/>
        <v/>
      </c>
      <c r="AA82" s="6" t="str">
        <f t="shared" si="53"/>
        <v/>
      </c>
      <c r="AB82" s="32" t="str">
        <f t="shared" si="44"/>
        <v/>
      </c>
      <c r="AC82" s="13" t="str">
        <f t="shared" si="54"/>
        <v>-</v>
      </c>
      <c r="AD82" s="13" t="str">
        <f t="shared" si="55"/>
        <v>-</v>
      </c>
      <c r="AE82" s="13" t="str">
        <f t="shared" si="56"/>
        <v>-</v>
      </c>
      <c r="AF82" s="13" t="str">
        <f t="shared" si="57"/>
        <v>-</v>
      </c>
      <c r="AG82" s="31" t="str">
        <f t="shared" si="45"/>
        <v>-</v>
      </c>
      <c r="AH82" s="2" t="str">
        <f t="shared" si="58"/>
        <v/>
      </c>
      <c r="AI82" s="2" t="str">
        <f>IF(AH82="","",COUNT($AH$3:AH82))</f>
        <v/>
      </c>
      <c r="AJ82" s="60" t="str">
        <f t="shared" si="59"/>
        <v/>
      </c>
    </row>
    <row r="83" spans="1:36" ht="16.5">
      <c r="A83" s="6">
        <v>81</v>
      </c>
      <c r="B83" s="9">
        <f t="shared" si="34"/>
        <v>46103</v>
      </c>
      <c r="C83" s="7">
        <f t="shared" si="35"/>
        <v>3</v>
      </c>
      <c r="D83" s="7">
        <f t="shared" si="36"/>
        <v>22</v>
      </c>
      <c r="E83" s="15">
        <f t="shared" si="37"/>
        <v>1</v>
      </c>
      <c r="F83" s="8" t="str">
        <f t="shared" si="38"/>
        <v>휴</v>
      </c>
      <c r="G83" s="58"/>
      <c r="H83" s="12" t="s">
        <v>65</v>
      </c>
      <c r="I83" s="6" t="str">
        <f t="shared" si="39"/>
        <v>휴무</v>
      </c>
      <c r="J83" s="6" t="str">
        <f t="shared" si="40"/>
        <v/>
      </c>
      <c r="K83" s="6" t="str">
        <f>IF(J83="","",COUNT($J$3:J83))</f>
        <v/>
      </c>
      <c r="L83" s="6" t="str">
        <f t="shared" si="46"/>
        <v/>
      </c>
      <c r="M83" s="6" t="str">
        <f t="shared" si="47"/>
        <v/>
      </c>
      <c r="N83" s="6" t="str">
        <f t="shared" si="48"/>
        <v/>
      </c>
      <c r="O83" s="6" t="str">
        <f t="shared" si="49"/>
        <v/>
      </c>
      <c r="P83" s="32" t="str">
        <f t="shared" si="41"/>
        <v/>
      </c>
      <c r="Q83" s="13" t="str">
        <f t="shared" si="60"/>
        <v>-</v>
      </c>
      <c r="R83" s="13" t="str">
        <f t="shared" si="61"/>
        <v>-</v>
      </c>
      <c r="S83" s="13" t="str">
        <f t="shared" si="62"/>
        <v>-</v>
      </c>
      <c r="T83" s="13" t="str">
        <f t="shared" si="63"/>
        <v>-</v>
      </c>
      <c r="U83" s="31" t="str">
        <f t="shared" si="42"/>
        <v>-</v>
      </c>
      <c r="V83" s="6" t="str">
        <f t="shared" si="43"/>
        <v/>
      </c>
      <c r="W83" s="6" t="str">
        <f>IF(V83="","",COUNT($V$3:V83))</f>
        <v/>
      </c>
      <c r="X83" s="6" t="str">
        <f t="shared" si="50"/>
        <v/>
      </c>
      <c r="Y83" s="6" t="str">
        <f t="shared" si="51"/>
        <v/>
      </c>
      <c r="Z83" s="6" t="str">
        <f t="shared" si="52"/>
        <v/>
      </c>
      <c r="AA83" s="6" t="str">
        <f t="shared" si="53"/>
        <v/>
      </c>
      <c r="AB83" s="32" t="str">
        <f t="shared" si="44"/>
        <v/>
      </c>
      <c r="AC83" s="13" t="str">
        <f t="shared" si="54"/>
        <v>-</v>
      </c>
      <c r="AD83" s="13" t="str">
        <f t="shared" si="55"/>
        <v>-</v>
      </c>
      <c r="AE83" s="13" t="str">
        <f t="shared" si="56"/>
        <v>-</v>
      </c>
      <c r="AF83" s="13" t="str">
        <f t="shared" si="57"/>
        <v>-</v>
      </c>
      <c r="AG83" s="31" t="str">
        <f t="shared" si="45"/>
        <v>-</v>
      </c>
      <c r="AH83" s="2" t="str">
        <f t="shared" si="58"/>
        <v/>
      </c>
      <c r="AI83" s="2" t="str">
        <f>IF(AH83="","",COUNT($AH$3:AH83))</f>
        <v/>
      </c>
      <c r="AJ83" s="60" t="str">
        <f t="shared" si="59"/>
        <v/>
      </c>
    </row>
    <row r="84" spans="1:36" ht="16.5">
      <c r="A84" s="6">
        <v>82</v>
      </c>
      <c r="B84" s="9">
        <f t="shared" si="34"/>
        <v>46104</v>
      </c>
      <c r="C84" s="7">
        <f t="shared" si="35"/>
        <v>3</v>
      </c>
      <c r="D84" s="7">
        <f t="shared" si="36"/>
        <v>23</v>
      </c>
      <c r="E84" s="15">
        <f t="shared" si="37"/>
        <v>2</v>
      </c>
      <c r="F84" s="8" t="str">
        <f t="shared" si="38"/>
        <v/>
      </c>
      <c r="G84" s="58"/>
      <c r="H84" s="12" t="s">
        <v>63</v>
      </c>
      <c r="I84" s="6" t="str">
        <f t="shared" si="39"/>
        <v>야간</v>
      </c>
      <c r="J84" s="6" t="str">
        <f t="shared" si="40"/>
        <v/>
      </c>
      <c r="K84" s="6" t="str">
        <f>IF(J84="","",COUNT($J$3:J84))</f>
        <v/>
      </c>
      <c r="L84" s="6" t="str">
        <f t="shared" si="46"/>
        <v/>
      </c>
      <c r="M84" s="6" t="str">
        <f t="shared" si="47"/>
        <v/>
      </c>
      <c r="N84" s="6" t="str">
        <f t="shared" si="48"/>
        <v/>
      </c>
      <c r="O84" s="6" t="str">
        <f t="shared" si="49"/>
        <v/>
      </c>
      <c r="P84" s="32" t="str">
        <f t="shared" si="41"/>
        <v/>
      </c>
      <c r="Q84" s="13" t="str">
        <f t="shared" si="60"/>
        <v>-</v>
      </c>
      <c r="R84" s="13" t="str">
        <f t="shared" si="61"/>
        <v>-</v>
      </c>
      <c r="S84" s="13" t="str">
        <f t="shared" si="62"/>
        <v>-</v>
      </c>
      <c r="T84" s="13" t="str">
        <f t="shared" si="63"/>
        <v>-</v>
      </c>
      <c r="U84" s="31" t="str">
        <f t="shared" si="42"/>
        <v>-</v>
      </c>
      <c r="V84" s="6">
        <f t="shared" si="43"/>
        <v>1</v>
      </c>
      <c r="W84" s="6">
        <f>IF(V84="","",COUNT($V$3:V84))</f>
        <v>28</v>
      </c>
      <c r="X84" s="6">
        <f t="shared" si="50"/>
        <v>4</v>
      </c>
      <c r="Y84" s="6">
        <f t="shared" si="51"/>
        <v>1</v>
      </c>
      <c r="Z84" s="6">
        <f t="shared" si="52"/>
        <v>2</v>
      </c>
      <c r="AA84" s="6">
        <f t="shared" si="53"/>
        <v>3</v>
      </c>
      <c r="AB84" s="32">
        <f t="shared" si="44"/>
        <v>3</v>
      </c>
      <c r="AC84" s="13" t="str">
        <f t="shared" si="54"/>
        <v>정윤준</v>
      </c>
      <c r="AD84" s="13" t="str">
        <f t="shared" si="55"/>
        <v>이기수</v>
      </c>
      <c r="AE84" s="13" t="str">
        <f t="shared" si="56"/>
        <v>박성현</v>
      </c>
      <c r="AF84" s="13" t="str">
        <f t="shared" si="57"/>
        <v>허지웅</v>
      </c>
      <c r="AG84" s="31" t="str">
        <f t="shared" si="45"/>
        <v>이기수</v>
      </c>
      <c r="AH84" s="2" t="str">
        <f t="shared" si="58"/>
        <v/>
      </c>
      <c r="AI84" s="2" t="str">
        <f>IF(AH84="","",COUNT($AH$3:AH84))</f>
        <v/>
      </c>
      <c r="AJ84" s="60" t="str">
        <f t="shared" si="59"/>
        <v/>
      </c>
    </row>
    <row r="85" spans="1:36" ht="16.5">
      <c r="A85" s="6">
        <v>83</v>
      </c>
      <c r="B85" s="9">
        <f t="shared" si="34"/>
        <v>46105</v>
      </c>
      <c r="C85" s="7">
        <f t="shared" si="35"/>
        <v>3</v>
      </c>
      <c r="D85" s="7">
        <f t="shared" si="36"/>
        <v>24</v>
      </c>
      <c r="E85" s="15">
        <f t="shared" si="37"/>
        <v>3</v>
      </c>
      <c r="F85" s="8" t="str">
        <f t="shared" si="38"/>
        <v/>
      </c>
      <c r="G85" s="58"/>
      <c r="H85" s="12" t="s">
        <v>64</v>
      </c>
      <c r="I85" s="6" t="str">
        <f t="shared" si="39"/>
        <v>비번</v>
      </c>
      <c r="J85" s="6" t="str">
        <f t="shared" si="40"/>
        <v/>
      </c>
      <c r="K85" s="6" t="str">
        <f>IF(J85="","",COUNT($J$3:J85))</f>
        <v/>
      </c>
      <c r="L85" s="6" t="str">
        <f t="shared" si="46"/>
        <v/>
      </c>
      <c r="M85" s="6" t="str">
        <f t="shared" si="47"/>
        <v/>
      </c>
      <c r="N85" s="6" t="str">
        <f t="shared" si="48"/>
        <v/>
      </c>
      <c r="O85" s="6" t="str">
        <f t="shared" si="49"/>
        <v/>
      </c>
      <c r="P85" s="32" t="str">
        <f t="shared" si="41"/>
        <v/>
      </c>
      <c r="Q85" s="13" t="str">
        <f t="shared" si="60"/>
        <v>-</v>
      </c>
      <c r="R85" s="13" t="str">
        <f t="shared" si="61"/>
        <v>-</v>
      </c>
      <c r="S85" s="13" t="str">
        <f t="shared" si="62"/>
        <v>-</v>
      </c>
      <c r="T85" s="13" t="str">
        <f t="shared" si="63"/>
        <v>-</v>
      </c>
      <c r="U85" s="31" t="str">
        <f t="shared" si="42"/>
        <v>-</v>
      </c>
      <c r="V85" s="6" t="str">
        <f t="shared" si="43"/>
        <v/>
      </c>
      <c r="W85" s="6" t="str">
        <f>IF(V85="","",COUNT($V$3:V85))</f>
        <v/>
      </c>
      <c r="X85" s="6" t="str">
        <f t="shared" si="50"/>
        <v/>
      </c>
      <c r="Y85" s="6" t="str">
        <f t="shared" si="51"/>
        <v/>
      </c>
      <c r="Z85" s="6" t="str">
        <f t="shared" si="52"/>
        <v/>
      </c>
      <c r="AA85" s="6" t="str">
        <f t="shared" si="53"/>
        <v/>
      </c>
      <c r="AB85" s="32" t="str">
        <f t="shared" si="44"/>
        <v/>
      </c>
      <c r="AC85" s="13" t="str">
        <f t="shared" si="54"/>
        <v>-</v>
      </c>
      <c r="AD85" s="13" t="str">
        <f t="shared" si="55"/>
        <v>-</v>
      </c>
      <c r="AE85" s="13" t="str">
        <f t="shared" si="56"/>
        <v>-</v>
      </c>
      <c r="AF85" s="13" t="str">
        <f t="shared" si="57"/>
        <v>-</v>
      </c>
      <c r="AG85" s="31" t="str">
        <f t="shared" si="45"/>
        <v>-</v>
      </c>
      <c r="AH85" s="2" t="str">
        <f t="shared" si="58"/>
        <v/>
      </c>
      <c r="AI85" s="2" t="str">
        <f>IF(AH85="","",COUNT($AH$3:AH85))</f>
        <v/>
      </c>
      <c r="AJ85" s="60" t="str">
        <f t="shared" si="59"/>
        <v/>
      </c>
    </row>
    <row r="86" spans="1:36" ht="16.5">
      <c r="A86" s="6">
        <v>84</v>
      </c>
      <c r="B86" s="9">
        <f t="shared" si="34"/>
        <v>46106</v>
      </c>
      <c r="C86" s="7">
        <f t="shared" si="35"/>
        <v>3</v>
      </c>
      <c r="D86" s="7">
        <f t="shared" si="36"/>
        <v>25</v>
      </c>
      <c r="E86" s="15">
        <f t="shared" si="37"/>
        <v>4</v>
      </c>
      <c r="F86" s="8" t="str">
        <f t="shared" si="38"/>
        <v/>
      </c>
      <c r="G86" s="58"/>
      <c r="H86" s="12" t="s">
        <v>65</v>
      </c>
      <c r="I86" s="6" t="str">
        <f t="shared" si="39"/>
        <v>주간</v>
      </c>
      <c r="J86" s="6">
        <f t="shared" si="40"/>
        <v>1</v>
      </c>
      <c r="K86" s="6">
        <f>IF(J86="","",COUNT($J$3:J86))</f>
        <v>19</v>
      </c>
      <c r="L86" s="6">
        <f t="shared" si="46"/>
        <v>1</v>
      </c>
      <c r="M86" s="6">
        <f t="shared" si="47"/>
        <v>2</v>
      </c>
      <c r="N86" s="6">
        <f t="shared" si="48"/>
        <v>3</v>
      </c>
      <c r="O86" s="6">
        <f t="shared" si="49"/>
        <v>4</v>
      </c>
      <c r="P86" s="32">
        <f t="shared" si="41"/>
        <v>4</v>
      </c>
      <c r="Q86" s="13" t="str">
        <f t="shared" si="60"/>
        <v>이기수</v>
      </c>
      <c r="R86" s="13" t="str">
        <f t="shared" si="61"/>
        <v>박성현</v>
      </c>
      <c r="S86" s="13" t="str">
        <f t="shared" si="62"/>
        <v>허지웅</v>
      </c>
      <c r="T86" s="13" t="str">
        <f t="shared" si="63"/>
        <v>정윤준</v>
      </c>
      <c r="U86" s="31" t="e">
        <f t="shared" si="42"/>
        <v>#VALUE!</v>
      </c>
      <c r="V86" s="6" t="str">
        <f t="shared" si="43"/>
        <v/>
      </c>
      <c r="W86" s="6" t="str">
        <f>IF(V86="","",COUNT($V$3:V86))</f>
        <v/>
      </c>
      <c r="X86" s="6" t="str">
        <f t="shared" si="50"/>
        <v/>
      </c>
      <c r="Y86" s="6" t="str">
        <f t="shared" si="51"/>
        <v/>
      </c>
      <c r="Z86" s="6" t="str">
        <f t="shared" si="52"/>
        <v/>
      </c>
      <c r="AA86" s="6" t="str">
        <f t="shared" si="53"/>
        <v/>
      </c>
      <c r="AB86" s="32" t="str">
        <f t="shared" si="44"/>
        <v/>
      </c>
      <c r="AC86" s="13" t="str">
        <f t="shared" si="54"/>
        <v>-</v>
      </c>
      <c r="AD86" s="13" t="str">
        <f t="shared" si="55"/>
        <v>-</v>
      </c>
      <c r="AE86" s="13" t="str">
        <f t="shared" si="56"/>
        <v>-</v>
      </c>
      <c r="AF86" s="13" t="str">
        <f t="shared" si="57"/>
        <v>-</v>
      </c>
      <c r="AG86" s="31" t="str">
        <f t="shared" si="45"/>
        <v>-</v>
      </c>
      <c r="AH86" s="2" t="str">
        <f t="shared" si="58"/>
        <v/>
      </c>
      <c r="AI86" s="2" t="str">
        <f>IF(AH86="","",COUNT($AH$3:AH86))</f>
        <v/>
      </c>
      <c r="AJ86" s="60" t="str">
        <f t="shared" si="59"/>
        <v/>
      </c>
    </row>
    <row r="87" spans="1:36" ht="16.5">
      <c r="A87" s="6">
        <v>85</v>
      </c>
      <c r="B87" s="9">
        <f t="shared" si="34"/>
        <v>46107</v>
      </c>
      <c r="C87" s="7">
        <f t="shared" si="35"/>
        <v>3</v>
      </c>
      <c r="D87" s="7">
        <f t="shared" si="36"/>
        <v>26</v>
      </c>
      <c r="E87" s="15">
        <f t="shared" si="37"/>
        <v>5</v>
      </c>
      <c r="F87" s="8" t="str">
        <f t="shared" si="38"/>
        <v/>
      </c>
      <c r="G87" s="58"/>
      <c r="H87" s="12" t="s">
        <v>63</v>
      </c>
      <c r="I87" s="6" t="str">
        <f t="shared" si="39"/>
        <v>야간</v>
      </c>
      <c r="J87" s="6" t="str">
        <f t="shared" si="40"/>
        <v/>
      </c>
      <c r="K87" s="6" t="str">
        <f>IF(J87="","",COUNT($J$3:J87))</f>
        <v/>
      </c>
      <c r="L87" s="6" t="str">
        <f t="shared" si="46"/>
        <v/>
      </c>
      <c r="M87" s="6" t="str">
        <f t="shared" si="47"/>
        <v/>
      </c>
      <c r="N87" s="6" t="str">
        <f t="shared" si="48"/>
        <v/>
      </c>
      <c r="O87" s="6" t="str">
        <f t="shared" si="49"/>
        <v/>
      </c>
      <c r="P87" s="32" t="str">
        <f t="shared" si="41"/>
        <v/>
      </c>
      <c r="Q87" s="13" t="str">
        <f t="shared" si="60"/>
        <v>-</v>
      </c>
      <c r="R87" s="13" t="str">
        <f t="shared" si="61"/>
        <v>-</v>
      </c>
      <c r="S87" s="13" t="str">
        <f t="shared" si="62"/>
        <v>-</v>
      </c>
      <c r="T87" s="13" t="str">
        <f t="shared" si="63"/>
        <v>-</v>
      </c>
      <c r="U87" s="31" t="str">
        <f t="shared" si="42"/>
        <v>-</v>
      </c>
      <c r="V87" s="6">
        <f t="shared" si="43"/>
        <v>1</v>
      </c>
      <c r="W87" s="6">
        <f>IF(V87="","",COUNT($V$3:V87))</f>
        <v>29</v>
      </c>
      <c r="X87" s="6">
        <f t="shared" si="50"/>
        <v>3</v>
      </c>
      <c r="Y87" s="6">
        <f t="shared" si="51"/>
        <v>4</v>
      </c>
      <c r="Z87" s="6">
        <f t="shared" si="52"/>
        <v>1</v>
      </c>
      <c r="AA87" s="6">
        <f t="shared" si="53"/>
        <v>2</v>
      </c>
      <c r="AB87" s="32">
        <f t="shared" si="44"/>
        <v>4</v>
      </c>
      <c r="AC87" s="13" t="str">
        <f t="shared" si="54"/>
        <v>허지웅</v>
      </c>
      <c r="AD87" s="13" t="str">
        <f t="shared" si="55"/>
        <v>정윤준</v>
      </c>
      <c r="AE87" s="13" t="str">
        <f t="shared" si="56"/>
        <v>이기수</v>
      </c>
      <c r="AF87" s="13" t="str">
        <f t="shared" si="57"/>
        <v>박성현</v>
      </c>
      <c r="AG87" s="31" t="e">
        <f t="shared" si="45"/>
        <v>#VALUE!</v>
      </c>
      <c r="AH87" s="2" t="str">
        <f t="shared" si="58"/>
        <v/>
      </c>
      <c r="AI87" s="2" t="str">
        <f>IF(AH87="","",COUNT($AH$3:AH87))</f>
        <v/>
      </c>
      <c r="AJ87" s="60" t="str">
        <f t="shared" si="59"/>
        <v/>
      </c>
    </row>
    <row r="88" spans="1:36" ht="16.5">
      <c r="A88" s="6">
        <v>86</v>
      </c>
      <c r="B88" s="9">
        <f t="shared" si="34"/>
        <v>46108</v>
      </c>
      <c r="C88" s="7">
        <f t="shared" si="35"/>
        <v>3</v>
      </c>
      <c r="D88" s="7">
        <f t="shared" si="36"/>
        <v>27</v>
      </c>
      <c r="E88" s="15">
        <f t="shared" si="37"/>
        <v>6</v>
      </c>
      <c r="F88" s="8" t="str">
        <f t="shared" si="38"/>
        <v/>
      </c>
      <c r="G88" s="58"/>
      <c r="H88" s="12" t="s">
        <v>64</v>
      </c>
      <c r="I88" s="6" t="str">
        <f t="shared" si="39"/>
        <v>비번</v>
      </c>
      <c r="J88" s="6" t="str">
        <f t="shared" si="40"/>
        <v/>
      </c>
      <c r="K88" s="6" t="str">
        <f>IF(J88="","",COUNT($J$3:J88))</f>
        <v/>
      </c>
      <c r="L88" s="6" t="str">
        <f t="shared" si="46"/>
        <v/>
      </c>
      <c r="M88" s="6" t="str">
        <f t="shared" si="47"/>
        <v/>
      </c>
      <c r="N88" s="6" t="str">
        <f t="shared" si="48"/>
        <v/>
      </c>
      <c r="O88" s="6" t="str">
        <f t="shared" si="49"/>
        <v/>
      </c>
      <c r="P88" s="32" t="str">
        <f t="shared" si="41"/>
        <v/>
      </c>
      <c r="Q88" s="13" t="str">
        <f t="shared" si="60"/>
        <v>-</v>
      </c>
      <c r="R88" s="13" t="str">
        <f t="shared" si="61"/>
        <v>-</v>
      </c>
      <c r="S88" s="13" t="str">
        <f t="shared" si="62"/>
        <v>-</v>
      </c>
      <c r="T88" s="13" t="str">
        <f t="shared" si="63"/>
        <v>-</v>
      </c>
      <c r="U88" s="31" t="str">
        <f t="shared" si="42"/>
        <v>-</v>
      </c>
      <c r="V88" s="6" t="str">
        <f t="shared" si="43"/>
        <v/>
      </c>
      <c r="W88" s="6" t="str">
        <f>IF(V88="","",COUNT($V$3:V88))</f>
        <v/>
      </c>
      <c r="X88" s="6" t="str">
        <f t="shared" si="50"/>
        <v/>
      </c>
      <c r="Y88" s="6" t="str">
        <f t="shared" si="51"/>
        <v/>
      </c>
      <c r="Z88" s="6" t="str">
        <f t="shared" si="52"/>
        <v/>
      </c>
      <c r="AA88" s="6" t="str">
        <f t="shared" si="53"/>
        <v/>
      </c>
      <c r="AB88" s="32" t="str">
        <f t="shared" si="44"/>
        <v/>
      </c>
      <c r="AC88" s="13" t="str">
        <f t="shared" si="54"/>
        <v>-</v>
      </c>
      <c r="AD88" s="13" t="str">
        <f t="shared" si="55"/>
        <v>-</v>
      </c>
      <c r="AE88" s="13" t="str">
        <f t="shared" si="56"/>
        <v>-</v>
      </c>
      <c r="AF88" s="13" t="str">
        <f t="shared" si="57"/>
        <v>-</v>
      </c>
      <c r="AG88" s="31" t="str">
        <f t="shared" si="45"/>
        <v>-</v>
      </c>
      <c r="AH88" s="2" t="str">
        <f t="shared" si="58"/>
        <v/>
      </c>
      <c r="AI88" s="2" t="str">
        <f>IF(AH88="","",COUNT($AH$3:AH88))</f>
        <v/>
      </c>
      <c r="AJ88" s="60" t="str">
        <f t="shared" si="59"/>
        <v/>
      </c>
    </row>
    <row r="89" spans="1:36" ht="16.5">
      <c r="A89" s="6">
        <v>87</v>
      </c>
      <c r="B89" s="9">
        <f t="shared" si="34"/>
        <v>46109</v>
      </c>
      <c r="C89" s="7">
        <f t="shared" si="35"/>
        <v>3</v>
      </c>
      <c r="D89" s="7">
        <f t="shared" si="36"/>
        <v>28</v>
      </c>
      <c r="E89" s="15">
        <f t="shared" si="37"/>
        <v>7</v>
      </c>
      <c r="F89" s="8" t="str">
        <f t="shared" si="38"/>
        <v>휴</v>
      </c>
      <c r="G89" s="58"/>
      <c r="H89" s="12" t="s">
        <v>65</v>
      </c>
      <c r="I89" s="6" t="str">
        <f t="shared" si="39"/>
        <v>휴무</v>
      </c>
      <c r="J89" s="6" t="str">
        <f t="shared" si="40"/>
        <v/>
      </c>
      <c r="K89" s="6" t="str">
        <f>IF(J89="","",COUNT($J$3:J89))</f>
        <v/>
      </c>
      <c r="L89" s="6" t="str">
        <f t="shared" si="46"/>
        <v/>
      </c>
      <c r="M89" s="6" t="str">
        <f t="shared" si="47"/>
        <v/>
      </c>
      <c r="N89" s="6" t="str">
        <f t="shared" si="48"/>
        <v/>
      </c>
      <c r="O89" s="6" t="str">
        <f t="shared" si="49"/>
        <v/>
      </c>
      <c r="P89" s="32" t="str">
        <f t="shared" si="41"/>
        <v/>
      </c>
      <c r="Q89" s="13" t="str">
        <f t="shared" si="60"/>
        <v>-</v>
      </c>
      <c r="R89" s="13" t="str">
        <f t="shared" si="61"/>
        <v>-</v>
      </c>
      <c r="S89" s="13" t="str">
        <f t="shared" si="62"/>
        <v>-</v>
      </c>
      <c r="T89" s="13" t="str">
        <f t="shared" si="63"/>
        <v>-</v>
      </c>
      <c r="U89" s="31" t="str">
        <f t="shared" si="42"/>
        <v>-</v>
      </c>
      <c r="V89" s="6" t="str">
        <f t="shared" si="43"/>
        <v/>
      </c>
      <c r="W89" s="6" t="str">
        <f>IF(V89="","",COUNT($V$3:V89))</f>
        <v/>
      </c>
      <c r="X89" s="6" t="str">
        <f t="shared" si="50"/>
        <v/>
      </c>
      <c r="Y89" s="6" t="str">
        <f t="shared" si="51"/>
        <v/>
      </c>
      <c r="Z89" s="6" t="str">
        <f t="shared" si="52"/>
        <v/>
      </c>
      <c r="AA89" s="6" t="str">
        <f t="shared" si="53"/>
        <v/>
      </c>
      <c r="AB89" s="32" t="str">
        <f t="shared" si="44"/>
        <v/>
      </c>
      <c r="AC89" s="13" t="str">
        <f t="shared" si="54"/>
        <v>-</v>
      </c>
      <c r="AD89" s="13" t="str">
        <f t="shared" si="55"/>
        <v>-</v>
      </c>
      <c r="AE89" s="13" t="str">
        <f t="shared" si="56"/>
        <v>-</v>
      </c>
      <c r="AF89" s="13" t="str">
        <f t="shared" si="57"/>
        <v>-</v>
      </c>
      <c r="AG89" s="31" t="str">
        <f t="shared" si="45"/>
        <v>-</v>
      </c>
      <c r="AH89" s="2" t="str">
        <f t="shared" si="58"/>
        <v/>
      </c>
      <c r="AI89" s="2" t="str">
        <f>IF(AH89="","",COUNT($AH$3:AH89))</f>
        <v/>
      </c>
      <c r="AJ89" s="60" t="str">
        <f t="shared" si="59"/>
        <v/>
      </c>
    </row>
    <row r="90" spans="1:36" ht="16.5">
      <c r="A90" s="6">
        <v>88</v>
      </c>
      <c r="B90" s="9">
        <f t="shared" si="34"/>
        <v>46110</v>
      </c>
      <c r="C90" s="7">
        <f t="shared" si="35"/>
        <v>3</v>
      </c>
      <c r="D90" s="7">
        <f t="shared" si="36"/>
        <v>29</v>
      </c>
      <c r="E90" s="15">
        <f t="shared" si="37"/>
        <v>1</v>
      </c>
      <c r="F90" s="8" t="str">
        <f t="shared" si="38"/>
        <v>휴</v>
      </c>
      <c r="G90" s="58"/>
      <c r="H90" s="12" t="s">
        <v>63</v>
      </c>
      <c r="I90" s="6" t="str">
        <f t="shared" si="39"/>
        <v>당직</v>
      </c>
      <c r="J90" s="6" t="str">
        <f t="shared" si="40"/>
        <v/>
      </c>
      <c r="K90" s="6" t="str">
        <f>IF(J90="","",COUNT($J$3:J90))</f>
        <v/>
      </c>
      <c r="L90" s="6" t="str">
        <f t="shared" si="46"/>
        <v/>
      </c>
      <c r="M90" s="6" t="str">
        <f t="shared" si="47"/>
        <v/>
      </c>
      <c r="N90" s="6" t="str">
        <f t="shared" si="48"/>
        <v/>
      </c>
      <c r="O90" s="6" t="str">
        <f t="shared" si="49"/>
        <v/>
      </c>
      <c r="P90" s="32" t="str">
        <f t="shared" si="41"/>
        <v/>
      </c>
      <c r="Q90" s="13" t="str">
        <f t="shared" si="60"/>
        <v>-</v>
      </c>
      <c r="R90" s="13" t="str">
        <f t="shared" si="61"/>
        <v>-</v>
      </c>
      <c r="S90" s="13" t="str">
        <f t="shared" si="62"/>
        <v>-</v>
      </c>
      <c r="T90" s="13" t="str">
        <f t="shared" si="63"/>
        <v>-</v>
      </c>
      <c r="U90" s="31" t="str">
        <f t="shared" si="42"/>
        <v>-</v>
      </c>
      <c r="V90" s="6">
        <f t="shared" si="43"/>
        <v>1</v>
      </c>
      <c r="W90" s="6">
        <f>IF(V90="","",COUNT($V$3:V90))</f>
        <v>30</v>
      </c>
      <c r="X90" s="6">
        <f t="shared" si="50"/>
        <v>2</v>
      </c>
      <c r="Y90" s="6">
        <f t="shared" si="51"/>
        <v>3</v>
      </c>
      <c r="Z90" s="6">
        <f t="shared" si="52"/>
        <v>4</v>
      </c>
      <c r="AA90" s="6">
        <f t="shared" si="53"/>
        <v>1</v>
      </c>
      <c r="AB90" s="32">
        <f t="shared" si="44"/>
        <v>0</v>
      </c>
      <c r="AC90" s="13" t="str">
        <f t="shared" si="54"/>
        <v>박성현</v>
      </c>
      <c r="AD90" s="13" t="str">
        <f t="shared" si="55"/>
        <v>허지웅</v>
      </c>
      <c r="AE90" s="13" t="str">
        <f t="shared" si="56"/>
        <v>정윤준</v>
      </c>
      <c r="AF90" s="13" t="str">
        <f t="shared" si="57"/>
        <v>이기수</v>
      </c>
      <c r="AG90" s="31" t="str">
        <f t="shared" si="45"/>
        <v>정윤준</v>
      </c>
      <c r="AH90" s="2" t="str">
        <f t="shared" si="58"/>
        <v/>
      </c>
      <c r="AI90" s="2" t="str">
        <f>IF(AH90="","",COUNT($AH$3:AH90))</f>
        <v/>
      </c>
      <c r="AJ90" s="60" t="str">
        <f t="shared" si="59"/>
        <v/>
      </c>
    </row>
    <row r="91" spans="1:36" ht="16.5">
      <c r="A91" s="6">
        <v>89</v>
      </c>
      <c r="B91" s="9">
        <f t="shared" si="34"/>
        <v>46111</v>
      </c>
      <c r="C91" s="7">
        <f t="shared" si="35"/>
        <v>3</v>
      </c>
      <c r="D91" s="7">
        <f t="shared" si="36"/>
        <v>30</v>
      </c>
      <c r="E91" s="15">
        <f t="shared" si="37"/>
        <v>2</v>
      </c>
      <c r="F91" s="8" t="str">
        <f t="shared" si="38"/>
        <v/>
      </c>
      <c r="G91" s="58"/>
      <c r="H91" s="12" t="s">
        <v>64</v>
      </c>
      <c r="I91" s="6" t="str">
        <f t="shared" si="39"/>
        <v>비번</v>
      </c>
      <c r="J91" s="6" t="str">
        <f t="shared" si="40"/>
        <v/>
      </c>
      <c r="K91" s="6" t="str">
        <f>IF(J91="","",COUNT($J$3:J91))</f>
        <v/>
      </c>
      <c r="L91" s="6" t="str">
        <f t="shared" si="46"/>
        <v/>
      </c>
      <c r="M91" s="6" t="str">
        <f t="shared" si="47"/>
        <v/>
      </c>
      <c r="N91" s="6" t="str">
        <f t="shared" si="48"/>
        <v/>
      </c>
      <c r="O91" s="6" t="str">
        <f t="shared" si="49"/>
        <v/>
      </c>
      <c r="P91" s="32" t="str">
        <f t="shared" si="41"/>
        <v/>
      </c>
      <c r="Q91" s="13" t="str">
        <f t="shared" si="60"/>
        <v>-</v>
      </c>
      <c r="R91" s="13" t="str">
        <f t="shared" si="61"/>
        <v>-</v>
      </c>
      <c r="S91" s="13" t="str">
        <f t="shared" si="62"/>
        <v>-</v>
      </c>
      <c r="T91" s="13" t="str">
        <f t="shared" si="63"/>
        <v>-</v>
      </c>
      <c r="U91" s="31" t="str">
        <f t="shared" si="42"/>
        <v>-</v>
      </c>
      <c r="V91" s="6" t="str">
        <f t="shared" si="43"/>
        <v/>
      </c>
      <c r="W91" s="6" t="str">
        <f>IF(V91="","",COUNT($V$3:V91))</f>
        <v/>
      </c>
      <c r="X91" s="6" t="str">
        <f t="shared" si="50"/>
        <v/>
      </c>
      <c r="Y91" s="6" t="str">
        <f t="shared" si="51"/>
        <v/>
      </c>
      <c r="Z91" s="6" t="str">
        <f t="shared" si="52"/>
        <v/>
      </c>
      <c r="AA91" s="6" t="str">
        <f t="shared" si="53"/>
        <v/>
      </c>
      <c r="AB91" s="32" t="str">
        <f t="shared" si="44"/>
        <v/>
      </c>
      <c r="AC91" s="13" t="str">
        <f t="shared" si="54"/>
        <v>-</v>
      </c>
      <c r="AD91" s="13" t="str">
        <f t="shared" si="55"/>
        <v>-</v>
      </c>
      <c r="AE91" s="13" t="str">
        <f t="shared" si="56"/>
        <v>-</v>
      </c>
      <c r="AF91" s="13" t="str">
        <f t="shared" si="57"/>
        <v>-</v>
      </c>
      <c r="AG91" s="31" t="str">
        <f t="shared" si="45"/>
        <v>-</v>
      </c>
      <c r="AH91" s="2" t="str">
        <f t="shared" si="58"/>
        <v/>
      </c>
      <c r="AI91" s="2" t="str">
        <f>IF(AH91="","",COUNT($AH$3:AH91))</f>
        <v/>
      </c>
      <c r="AJ91" s="60" t="str">
        <f t="shared" si="59"/>
        <v/>
      </c>
    </row>
    <row r="92" spans="1:36" ht="16.5">
      <c r="A92" s="6">
        <v>90</v>
      </c>
      <c r="B92" s="9">
        <f t="shared" si="34"/>
        <v>46112</v>
      </c>
      <c r="C92" s="7">
        <f t="shared" si="35"/>
        <v>3</v>
      </c>
      <c r="D92" s="7">
        <f t="shared" si="36"/>
        <v>31</v>
      </c>
      <c r="E92" s="15">
        <f t="shared" si="37"/>
        <v>3</v>
      </c>
      <c r="F92" s="8" t="str">
        <f t="shared" si="38"/>
        <v/>
      </c>
      <c r="G92" s="58"/>
      <c r="H92" s="12" t="s">
        <v>65</v>
      </c>
      <c r="I92" s="6" t="str">
        <f t="shared" si="39"/>
        <v>주간</v>
      </c>
      <c r="J92" s="6">
        <f t="shared" si="40"/>
        <v>1</v>
      </c>
      <c r="K92" s="6">
        <f>IF(J92="","",COUNT($J$3:J92))</f>
        <v>20</v>
      </c>
      <c r="L92" s="6">
        <f t="shared" si="46"/>
        <v>4</v>
      </c>
      <c r="M92" s="6">
        <f t="shared" si="47"/>
        <v>1</v>
      </c>
      <c r="N92" s="6">
        <f t="shared" si="48"/>
        <v>2</v>
      </c>
      <c r="O92" s="6">
        <f t="shared" si="49"/>
        <v>3</v>
      </c>
      <c r="P92" s="32">
        <f t="shared" si="41"/>
        <v>0</v>
      </c>
      <c r="Q92" s="13" t="str">
        <f t="shared" si="60"/>
        <v>정윤준</v>
      </c>
      <c r="R92" s="13" t="str">
        <f t="shared" si="61"/>
        <v>이기수</v>
      </c>
      <c r="S92" s="13" t="str">
        <f t="shared" si="62"/>
        <v>박성현</v>
      </c>
      <c r="T92" s="13" t="str">
        <f t="shared" si="63"/>
        <v>허지웅</v>
      </c>
      <c r="U92" s="31" t="str">
        <f t="shared" si="42"/>
        <v>장혁진</v>
      </c>
      <c r="V92" s="6" t="str">
        <f t="shared" si="43"/>
        <v/>
      </c>
      <c r="W92" s="6" t="str">
        <f>IF(V92="","",COUNT($V$3:V92))</f>
        <v/>
      </c>
      <c r="X92" s="6" t="str">
        <f t="shared" si="50"/>
        <v/>
      </c>
      <c r="Y92" s="6" t="str">
        <f t="shared" si="51"/>
        <v/>
      </c>
      <c r="Z92" s="6" t="str">
        <f t="shared" si="52"/>
        <v/>
      </c>
      <c r="AA92" s="6" t="str">
        <f t="shared" si="53"/>
        <v/>
      </c>
      <c r="AB92" s="32" t="str">
        <f t="shared" si="44"/>
        <v/>
      </c>
      <c r="AC92" s="13" t="str">
        <f t="shared" si="54"/>
        <v>-</v>
      </c>
      <c r="AD92" s="13" t="str">
        <f t="shared" si="55"/>
        <v>-</v>
      </c>
      <c r="AE92" s="13" t="str">
        <f t="shared" si="56"/>
        <v>-</v>
      </c>
      <c r="AF92" s="13" t="str">
        <f t="shared" si="57"/>
        <v>-</v>
      </c>
      <c r="AG92" s="31" t="str">
        <f t="shared" si="45"/>
        <v>-</v>
      </c>
      <c r="AH92" s="2" t="str">
        <f t="shared" si="58"/>
        <v/>
      </c>
      <c r="AI92" s="2" t="str">
        <f>IF(AH92="","",COUNT($AH$3:AH92))</f>
        <v/>
      </c>
      <c r="AJ92" s="60" t="str">
        <f t="shared" si="59"/>
        <v/>
      </c>
    </row>
    <row r="93" spans="1:36" ht="16.5">
      <c r="A93" s="6">
        <v>91</v>
      </c>
      <c r="B93" s="9">
        <f t="shared" si="34"/>
        <v>46113</v>
      </c>
      <c r="C93" s="7">
        <f t="shared" si="35"/>
        <v>4</v>
      </c>
      <c r="D93" s="7">
        <f t="shared" si="36"/>
        <v>1</v>
      </c>
      <c r="E93" s="15">
        <f t="shared" si="37"/>
        <v>4</v>
      </c>
      <c r="F93" s="8" t="str">
        <f t="shared" si="38"/>
        <v/>
      </c>
      <c r="G93" s="58"/>
      <c r="H93" s="12" t="s">
        <v>63</v>
      </c>
      <c r="I93" s="6" t="str">
        <f t="shared" si="39"/>
        <v>야간</v>
      </c>
      <c r="J93" s="6" t="str">
        <f t="shared" si="40"/>
        <v/>
      </c>
      <c r="K93" s="6" t="str">
        <f>IF(J93="","",COUNT($J$3:J93))</f>
        <v/>
      </c>
      <c r="L93" s="6" t="str">
        <f t="shared" si="46"/>
        <v/>
      </c>
      <c r="M93" s="6" t="str">
        <f t="shared" si="47"/>
        <v/>
      </c>
      <c r="N93" s="6" t="str">
        <f t="shared" si="48"/>
        <v/>
      </c>
      <c r="O93" s="6" t="str">
        <f t="shared" si="49"/>
        <v/>
      </c>
      <c r="P93" s="32" t="str">
        <f t="shared" si="41"/>
        <v/>
      </c>
      <c r="Q93" s="13" t="str">
        <f t="shared" si="60"/>
        <v>-</v>
      </c>
      <c r="R93" s="13" t="str">
        <f t="shared" si="61"/>
        <v>-</v>
      </c>
      <c r="S93" s="13" t="str">
        <f t="shared" si="62"/>
        <v>-</v>
      </c>
      <c r="T93" s="13" t="str">
        <f t="shared" si="63"/>
        <v>-</v>
      </c>
      <c r="U93" s="31" t="str">
        <f t="shared" si="42"/>
        <v>-</v>
      </c>
      <c r="V93" s="6">
        <f t="shared" si="43"/>
        <v>1</v>
      </c>
      <c r="W93" s="6">
        <f>IF(V93="","",COUNT($V$3:V93))</f>
        <v>31</v>
      </c>
      <c r="X93" s="6">
        <f t="shared" si="50"/>
        <v>1</v>
      </c>
      <c r="Y93" s="6">
        <f t="shared" si="51"/>
        <v>2</v>
      </c>
      <c r="Z93" s="6">
        <f t="shared" si="52"/>
        <v>3</v>
      </c>
      <c r="AA93" s="6">
        <f t="shared" si="53"/>
        <v>4</v>
      </c>
      <c r="AB93" s="32">
        <f t="shared" si="44"/>
        <v>1</v>
      </c>
      <c r="AC93" s="13" t="str">
        <f t="shared" si="54"/>
        <v>이기수</v>
      </c>
      <c r="AD93" s="13" t="str">
        <f t="shared" si="55"/>
        <v>박성현</v>
      </c>
      <c r="AE93" s="13" t="str">
        <f t="shared" si="56"/>
        <v>허지웅</v>
      </c>
      <c r="AF93" s="13" t="str">
        <f t="shared" si="57"/>
        <v>정윤준</v>
      </c>
      <c r="AG93" s="31" t="str">
        <f t="shared" si="45"/>
        <v>허지웅</v>
      </c>
      <c r="AH93" s="2">
        <f t="shared" si="58"/>
        <v>1</v>
      </c>
      <c r="AI93" s="2">
        <f>IF(AH93="","",COUNT($AH$3:AH93))</f>
        <v>8</v>
      </c>
      <c r="AJ93" s="60" t="str">
        <f t="shared" si="59"/>
        <v>허지웅</v>
      </c>
    </row>
    <row r="94" spans="1:36" ht="16.5">
      <c r="A94" s="6">
        <v>92</v>
      </c>
      <c r="B94" s="9">
        <f t="shared" si="34"/>
        <v>46114</v>
      </c>
      <c r="C94" s="7">
        <f t="shared" si="35"/>
        <v>4</v>
      </c>
      <c r="D94" s="7">
        <f t="shared" si="36"/>
        <v>2</v>
      </c>
      <c r="E94" s="15">
        <f t="shared" si="37"/>
        <v>5</v>
      </c>
      <c r="F94" s="8" t="str">
        <f t="shared" si="38"/>
        <v/>
      </c>
      <c r="G94" s="58"/>
      <c r="H94" s="12" t="s">
        <v>64</v>
      </c>
      <c r="I94" s="6" t="str">
        <f t="shared" si="39"/>
        <v>비번</v>
      </c>
      <c r="J94" s="6" t="str">
        <f t="shared" si="40"/>
        <v/>
      </c>
      <c r="K94" s="6" t="str">
        <f>IF(J94="","",COUNT($J$3:J94))</f>
        <v/>
      </c>
      <c r="L94" s="6" t="str">
        <f t="shared" si="46"/>
        <v/>
      </c>
      <c r="M94" s="6" t="str">
        <f t="shared" si="47"/>
        <v/>
      </c>
      <c r="N94" s="6" t="str">
        <f t="shared" si="48"/>
        <v/>
      </c>
      <c r="O94" s="6" t="str">
        <f t="shared" si="49"/>
        <v/>
      </c>
      <c r="P94" s="32" t="str">
        <f t="shared" si="41"/>
        <v/>
      </c>
      <c r="Q94" s="13" t="str">
        <f t="shared" si="60"/>
        <v>-</v>
      </c>
      <c r="R94" s="13" t="str">
        <f t="shared" si="61"/>
        <v>-</v>
      </c>
      <c r="S94" s="13" t="str">
        <f t="shared" si="62"/>
        <v>-</v>
      </c>
      <c r="T94" s="13" t="str">
        <f t="shared" si="63"/>
        <v>-</v>
      </c>
      <c r="U94" s="31" t="str">
        <f t="shared" si="42"/>
        <v>-</v>
      </c>
      <c r="V94" s="6" t="str">
        <f t="shared" si="43"/>
        <v/>
      </c>
      <c r="W94" s="6" t="str">
        <f>IF(V94="","",COUNT($V$3:V94))</f>
        <v/>
      </c>
      <c r="X94" s="6" t="str">
        <f t="shared" si="50"/>
        <v/>
      </c>
      <c r="Y94" s="6" t="str">
        <f t="shared" si="51"/>
        <v/>
      </c>
      <c r="Z94" s="6" t="str">
        <f t="shared" si="52"/>
        <v/>
      </c>
      <c r="AA94" s="6" t="str">
        <f t="shared" si="53"/>
        <v/>
      </c>
      <c r="AB94" s="32" t="str">
        <f t="shared" si="44"/>
        <v/>
      </c>
      <c r="AC94" s="13" t="str">
        <f t="shared" si="54"/>
        <v>-</v>
      </c>
      <c r="AD94" s="13" t="str">
        <f t="shared" si="55"/>
        <v>-</v>
      </c>
      <c r="AE94" s="13" t="str">
        <f t="shared" si="56"/>
        <v>-</v>
      </c>
      <c r="AF94" s="13" t="str">
        <f t="shared" si="57"/>
        <v>-</v>
      </c>
      <c r="AG94" s="31" t="str">
        <f t="shared" si="45"/>
        <v>-</v>
      </c>
      <c r="AH94" s="2" t="str">
        <f t="shared" si="58"/>
        <v/>
      </c>
      <c r="AI94" s="2" t="str">
        <f>IF(AH94="","",COUNT($AH$3:AH94))</f>
        <v/>
      </c>
      <c r="AJ94" s="60" t="str">
        <f t="shared" si="59"/>
        <v/>
      </c>
    </row>
    <row r="95" spans="1:36" ht="16.5">
      <c r="A95" s="6">
        <v>93</v>
      </c>
      <c r="B95" s="9">
        <f t="shared" si="34"/>
        <v>46115</v>
      </c>
      <c r="C95" s="7">
        <f t="shared" si="35"/>
        <v>4</v>
      </c>
      <c r="D95" s="7">
        <f t="shared" si="36"/>
        <v>3</v>
      </c>
      <c r="E95" s="15">
        <f t="shared" si="37"/>
        <v>6</v>
      </c>
      <c r="F95" s="8" t="str">
        <f t="shared" si="38"/>
        <v/>
      </c>
      <c r="G95" s="58"/>
      <c r="H95" s="12" t="s">
        <v>65</v>
      </c>
      <c r="I95" s="6" t="str">
        <f t="shared" si="39"/>
        <v>주간</v>
      </c>
      <c r="J95" s="6">
        <f t="shared" si="40"/>
        <v>1</v>
      </c>
      <c r="K95" s="6">
        <f>IF(J95="","",COUNT($J$3:J95))</f>
        <v>21</v>
      </c>
      <c r="L95" s="6">
        <f t="shared" si="46"/>
        <v>3</v>
      </c>
      <c r="M95" s="6">
        <f t="shared" si="47"/>
        <v>4</v>
      </c>
      <c r="N95" s="6">
        <f t="shared" si="48"/>
        <v>1</v>
      </c>
      <c r="O95" s="6">
        <f t="shared" si="49"/>
        <v>2</v>
      </c>
      <c r="P95" s="32">
        <f t="shared" si="41"/>
        <v>1</v>
      </c>
      <c r="Q95" s="13" t="str">
        <f t="shared" si="60"/>
        <v>허지웅</v>
      </c>
      <c r="R95" s="13" t="str">
        <f t="shared" si="61"/>
        <v>정윤준</v>
      </c>
      <c r="S95" s="13" t="str">
        <f t="shared" si="62"/>
        <v>이기수</v>
      </c>
      <c r="T95" s="13" t="str">
        <f t="shared" si="63"/>
        <v>박성현</v>
      </c>
      <c r="U95" s="31" t="str">
        <f t="shared" si="42"/>
        <v>이기수</v>
      </c>
      <c r="V95" s="6" t="str">
        <f t="shared" si="43"/>
        <v/>
      </c>
      <c r="W95" s="6" t="str">
        <f>IF(V95="","",COUNT($V$3:V95))</f>
        <v/>
      </c>
      <c r="X95" s="6" t="str">
        <f t="shared" si="50"/>
        <v/>
      </c>
      <c r="Y95" s="6" t="str">
        <f t="shared" si="51"/>
        <v/>
      </c>
      <c r="Z95" s="6" t="str">
        <f t="shared" si="52"/>
        <v/>
      </c>
      <c r="AA95" s="6" t="str">
        <f t="shared" si="53"/>
        <v/>
      </c>
      <c r="AB95" s="32" t="str">
        <f t="shared" si="44"/>
        <v/>
      </c>
      <c r="AC95" s="13" t="str">
        <f t="shared" si="54"/>
        <v>-</v>
      </c>
      <c r="AD95" s="13" t="str">
        <f t="shared" si="55"/>
        <v>-</v>
      </c>
      <c r="AE95" s="13" t="str">
        <f t="shared" si="56"/>
        <v>-</v>
      </c>
      <c r="AF95" s="13" t="str">
        <f t="shared" si="57"/>
        <v>-</v>
      </c>
      <c r="AG95" s="31" t="str">
        <f t="shared" si="45"/>
        <v>-</v>
      </c>
      <c r="AH95" s="2" t="str">
        <f t="shared" si="58"/>
        <v/>
      </c>
      <c r="AI95" s="2" t="str">
        <f>IF(AH95="","",COUNT($AH$3:AH95))</f>
        <v/>
      </c>
      <c r="AJ95" s="60" t="str">
        <f t="shared" si="59"/>
        <v/>
      </c>
    </row>
    <row r="96" spans="1:36" ht="16.5">
      <c r="A96" s="6">
        <v>94</v>
      </c>
      <c r="B96" s="9">
        <f t="shared" si="34"/>
        <v>46116</v>
      </c>
      <c r="C96" s="7">
        <f t="shared" si="35"/>
        <v>4</v>
      </c>
      <c r="D96" s="7">
        <f t="shared" si="36"/>
        <v>4</v>
      </c>
      <c r="E96" s="15">
        <f t="shared" si="37"/>
        <v>7</v>
      </c>
      <c r="F96" s="8" t="str">
        <f t="shared" si="38"/>
        <v>휴</v>
      </c>
      <c r="G96" s="58"/>
      <c r="H96" s="12" t="s">
        <v>63</v>
      </c>
      <c r="I96" s="6" t="str">
        <f t="shared" si="39"/>
        <v>당직</v>
      </c>
      <c r="J96" s="6" t="str">
        <f t="shared" si="40"/>
        <v/>
      </c>
      <c r="K96" s="6" t="str">
        <f>IF(J96="","",COUNT($J$3:J96))</f>
        <v/>
      </c>
      <c r="L96" s="6" t="str">
        <f t="shared" si="46"/>
        <v/>
      </c>
      <c r="M96" s="6" t="str">
        <f t="shared" si="47"/>
        <v/>
      </c>
      <c r="N96" s="6" t="str">
        <f t="shared" si="48"/>
        <v/>
      </c>
      <c r="O96" s="6" t="str">
        <f t="shared" si="49"/>
        <v/>
      </c>
      <c r="P96" s="32" t="str">
        <f t="shared" si="41"/>
        <v/>
      </c>
      <c r="Q96" s="13" t="str">
        <f t="shared" si="60"/>
        <v>-</v>
      </c>
      <c r="R96" s="13" t="str">
        <f t="shared" si="61"/>
        <v>-</v>
      </c>
      <c r="S96" s="13" t="str">
        <f t="shared" si="62"/>
        <v>-</v>
      </c>
      <c r="T96" s="13" t="str">
        <f t="shared" si="63"/>
        <v>-</v>
      </c>
      <c r="U96" s="31" t="str">
        <f t="shared" si="42"/>
        <v>-</v>
      </c>
      <c r="V96" s="6">
        <f t="shared" si="43"/>
        <v>1</v>
      </c>
      <c r="W96" s="6">
        <f>IF(V96="","",COUNT($V$3:V96))</f>
        <v>32</v>
      </c>
      <c r="X96" s="6">
        <f t="shared" si="50"/>
        <v>4</v>
      </c>
      <c r="Y96" s="6">
        <f t="shared" si="51"/>
        <v>1</v>
      </c>
      <c r="Z96" s="6">
        <f t="shared" si="52"/>
        <v>2</v>
      </c>
      <c r="AA96" s="6">
        <f t="shared" si="53"/>
        <v>3</v>
      </c>
      <c r="AB96" s="32">
        <f t="shared" si="44"/>
        <v>2</v>
      </c>
      <c r="AC96" s="13" t="str">
        <f t="shared" si="54"/>
        <v>정윤준</v>
      </c>
      <c r="AD96" s="13" t="str">
        <f t="shared" si="55"/>
        <v>이기수</v>
      </c>
      <c r="AE96" s="13" t="str">
        <f t="shared" si="56"/>
        <v>박성현</v>
      </c>
      <c r="AF96" s="13" t="str">
        <f t="shared" si="57"/>
        <v>허지웅</v>
      </c>
      <c r="AG96" s="31" t="str">
        <f t="shared" si="45"/>
        <v>장혁진</v>
      </c>
      <c r="AH96" s="2" t="str">
        <f t="shared" si="58"/>
        <v/>
      </c>
      <c r="AI96" s="2" t="str">
        <f>IF(AH96="","",COUNT($AH$3:AH96))</f>
        <v/>
      </c>
      <c r="AJ96" s="60" t="str">
        <f t="shared" si="59"/>
        <v/>
      </c>
    </row>
    <row r="97" spans="1:36" ht="16.5">
      <c r="A97" s="6">
        <v>95</v>
      </c>
      <c r="B97" s="9">
        <f t="shared" si="34"/>
        <v>46117</v>
      </c>
      <c r="C97" s="7">
        <f t="shared" si="35"/>
        <v>4</v>
      </c>
      <c r="D97" s="7">
        <f t="shared" si="36"/>
        <v>5</v>
      </c>
      <c r="E97" s="15">
        <f t="shared" si="37"/>
        <v>1</v>
      </c>
      <c r="F97" s="8" t="str">
        <f t="shared" si="38"/>
        <v>휴</v>
      </c>
      <c r="G97" s="58"/>
      <c r="H97" s="12" t="s">
        <v>64</v>
      </c>
      <c r="I97" s="6" t="str">
        <f t="shared" si="39"/>
        <v>비번</v>
      </c>
      <c r="J97" s="6" t="str">
        <f t="shared" si="40"/>
        <v/>
      </c>
      <c r="K97" s="6" t="str">
        <f>IF(J97="","",COUNT($J$3:J97))</f>
        <v/>
      </c>
      <c r="L97" s="6" t="str">
        <f t="shared" si="46"/>
        <v/>
      </c>
      <c r="M97" s="6" t="str">
        <f t="shared" si="47"/>
        <v/>
      </c>
      <c r="N97" s="6" t="str">
        <f t="shared" si="48"/>
        <v/>
      </c>
      <c r="O97" s="6" t="str">
        <f t="shared" si="49"/>
        <v/>
      </c>
      <c r="P97" s="32" t="str">
        <f t="shared" si="41"/>
        <v/>
      </c>
      <c r="Q97" s="13" t="str">
        <f t="shared" si="60"/>
        <v>-</v>
      </c>
      <c r="R97" s="13" t="str">
        <f t="shared" si="61"/>
        <v>-</v>
      </c>
      <c r="S97" s="13" t="str">
        <f t="shared" si="62"/>
        <v>-</v>
      </c>
      <c r="T97" s="13" t="str">
        <f t="shared" si="63"/>
        <v>-</v>
      </c>
      <c r="U97" s="31" t="str">
        <f t="shared" si="42"/>
        <v>-</v>
      </c>
      <c r="V97" s="6" t="str">
        <f t="shared" si="43"/>
        <v/>
      </c>
      <c r="W97" s="6" t="str">
        <f>IF(V97="","",COUNT($V$3:V97))</f>
        <v/>
      </c>
      <c r="X97" s="6" t="str">
        <f t="shared" si="50"/>
        <v/>
      </c>
      <c r="Y97" s="6" t="str">
        <f t="shared" si="51"/>
        <v/>
      </c>
      <c r="Z97" s="6" t="str">
        <f t="shared" si="52"/>
        <v/>
      </c>
      <c r="AA97" s="6" t="str">
        <f t="shared" si="53"/>
        <v/>
      </c>
      <c r="AB97" s="32" t="str">
        <f t="shared" si="44"/>
        <v/>
      </c>
      <c r="AC97" s="13" t="str">
        <f t="shared" si="54"/>
        <v>-</v>
      </c>
      <c r="AD97" s="13" t="str">
        <f t="shared" si="55"/>
        <v>-</v>
      </c>
      <c r="AE97" s="13" t="str">
        <f t="shared" si="56"/>
        <v>-</v>
      </c>
      <c r="AF97" s="13" t="str">
        <f t="shared" si="57"/>
        <v>-</v>
      </c>
      <c r="AG97" s="31" t="str">
        <f t="shared" si="45"/>
        <v>-</v>
      </c>
      <c r="AH97" s="2" t="str">
        <f t="shared" si="58"/>
        <v/>
      </c>
      <c r="AI97" s="2" t="str">
        <f>IF(AH97="","",COUNT($AH$3:AH97))</f>
        <v/>
      </c>
      <c r="AJ97" s="60" t="str">
        <f t="shared" si="59"/>
        <v/>
      </c>
    </row>
    <row r="98" spans="1:36" ht="16.5">
      <c r="A98" s="6">
        <v>96</v>
      </c>
      <c r="B98" s="9">
        <f t="shared" si="34"/>
        <v>46118</v>
      </c>
      <c r="C98" s="7">
        <f t="shared" si="35"/>
        <v>4</v>
      </c>
      <c r="D98" s="7">
        <f t="shared" si="36"/>
        <v>6</v>
      </c>
      <c r="E98" s="15">
        <f t="shared" si="37"/>
        <v>2</v>
      </c>
      <c r="F98" s="8" t="str">
        <f t="shared" si="38"/>
        <v/>
      </c>
      <c r="G98" s="58"/>
      <c r="H98" s="12" t="s">
        <v>65</v>
      </c>
      <c r="I98" s="6" t="str">
        <f t="shared" si="39"/>
        <v>주간</v>
      </c>
      <c r="J98" s="6">
        <f t="shared" si="40"/>
        <v>1</v>
      </c>
      <c r="K98" s="6">
        <f>IF(J98="","",COUNT($J$3:J98))</f>
        <v>22</v>
      </c>
      <c r="L98" s="6">
        <f t="shared" si="46"/>
        <v>2</v>
      </c>
      <c r="M98" s="6">
        <f t="shared" si="47"/>
        <v>3</v>
      </c>
      <c r="N98" s="6">
        <f t="shared" si="48"/>
        <v>4</v>
      </c>
      <c r="O98" s="6">
        <f t="shared" si="49"/>
        <v>1</v>
      </c>
      <c r="P98" s="32">
        <f t="shared" si="41"/>
        <v>2</v>
      </c>
      <c r="Q98" s="13" t="str">
        <f t="shared" si="60"/>
        <v>박성현</v>
      </c>
      <c r="R98" s="13" t="str">
        <f t="shared" si="61"/>
        <v>허지웅</v>
      </c>
      <c r="S98" s="13" t="str">
        <f t="shared" si="62"/>
        <v>정윤준</v>
      </c>
      <c r="T98" s="13" t="str">
        <f t="shared" si="63"/>
        <v>이기수</v>
      </c>
      <c r="U98" s="31" t="str">
        <f t="shared" si="42"/>
        <v>정윤준</v>
      </c>
      <c r="V98" s="6" t="str">
        <f t="shared" si="43"/>
        <v/>
      </c>
      <c r="W98" s="6" t="str">
        <f>IF(V98="","",COUNT($V$3:V98))</f>
        <v/>
      </c>
      <c r="X98" s="6" t="str">
        <f t="shared" si="50"/>
        <v/>
      </c>
      <c r="Y98" s="6" t="str">
        <f t="shared" si="51"/>
        <v/>
      </c>
      <c r="Z98" s="6" t="str">
        <f t="shared" si="52"/>
        <v/>
      </c>
      <c r="AA98" s="6" t="str">
        <f t="shared" si="53"/>
        <v/>
      </c>
      <c r="AB98" s="32" t="str">
        <f t="shared" si="44"/>
        <v/>
      </c>
      <c r="AC98" s="13" t="str">
        <f t="shared" si="54"/>
        <v>-</v>
      </c>
      <c r="AD98" s="13" t="str">
        <f t="shared" si="55"/>
        <v>-</v>
      </c>
      <c r="AE98" s="13" t="str">
        <f t="shared" si="56"/>
        <v>-</v>
      </c>
      <c r="AF98" s="13" t="str">
        <f t="shared" si="57"/>
        <v>-</v>
      </c>
      <c r="AG98" s="31" t="str">
        <f t="shared" si="45"/>
        <v>-</v>
      </c>
      <c r="AH98" s="2" t="str">
        <f t="shared" si="58"/>
        <v/>
      </c>
      <c r="AI98" s="2" t="str">
        <f>IF(AH98="","",COUNT($AH$3:AH98))</f>
        <v/>
      </c>
      <c r="AJ98" s="60" t="str">
        <f t="shared" si="59"/>
        <v/>
      </c>
    </row>
    <row r="99" spans="1:36" ht="16.5">
      <c r="A99" s="6">
        <v>97</v>
      </c>
      <c r="B99" s="9">
        <f t="shared" si="34"/>
        <v>46119</v>
      </c>
      <c r="C99" s="7">
        <f t="shared" si="35"/>
        <v>4</v>
      </c>
      <c r="D99" s="7">
        <f t="shared" si="36"/>
        <v>7</v>
      </c>
      <c r="E99" s="15">
        <f t="shared" si="37"/>
        <v>3</v>
      </c>
      <c r="F99" s="8" t="str">
        <f t="shared" si="38"/>
        <v/>
      </c>
      <c r="G99" s="58"/>
      <c r="H99" s="12" t="s">
        <v>63</v>
      </c>
      <c r="I99" s="6" t="str">
        <f t="shared" si="39"/>
        <v>야간</v>
      </c>
      <c r="J99" s="6" t="str">
        <f t="shared" si="40"/>
        <v/>
      </c>
      <c r="K99" s="6" t="str">
        <f>IF(J99="","",COUNT($J$3:J99))</f>
        <v/>
      </c>
      <c r="L99" s="6" t="str">
        <f t="shared" si="46"/>
        <v/>
      </c>
      <c r="M99" s="6" t="str">
        <f t="shared" si="47"/>
        <v/>
      </c>
      <c r="N99" s="6" t="str">
        <f t="shared" si="48"/>
        <v/>
      </c>
      <c r="O99" s="6" t="str">
        <f t="shared" si="49"/>
        <v/>
      </c>
      <c r="P99" s="32" t="str">
        <f t="shared" si="41"/>
        <v/>
      </c>
      <c r="Q99" s="13" t="str">
        <f t="shared" si="60"/>
        <v>-</v>
      </c>
      <c r="R99" s="13" t="str">
        <f t="shared" si="61"/>
        <v>-</v>
      </c>
      <c r="S99" s="13" t="str">
        <f t="shared" si="62"/>
        <v>-</v>
      </c>
      <c r="T99" s="13" t="str">
        <f t="shared" si="63"/>
        <v>-</v>
      </c>
      <c r="U99" s="31" t="str">
        <f t="shared" si="42"/>
        <v>-</v>
      </c>
      <c r="V99" s="6">
        <f t="shared" si="43"/>
        <v>1</v>
      </c>
      <c r="W99" s="6">
        <f>IF(V99="","",COUNT($V$3:V99))</f>
        <v>33</v>
      </c>
      <c r="X99" s="6">
        <f t="shared" si="50"/>
        <v>3</v>
      </c>
      <c r="Y99" s="6">
        <f t="shared" si="51"/>
        <v>4</v>
      </c>
      <c r="Z99" s="6">
        <f t="shared" si="52"/>
        <v>1</v>
      </c>
      <c r="AA99" s="6">
        <f t="shared" si="53"/>
        <v>2</v>
      </c>
      <c r="AB99" s="32">
        <f t="shared" si="44"/>
        <v>3</v>
      </c>
      <c r="AC99" s="13" t="str">
        <f t="shared" si="54"/>
        <v>허지웅</v>
      </c>
      <c r="AD99" s="13" t="str">
        <f t="shared" si="55"/>
        <v>정윤준</v>
      </c>
      <c r="AE99" s="13" t="str">
        <f t="shared" si="56"/>
        <v>이기수</v>
      </c>
      <c r="AF99" s="13" t="str">
        <f t="shared" si="57"/>
        <v>박성현</v>
      </c>
      <c r="AG99" s="31" t="str">
        <f t="shared" si="45"/>
        <v>이기수</v>
      </c>
      <c r="AH99" s="2" t="str">
        <f t="shared" si="58"/>
        <v/>
      </c>
      <c r="AI99" s="2" t="str">
        <f>IF(AH99="","",COUNT($AH$3:AH99))</f>
        <v/>
      </c>
      <c r="AJ99" s="60" t="str">
        <f t="shared" si="59"/>
        <v/>
      </c>
    </row>
    <row r="100" spans="1:36" ht="16.5">
      <c r="A100" s="6">
        <v>98</v>
      </c>
      <c r="B100" s="9">
        <f t="shared" si="34"/>
        <v>46120</v>
      </c>
      <c r="C100" s="7">
        <f t="shared" si="35"/>
        <v>4</v>
      </c>
      <c r="D100" s="7">
        <f t="shared" si="36"/>
        <v>8</v>
      </c>
      <c r="E100" s="15">
        <f t="shared" si="37"/>
        <v>4</v>
      </c>
      <c r="F100" s="8" t="str">
        <f t="shared" si="38"/>
        <v/>
      </c>
      <c r="G100" s="58"/>
      <c r="H100" s="12" t="s">
        <v>64</v>
      </c>
      <c r="I100" s="6" t="str">
        <f t="shared" si="39"/>
        <v>비번</v>
      </c>
      <c r="J100" s="6" t="str">
        <f t="shared" si="40"/>
        <v/>
      </c>
      <c r="K100" s="6" t="str">
        <f>IF(J100="","",COUNT($J$3:J100))</f>
        <v/>
      </c>
      <c r="L100" s="6" t="str">
        <f t="shared" si="46"/>
        <v/>
      </c>
      <c r="M100" s="6" t="str">
        <f t="shared" si="47"/>
        <v/>
      </c>
      <c r="N100" s="6" t="str">
        <f t="shared" si="48"/>
        <v/>
      </c>
      <c r="O100" s="6" t="str">
        <f t="shared" si="49"/>
        <v/>
      </c>
      <c r="P100" s="32" t="str">
        <f t="shared" si="41"/>
        <v/>
      </c>
      <c r="Q100" s="13" t="str">
        <f t="shared" si="60"/>
        <v>-</v>
      </c>
      <c r="R100" s="13" t="str">
        <f t="shared" si="61"/>
        <v>-</v>
      </c>
      <c r="S100" s="13" t="str">
        <f t="shared" si="62"/>
        <v>-</v>
      </c>
      <c r="T100" s="13" t="str">
        <f t="shared" si="63"/>
        <v>-</v>
      </c>
      <c r="U100" s="31" t="str">
        <f t="shared" si="42"/>
        <v>-</v>
      </c>
      <c r="V100" s="6" t="str">
        <f t="shared" si="43"/>
        <v/>
      </c>
      <c r="W100" s="6" t="str">
        <f>IF(V100="","",COUNT($V$3:V100))</f>
        <v/>
      </c>
      <c r="X100" s="6" t="str">
        <f t="shared" si="50"/>
        <v/>
      </c>
      <c r="Y100" s="6" t="str">
        <f t="shared" si="51"/>
        <v/>
      </c>
      <c r="Z100" s="6" t="str">
        <f t="shared" si="52"/>
        <v/>
      </c>
      <c r="AA100" s="6" t="str">
        <f t="shared" si="53"/>
        <v/>
      </c>
      <c r="AB100" s="32" t="str">
        <f t="shared" si="44"/>
        <v/>
      </c>
      <c r="AC100" s="13" t="str">
        <f t="shared" si="54"/>
        <v>-</v>
      </c>
      <c r="AD100" s="13" t="str">
        <f t="shared" si="55"/>
        <v>-</v>
      </c>
      <c r="AE100" s="13" t="str">
        <f t="shared" si="56"/>
        <v>-</v>
      </c>
      <c r="AF100" s="13" t="str">
        <f t="shared" si="57"/>
        <v>-</v>
      </c>
      <c r="AG100" s="31" t="str">
        <f t="shared" si="45"/>
        <v>-</v>
      </c>
      <c r="AH100" s="2" t="str">
        <f t="shared" si="58"/>
        <v/>
      </c>
      <c r="AI100" s="2" t="str">
        <f>IF(AH100="","",COUNT($AH$3:AH100))</f>
        <v/>
      </c>
      <c r="AJ100" s="60" t="str">
        <f t="shared" si="59"/>
        <v/>
      </c>
    </row>
    <row r="101" spans="1:36" ht="16.5">
      <c r="A101" s="6">
        <v>99</v>
      </c>
      <c r="B101" s="9">
        <f t="shared" si="34"/>
        <v>46121</v>
      </c>
      <c r="C101" s="7">
        <f t="shared" si="35"/>
        <v>4</v>
      </c>
      <c r="D101" s="7">
        <f t="shared" si="36"/>
        <v>9</v>
      </c>
      <c r="E101" s="15">
        <f t="shared" si="37"/>
        <v>5</v>
      </c>
      <c r="F101" s="8" t="str">
        <f t="shared" si="38"/>
        <v/>
      </c>
      <c r="G101" s="58"/>
      <c r="H101" s="12" t="s">
        <v>65</v>
      </c>
      <c r="I101" s="6" t="str">
        <f t="shared" si="39"/>
        <v>주간</v>
      </c>
      <c r="J101" s="6">
        <f t="shared" si="40"/>
        <v>1</v>
      </c>
      <c r="K101" s="6">
        <f>IF(J101="","",COUNT($J$3:J101))</f>
        <v>23</v>
      </c>
      <c r="L101" s="6">
        <f t="shared" si="46"/>
        <v>1</v>
      </c>
      <c r="M101" s="6">
        <f t="shared" si="47"/>
        <v>2</v>
      </c>
      <c r="N101" s="6">
        <f t="shared" si="48"/>
        <v>3</v>
      </c>
      <c r="O101" s="6">
        <f t="shared" si="49"/>
        <v>4</v>
      </c>
      <c r="P101" s="32">
        <f t="shared" si="41"/>
        <v>3</v>
      </c>
      <c r="Q101" s="13" t="str">
        <f t="shared" si="60"/>
        <v>이기수</v>
      </c>
      <c r="R101" s="13" t="str">
        <f t="shared" si="61"/>
        <v>박성현</v>
      </c>
      <c r="S101" s="13" t="str">
        <f t="shared" si="62"/>
        <v>허지웅</v>
      </c>
      <c r="T101" s="13" t="str">
        <f t="shared" si="63"/>
        <v>정윤준</v>
      </c>
      <c r="U101" s="31" t="str">
        <f t="shared" si="42"/>
        <v>허지웅</v>
      </c>
      <c r="V101" s="6" t="str">
        <f t="shared" si="43"/>
        <v/>
      </c>
      <c r="W101" s="6" t="str">
        <f>IF(V101="","",COUNT($V$3:V101))</f>
        <v/>
      </c>
      <c r="X101" s="6" t="str">
        <f t="shared" si="50"/>
        <v/>
      </c>
      <c r="Y101" s="6" t="str">
        <f t="shared" si="51"/>
        <v/>
      </c>
      <c r="Z101" s="6" t="str">
        <f t="shared" si="52"/>
        <v/>
      </c>
      <c r="AA101" s="6" t="str">
        <f t="shared" si="53"/>
        <v/>
      </c>
      <c r="AB101" s="32" t="str">
        <f t="shared" si="44"/>
        <v/>
      </c>
      <c r="AC101" s="13" t="str">
        <f t="shared" si="54"/>
        <v>-</v>
      </c>
      <c r="AD101" s="13" t="str">
        <f t="shared" si="55"/>
        <v>-</v>
      </c>
      <c r="AE101" s="13" t="str">
        <f t="shared" si="56"/>
        <v>-</v>
      </c>
      <c r="AF101" s="13" t="str">
        <f t="shared" si="57"/>
        <v>-</v>
      </c>
      <c r="AG101" s="31" t="str">
        <f t="shared" si="45"/>
        <v>-</v>
      </c>
      <c r="AH101" s="2" t="str">
        <f t="shared" si="58"/>
        <v/>
      </c>
      <c r="AI101" s="2" t="str">
        <f>IF(AH101="","",COUNT($AH$3:AH101))</f>
        <v/>
      </c>
      <c r="AJ101" s="60" t="str">
        <f t="shared" si="59"/>
        <v/>
      </c>
    </row>
    <row r="102" spans="1:36" ht="16.5">
      <c r="A102" s="6">
        <v>100</v>
      </c>
      <c r="B102" s="9">
        <f t="shared" si="34"/>
        <v>46122</v>
      </c>
      <c r="C102" s="7">
        <f t="shared" si="35"/>
        <v>4</v>
      </c>
      <c r="D102" s="7">
        <f t="shared" si="36"/>
        <v>10</v>
      </c>
      <c r="E102" s="15">
        <f t="shared" si="37"/>
        <v>6</v>
      </c>
      <c r="F102" s="8" t="str">
        <f t="shared" si="38"/>
        <v/>
      </c>
      <c r="G102" s="58"/>
      <c r="H102" s="12" t="s">
        <v>63</v>
      </c>
      <c r="I102" s="6" t="str">
        <f t="shared" si="39"/>
        <v>야간</v>
      </c>
      <c r="J102" s="6" t="str">
        <f t="shared" si="40"/>
        <v/>
      </c>
      <c r="K102" s="6" t="str">
        <f>IF(J102="","",COUNT($J$3:J102))</f>
        <v/>
      </c>
      <c r="L102" s="6" t="str">
        <f t="shared" si="46"/>
        <v/>
      </c>
      <c r="M102" s="6" t="str">
        <f t="shared" si="47"/>
        <v/>
      </c>
      <c r="N102" s="6" t="str">
        <f t="shared" si="48"/>
        <v/>
      </c>
      <c r="O102" s="6" t="str">
        <f t="shared" si="49"/>
        <v/>
      </c>
      <c r="P102" s="32" t="str">
        <f t="shared" si="41"/>
        <v/>
      </c>
      <c r="Q102" s="13" t="str">
        <f t="shared" si="60"/>
        <v>-</v>
      </c>
      <c r="R102" s="13" t="str">
        <f t="shared" si="61"/>
        <v>-</v>
      </c>
      <c r="S102" s="13" t="str">
        <f t="shared" si="62"/>
        <v>-</v>
      </c>
      <c r="T102" s="13" t="str">
        <f t="shared" si="63"/>
        <v>-</v>
      </c>
      <c r="U102" s="31" t="str">
        <f t="shared" si="42"/>
        <v>-</v>
      </c>
      <c r="V102" s="6">
        <f t="shared" si="43"/>
        <v>1</v>
      </c>
      <c r="W102" s="6">
        <f>IF(V102="","",COUNT($V$3:V102))</f>
        <v>34</v>
      </c>
      <c r="X102" s="6">
        <f t="shared" si="50"/>
        <v>2</v>
      </c>
      <c r="Y102" s="6">
        <f t="shared" si="51"/>
        <v>3</v>
      </c>
      <c r="Z102" s="6">
        <f t="shared" si="52"/>
        <v>4</v>
      </c>
      <c r="AA102" s="6">
        <f t="shared" si="53"/>
        <v>1</v>
      </c>
      <c r="AB102" s="32">
        <f t="shared" si="44"/>
        <v>4</v>
      </c>
      <c r="AC102" s="13" t="str">
        <f t="shared" si="54"/>
        <v>박성현</v>
      </c>
      <c r="AD102" s="13" t="str">
        <f t="shared" si="55"/>
        <v>허지웅</v>
      </c>
      <c r="AE102" s="13" t="str">
        <f t="shared" si="56"/>
        <v>정윤준</v>
      </c>
      <c r="AF102" s="13" t="str">
        <f t="shared" si="57"/>
        <v>이기수</v>
      </c>
      <c r="AG102" s="31" t="e">
        <f t="shared" si="45"/>
        <v>#VALUE!</v>
      </c>
      <c r="AH102" s="2" t="str">
        <f t="shared" si="58"/>
        <v/>
      </c>
      <c r="AI102" s="2" t="str">
        <f>IF(AH102="","",COUNT($AH$3:AH102))</f>
        <v/>
      </c>
      <c r="AJ102" s="60" t="str">
        <f t="shared" si="59"/>
        <v/>
      </c>
    </row>
    <row r="103" spans="1:36" ht="16.5">
      <c r="A103" s="6">
        <v>101</v>
      </c>
      <c r="B103" s="9">
        <f t="shared" si="34"/>
        <v>46123</v>
      </c>
      <c r="C103" s="7">
        <f t="shared" si="35"/>
        <v>4</v>
      </c>
      <c r="D103" s="7">
        <f t="shared" si="36"/>
        <v>11</v>
      </c>
      <c r="E103" s="15">
        <f t="shared" si="37"/>
        <v>7</v>
      </c>
      <c r="F103" s="8" t="str">
        <f t="shared" si="38"/>
        <v>휴</v>
      </c>
      <c r="G103" s="58"/>
      <c r="H103" s="12" t="s">
        <v>64</v>
      </c>
      <c r="I103" s="6" t="str">
        <f t="shared" si="39"/>
        <v>비번</v>
      </c>
      <c r="J103" s="6" t="str">
        <f t="shared" si="40"/>
        <v/>
      </c>
      <c r="K103" s="6" t="str">
        <f>IF(J103="","",COUNT($J$3:J103))</f>
        <v/>
      </c>
      <c r="L103" s="6" t="str">
        <f t="shared" si="46"/>
        <v/>
      </c>
      <c r="M103" s="6" t="str">
        <f t="shared" si="47"/>
        <v/>
      </c>
      <c r="N103" s="6" t="str">
        <f t="shared" si="48"/>
        <v/>
      </c>
      <c r="O103" s="6" t="str">
        <f t="shared" si="49"/>
        <v/>
      </c>
      <c r="P103" s="32" t="str">
        <f t="shared" si="41"/>
        <v/>
      </c>
      <c r="Q103" s="13" t="str">
        <f t="shared" si="60"/>
        <v>-</v>
      </c>
      <c r="R103" s="13" t="str">
        <f t="shared" si="61"/>
        <v>-</v>
      </c>
      <c r="S103" s="13" t="str">
        <f t="shared" si="62"/>
        <v>-</v>
      </c>
      <c r="T103" s="13" t="str">
        <f t="shared" si="63"/>
        <v>-</v>
      </c>
      <c r="U103" s="31" t="str">
        <f t="shared" si="42"/>
        <v>-</v>
      </c>
      <c r="V103" s="6" t="str">
        <f t="shared" si="43"/>
        <v/>
      </c>
      <c r="W103" s="6" t="str">
        <f>IF(V103="","",COUNT($V$3:V103))</f>
        <v/>
      </c>
      <c r="X103" s="6" t="str">
        <f t="shared" si="50"/>
        <v/>
      </c>
      <c r="Y103" s="6" t="str">
        <f t="shared" si="51"/>
        <v/>
      </c>
      <c r="Z103" s="6" t="str">
        <f t="shared" si="52"/>
        <v/>
      </c>
      <c r="AA103" s="6" t="str">
        <f t="shared" si="53"/>
        <v/>
      </c>
      <c r="AB103" s="32" t="str">
        <f t="shared" si="44"/>
        <v/>
      </c>
      <c r="AC103" s="13" t="str">
        <f t="shared" si="54"/>
        <v>-</v>
      </c>
      <c r="AD103" s="13" t="str">
        <f t="shared" si="55"/>
        <v>-</v>
      </c>
      <c r="AE103" s="13" t="str">
        <f t="shared" si="56"/>
        <v>-</v>
      </c>
      <c r="AF103" s="13" t="str">
        <f t="shared" si="57"/>
        <v>-</v>
      </c>
      <c r="AG103" s="31" t="str">
        <f t="shared" si="45"/>
        <v>-</v>
      </c>
      <c r="AH103" s="2" t="str">
        <f t="shared" si="58"/>
        <v/>
      </c>
      <c r="AI103" s="2" t="str">
        <f>IF(AH103="","",COUNT($AH$3:AH103))</f>
        <v/>
      </c>
      <c r="AJ103" s="60" t="str">
        <f t="shared" si="59"/>
        <v/>
      </c>
    </row>
    <row r="104" spans="1:36" ht="16.5">
      <c r="A104" s="6">
        <v>102</v>
      </c>
      <c r="B104" s="9">
        <f t="shared" si="34"/>
        <v>46124</v>
      </c>
      <c r="C104" s="7">
        <f t="shared" si="35"/>
        <v>4</v>
      </c>
      <c r="D104" s="7">
        <f t="shared" si="36"/>
        <v>12</v>
      </c>
      <c r="E104" s="15">
        <f t="shared" si="37"/>
        <v>1</v>
      </c>
      <c r="F104" s="8" t="str">
        <f t="shared" si="38"/>
        <v>휴</v>
      </c>
      <c r="G104" s="58"/>
      <c r="H104" s="12" t="s">
        <v>65</v>
      </c>
      <c r="I104" s="6" t="str">
        <f t="shared" si="39"/>
        <v>휴무</v>
      </c>
      <c r="J104" s="6" t="str">
        <f t="shared" si="40"/>
        <v/>
      </c>
      <c r="K104" s="6" t="str">
        <f>IF(J104="","",COUNT($J$3:J104))</f>
        <v/>
      </c>
      <c r="L104" s="6" t="str">
        <f t="shared" si="46"/>
        <v/>
      </c>
      <c r="M104" s="6" t="str">
        <f t="shared" si="47"/>
        <v/>
      </c>
      <c r="N104" s="6" t="str">
        <f t="shared" si="48"/>
        <v/>
      </c>
      <c r="O104" s="6" t="str">
        <f t="shared" si="49"/>
        <v/>
      </c>
      <c r="P104" s="32" t="str">
        <f t="shared" si="41"/>
        <v/>
      </c>
      <c r="Q104" s="13" t="str">
        <f t="shared" si="60"/>
        <v>-</v>
      </c>
      <c r="R104" s="13" t="str">
        <f t="shared" si="61"/>
        <v>-</v>
      </c>
      <c r="S104" s="13" t="str">
        <f t="shared" si="62"/>
        <v>-</v>
      </c>
      <c r="T104" s="13" t="str">
        <f t="shared" si="63"/>
        <v>-</v>
      </c>
      <c r="U104" s="31" t="str">
        <f t="shared" si="42"/>
        <v>-</v>
      </c>
      <c r="V104" s="6" t="str">
        <f t="shared" si="43"/>
        <v/>
      </c>
      <c r="W104" s="6" t="str">
        <f>IF(V104="","",COUNT($V$3:V104))</f>
        <v/>
      </c>
      <c r="X104" s="6" t="str">
        <f t="shared" si="50"/>
        <v/>
      </c>
      <c r="Y104" s="6" t="str">
        <f t="shared" si="51"/>
        <v/>
      </c>
      <c r="Z104" s="6" t="str">
        <f t="shared" si="52"/>
        <v/>
      </c>
      <c r="AA104" s="6" t="str">
        <f t="shared" si="53"/>
        <v/>
      </c>
      <c r="AB104" s="32" t="str">
        <f t="shared" si="44"/>
        <v/>
      </c>
      <c r="AC104" s="13" t="str">
        <f t="shared" si="54"/>
        <v>-</v>
      </c>
      <c r="AD104" s="13" t="str">
        <f t="shared" si="55"/>
        <v>-</v>
      </c>
      <c r="AE104" s="13" t="str">
        <f t="shared" si="56"/>
        <v>-</v>
      </c>
      <c r="AF104" s="13" t="str">
        <f t="shared" si="57"/>
        <v>-</v>
      </c>
      <c r="AG104" s="31" t="str">
        <f t="shared" si="45"/>
        <v>-</v>
      </c>
      <c r="AH104" s="2" t="str">
        <f t="shared" si="58"/>
        <v/>
      </c>
      <c r="AI104" s="2" t="str">
        <f>IF(AH104="","",COUNT($AH$3:AH104))</f>
        <v/>
      </c>
      <c r="AJ104" s="60" t="str">
        <f t="shared" si="59"/>
        <v/>
      </c>
    </row>
    <row r="105" spans="1:36" ht="16.5">
      <c r="A105" s="6">
        <v>103</v>
      </c>
      <c r="B105" s="9">
        <f t="shared" si="34"/>
        <v>46125</v>
      </c>
      <c r="C105" s="7">
        <f t="shared" si="35"/>
        <v>4</v>
      </c>
      <c r="D105" s="7">
        <f t="shared" si="36"/>
        <v>13</v>
      </c>
      <c r="E105" s="15">
        <f t="shared" si="37"/>
        <v>2</v>
      </c>
      <c r="F105" s="8" t="str">
        <f t="shared" si="38"/>
        <v/>
      </c>
      <c r="G105" s="58"/>
      <c r="H105" s="12" t="s">
        <v>63</v>
      </c>
      <c r="I105" s="6" t="str">
        <f t="shared" si="39"/>
        <v>야간</v>
      </c>
      <c r="J105" s="6" t="str">
        <f t="shared" si="40"/>
        <v/>
      </c>
      <c r="K105" s="6" t="str">
        <f>IF(J105="","",COUNT($J$3:J105))</f>
        <v/>
      </c>
      <c r="L105" s="6" t="str">
        <f t="shared" si="46"/>
        <v/>
      </c>
      <c r="M105" s="6" t="str">
        <f t="shared" si="47"/>
        <v/>
      </c>
      <c r="N105" s="6" t="str">
        <f t="shared" si="48"/>
        <v/>
      </c>
      <c r="O105" s="6" t="str">
        <f t="shared" si="49"/>
        <v/>
      </c>
      <c r="P105" s="32" t="str">
        <f t="shared" si="41"/>
        <v/>
      </c>
      <c r="Q105" s="13" t="str">
        <f t="shared" si="60"/>
        <v>-</v>
      </c>
      <c r="R105" s="13" t="str">
        <f t="shared" si="61"/>
        <v>-</v>
      </c>
      <c r="S105" s="13" t="str">
        <f t="shared" si="62"/>
        <v>-</v>
      </c>
      <c r="T105" s="13" t="str">
        <f t="shared" si="63"/>
        <v>-</v>
      </c>
      <c r="U105" s="31" t="str">
        <f t="shared" si="42"/>
        <v>-</v>
      </c>
      <c r="V105" s="6">
        <f t="shared" si="43"/>
        <v>1</v>
      </c>
      <c r="W105" s="6">
        <f>IF(V105="","",COUNT($V$3:V105))</f>
        <v>35</v>
      </c>
      <c r="X105" s="6">
        <f t="shared" si="50"/>
        <v>1</v>
      </c>
      <c r="Y105" s="6">
        <f t="shared" si="51"/>
        <v>2</v>
      </c>
      <c r="Z105" s="6">
        <f t="shared" si="52"/>
        <v>3</v>
      </c>
      <c r="AA105" s="6">
        <f t="shared" si="53"/>
        <v>4</v>
      </c>
      <c r="AB105" s="32">
        <f t="shared" si="44"/>
        <v>0</v>
      </c>
      <c r="AC105" s="13" t="str">
        <f t="shared" si="54"/>
        <v>이기수</v>
      </c>
      <c r="AD105" s="13" t="str">
        <f t="shared" si="55"/>
        <v>박성현</v>
      </c>
      <c r="AE105" s="13" t="str">
        <f t="shared" si="56"/>
        <v>허지웅</v>
      </c>
      <c r="AF105" s="13" t="str">
        <f t="shared" si="57"/>
        <v>정윤준</v>
      </c>
      <c r="AG105" s="31" t="str">
        <f t="shared" si="45"/>
        <v>정윤준</v>
      </c>
      <c r="AH105" s="2">
        <f t="shared" si="58"/>
        <v>1</v>
      </c>
      <c r="AI105" s="2">
        <f>IF(AH105="","",COUNT($AH$3:AH105))</f>
        <v>9</v>
      </c>
      <c r="AJ105" s="60" t="str">
        <f t="shared" si="59"/>
        <v>정윤준</v>
      </c>
    </row>
    <row r="106" spans="1:36" ht="16.5">
      <c r="A106" s="6">
        <v>104</v>
      </c>
      <c r="B106" s="9">
        <f t="shared" si="34"/>
        <v>46126</v>
      </c>
      <c r="C106" s="7">
        <f t="shared" si="35"/>
        <v>4</v>
      </c>
      <c r="D106" s="7">
        <f t="shared" si="36"/>
        <v>14</v>
      </c>
      <c r="E106" s="15">
        <f t="shared" si="37"/>
        <v>3</v>
      </c>
      <c r="F106" s="8" t="str">
        <f t="shared" si="38"/>
        <v/>
      </c>
      <c r="G106" s="58"/>
      <c r="H106" s="12" t="s">
        <v>64</v>
      </c>
      <c r="I106" s="6" t="str">
        <f t="shared" si="39"/>
        <v>비번</v>
      </c>
      <c r="J106" s="6" t="str">
        <f t="shared" si="40"/>
        <v/>
      </c>
      <c r="K106" s="6" t="str">
        <f>IF(J106="","",COUNT($J$3:J106))</f>
        <v/>
      </c>
      <c r="L106" s="6" t="str">
        <f t="shared" si="46"/>
        <v/>
      </c>
      <c r="M106" s="6" t="str">
        <f t="shared" si="47"/>
        <v/>
      </c>
      <c r="N106" s="6" t="str">
        <f t="shared" si="48"/>
        <v/>
      </c>
      <c r="O106" s="6" t="str">
        <f t="shared" si="49"/>
        <v/>
      </c>
      <c r="P106" s="32" t="str">
        <f t="shared" si="41"/>
        <v/>
      </c>
      <c r="Q106" s="13" t="str">
        <f t="shared" si="60"/>
        <v>-</v>
      </c>
      <c r="R106" s="13" t="str">
        <f t="shared" si="61"/>
        <v>-</v>
      </c>
      <c r="S106" s="13" t="str">
        <f t="shared" si="62"/>
        <v>-</v>
      </c>
      <c r="T106" s="13" t="str">
        <f t="shared" si="63"/>
        <v>-</v>
      </c>
      <c r="U106" s="31" t="str">
        <f t="shared" si="42"/>
        <v>-</v>
      </c>
      <c r="V106" s="6" t="str">
        <f t="shared" si="43"/>
        <v/>
      </c>
      <c r="W106" s="6" t="str">
        <f>IF(V106="","",COUNT($V$3:V106))</f>
        <v/>
      </c>
      <c r="X106" s="6" t="str">
        <f t="shared" si="50"/>
        <v/>
      </c>
      <c r="Y106" s="6" t="str">
        <f t="shared" si="51"/>
        <v/>
      </c>
      <c r="Z106" s="6" t="str">
        <f t="shared" si="52"/>
        <v/>
      </c>
      <c r="AA106" s="6" t="str">
        <f t="shared" si="53"/>
        <v/>
      </c>
      <c r="AB106" s="32" t="str">
        <f t="shared" si="44"/>
        <v/>
      </c>
      <c r="AC106" s="13" t="str">
        <f t="shared" si="54"/>
        <v>-</v>
      </c>
      <c r="AD106" s="13" t="str">
        <f t="shared" si="55"/>
        <v>-</v>
      </c>
      <c r="AE106" s="13" t="str">
        <f t="shared" si="56"/>
        <v>-</v>
      </c>
      <c r="AF106" s="13" t="str">
        <f t="shared" si="57"/>
        <v>-</v>
      </c>
      <c r="AG106" s="31" t="str">
        <f t="shared" si="45"/>
        <v>-</v>
      </c>
      <c r="AH106" s="2" t="str">
        <f t="shared" si="58"/>
        <v/>
      </c>
      <c r="AI106" s="2" t="str">
        <f>IF(AH106="","",COUNT($AH$3:AH106))</f>
        <v/>
      </c>
      <c r="AJ106" s="60" t="str">
        <f t="shared" si="59"/>
        <v/>
      </c>
    </row>
    <row r="107" spans="1:36" ht="16.5">
      <c r="A107" s="6">
        <v>105</v>
      </c>
      <c r="B107" s="9">
        <f t="shared" si="34"/>
        <v>46127</v>
      </c>
      <c r="C107" s="7">
        <f t="shared" si="35"/>
        <v>4</v>
      </c>
      <c r="D107" s="7">
        <f t="shared" si="36"/>
        <v>15</v>
      </c>
      <c r="E107" s="15">
        <f t="shared" si="37"/>
        <v>4</v>
      </c>
      <c r="F107" s="8" t="str">
        <f t="shared" si="38"/>
        <v/>
      </c>
      <c r="G107" s="58"/>
      <c r="H107" s="12" t="s">
        <v>65</v>
      </c>
      <c r="I107" s="6" t="str">
        <f t="shared" si="39"/>
        <v>주간</v>
      </c>
      <c r="J107" s="6">
        <f t="shared" si="40"/>
        <v>1</v>
      </c>
      <c r="K107" s="6">
        <f>IF(J107="","",COUNT($J$3:J107))</f>
        <v>24</v>
      </c>
      <c r="L107" s="6">
        <f t="shared" si="46"/>
        <v>4</v>
      </c>
      <c r="M107" s="6">
        <f t="shared" si="47"/>
        <v>1</v>
      </c>
      <c r="N107" s="6">
        <f t="shared" si="48"/>
        <v>2</v>
      </c>
      <c r="O107" s="6">
        <f t="shared" si="49"/>
        <v>3</v>
      </c>
      <c r="P107" s="32">
        <f t="shared" si="41"/>
        <v>4</v>
      </c>
      <c r="Q107" s="13" t="str">
        <f t="shared" si="60"/>
        <v>정윤준</v>
      </c>
      <c r="R107" s="13" t="str">
        <f t="shared" si="61"/>
        <v>이기수</v>
      </c>
      <c r="S107" s="13" t="str">
        <f t="shared" si="62"/>
        <v>박성현</v>
      </c>
      <c r="T107" s="13" t="str">
        <f t="shared" si="63"/>
        <v>허지웅</v>
      </c>
      <c r="U107" s="31" t="e">
        <f t="shared" si="42"/>
        <v>#VALUE!</v>
      </c>
      <c r="V107" s="6" t="str">
        <f t="shared" si="43"/>
        <v/>
      </c>
      <c r="W107" s="6" t="str">
        <f>IF(V107="","",COUNT($V$3:V107))</f>
        <v/>
      </c>
      <c r="X107" s="6" t="str">
        <f t="shared" si="50"/>
        <v/>
      </c>
      <c r="Y107" s="6" t="str">
        <f t="shared" si="51"/>
        <v/>
      </c>
      <c r="Z107" s="6" t="str">
        <f t="shared" si="52"/>
        <v/>
      </c>
      <c r="AA107" s="6" t="str">
        <f t="shared" si="53"/>
        <v/>
      </c>
      <c r="AB107" s="32" t="str">
        <f t="shared" si="44"/>
        <v/>
      </c>
      <c r="AC107" s="13" t="str">
        <f t="shared" si="54"/>
        <v>-</v>
      </c>
      <c r="AD107" s="13" t="str">
        <f t="shared" si="55"/>
        <v>-</v>
      </c>
      <c r="AE107" s="13" t="str">
        <f t="shared" si="56"/>
        <v>-</v>
      </c>
      <c r="AF107" s="13" t="str">
        <f t="shared" si="57"/>
        <v>-</v>
      </c>
      <c r="AG107" s="31" t="str">
        <f t="shared" si="45"/>
        <v>-</v>
      </c>
      <c r="AH107" s="2" t="str">
        <f t="shared" si="58"/>
        <v/>
      </c>
      <c r="AI107" s="2" t="str">
        <f>IF(AH107="","",COUNT($AH$3:AH107))</f>
        <v/>
      </c>
      <c r="AJ107" s="60" t="str">
        <f t="shared" si="59"/>
        <v/>
      </c>
    </row>
    <row r="108" spans="1:36" ht="16.5">
      <c r="A108" s="6">
        <v>106</v>
      </c>
      <c r="B108" s="9">
        <f t="shared" si="34"/>
        <v>46128</v>
      </c>
      <c r="C108" s="7">
        <f t="shared" si="35"/>
        <v>4</v>
      </c>
      <c r="D108" s="7">
        <f t="shared" si="36"/>
        <v>16</v>
      </c>
      <c r="E108" s="15">
        <f t="shared" si="37"/>
        <v>5</v>
      </c>
      <c r="F108" s="8" t="str">
        <f t="shared" si="38"/>
        <v/>
      </c>
      <c r="G108" s="58"/>
      <c r="H108" s="12" t="s">
        <v>63</v>
      </c>
      <c r="I108" s="6" t="str">
        <f t="shared" si="39"/>
        <v>야간</v>
      </c>
      <c r="J108" s="6" t="str">
        <f t="shared" si="40"/>
        <v/>
      </c>
      <c r="K108" s="6" t="str">
        <f>IF(J108="","",COUNT($J$3:J108))</f>
        <v/>
      </c>
      <c r="L108" s="6" t="str">
        <f t="shared" si="46"/>
        <v/>
      </c>
      <c r="M108" s="6" t="str">
        <f t="shared" si="47"/>
        <v/>
      </c>
      <c r="N108" s="6" t="str">
        <f t="shared" si="48"/>
        <v/>
      </c>
      <c r="O108" s="6" t="str">
        <f t="shared" si="49"/>
        <v/>
      </c>
      <c r="P108" s="32" t="str">
        <f t="shared" si="41"/>
        <v/>
      </c>
      <c r="Q108" s="13" t="str">
        <f t="shared" si="60"/>
        <v>-</v>
      </c>
      <c r="R108" s="13" t="str">
        <f t="shared" si="61"/>
        <v>-</v>
      </c>
      <c r="S108" s="13" t="str">
        <f t="shared" si="62"/>
        <v>-</v>
      </c>
      <c r="T108" s="13" t="str">
        <f t="shared" si="63"/>
        <v>-</v>
      </c>
      <c r="U108" s="31" t="str">
        <f t="shared" si="42"/>
        <v>-</v>
      </c>
      <c r="V108" s="6">
        <f t="shared" si="43"/>
        <v>1</v>
      </c>
      <c r="W108" s="6">
        <f>IF(V108="","",COUNT($V$3:V108))</f>
        <v>36</v>
      </c>
      <c r="X108" s="6">
        <f t="shared" si="50"/>
        <v>4</v>
      </c>
      <c r="Y108" s="6">
        <f t="shared" si="51"/>
        <v>1</v>
      </c>
      <c r="Z108" s="6">
        <f t="shared" si="52"/>
        <v>2</v>
      </c>
      <c r="AA108" s="6">
        <f t="shared" si="53"/>
        <v>3</v>
      </c>
      <c r="AB108" s="32">
        <f t="shared" si="44"/>
        <v>1</v>
      </c>
      <c r="AC108" s="13" t="str">
        <f t="shared" si="54"/>
        <v>정윤준</v>
      </c>
      <c r="AD108" s="13" t="str">
        <f t="shared" si="55"/>
        <v>이기수</v>
      </c>
      <c r="AE108" s="13" t="str">
        <f t="shared" si="56"/>
        <v>박성현</v>
      </c>
      <c r="AF108" s="13" t="str">
        <f t="shared" si="57"/>
        <v>허지웅</v>
      </c>
      <c r="AG108" s="31" t="str">
        <f t="shared" si="45"/>
        <v>허지웅</v>
      </c>
      <c r="AH108" s="2" t="str">
        <f t="shared" si="58"/>
        <v/>
      </c>
      <c r="AI108" s="2" t="str">
        <f>IF(AH108="","",COUNT($AH$3:AH108))</f>
        <v/>
      </c>
      <c r="AJ108" s="60" t="str">
        <f t="shared" si="59"/>
        <v/>
      </c>
    </row>
    <row r="109" spans="1:36" ht="16.5">
      <c r="A109" s="6">
        <v>107</v>
      </c>
      <c r="B109" s="9">
        <f t="shared" si="34"/>
        <v>46129</v>
      </c>
      <c r="C109" s="7">
        <f t="shared" si="35"/>
        <v>4</v>
      </c>
      <c r="D109" s="7">
        <f t="shared" si="36"/>
        <v>17</v>
      </c>
      <c r="E109" s="15">
        <f t="shared" si="37"/>
        <v>6</v>
      </c>
      <c r="F109" s="8" t="str">
        <f t="shared" si="38"/>
        <v/>
      </c>
      <c r="G109" s="58"/>
      <c r="H109" s="12" t="s">
        <v>64</v>
      </c>
      <c r="I109" s="6" t="str">
        <f t="shared" si="39"/>
        <v>비번</v>
      </c>
      <c r="J109" s="6" t="str">
        <f t="shared" si="40"/>
        <v/>
      </c>
      <c r="K109" s="6" t="str">
        <f>IF(J109="","",COUNT($J$3:J109))</f>
        <v/>
      </c>
      <c r="L109" s="6" t="str">
        <f t="shared" si="46"/>
        <v/>
      </c>
      <c r="M109" s="6" t="str">
        <f t="shared" si="47"/>
        <v/>
      </c>
      <c r="N109" s="6" t="str">
        <f t="shared" si="48"/>
        <v/>
      </c>
      <c r="O109" s="6" t="str">
        <f t="shared" si="49"/>
        <v/>
      </c>
      <c r="P109" s="32" t="str">
        <f t="shared" si="41"/>
        <v/>
      </c>
      <c r="Q109" s="13" t="str">
        <f t="shared" si="60"/>
        <v>-</v>
      </c>
      <c r="R109" s="13" t="str">
        <f t="shared" si="61"/>
        <v>-</v>
      </c>
      <c r="S109" s="13" t="str">
        <f t="shared" si="62"/>
        <v>-</v>
      </c>
      <c r="T109" s="13" t="str">
        <f t="shared" si="63"/>
        <v>-</v>
      </c>
      <c r="U109" s="31" t="str">
        <f t="shared" si="42"/>
        <v>-</v>
      </c>
      <c r="V109" s="6" t="str">
        <f t="shared" si="43"/>
        <v/>
      </c>
      <c r="W109" s="6" t="str">
        <f>IF(V109="","",COUNT($V$3:V109))</f>
        <v/>
      </c>
      <c r="X109" s="6" t="str">
        <f t="shared" si="50"/>
        <v/>
      </c>
      <c r="Y109" s="6" t="str">
        <f t="shared" si="51"/>
        <v/>
      </c>
      <c r="Z109" s="6" t="str">
        <f t="shared" si="52"/>
        <v/>
      </c>
      <c r="AA109" s="6" t="str">
        <f t="shared" si="53"/>
        <v/>
      </c>
      <c r="AB109" s="32" t="str">
        <f t="shared" si="44"/>
        <v/>
      </c>
      <c r="AC109" s="13" t="str">
        <f t="shared" si="54"/>
        <v>-</v>
      </c>
      <c r="AD109" s="13" t="str">
        <f t="shared" si="55"/>
        <v>-</v>
      </c>
      <c r="AE109" s="13" t="str">
        <f t="shared" si="56"/>
        <v>-</v>
      </c>
      <c r="AF109" s="13" t="str">
        <f t="shared" si="57"/>
        <v>-</v>
      </c>
      <c r="AG109" s="31" t="str">
        <f t="shared" si="45"/>
        <v>-</v>
      </c>
      <c r="AH109" s="2" t="str">
        <f t="shared" si="58"/>
        <v/>
      </c>
      <c r="AI109" s="2" t="str">
        <f>IF(AH109="","",COUNT($AH$3:AH109))</f>
        <v/>
      </c>
      <c r="AJ109" s="60" t="str">
        <f t="shared" si="59"/>
        <v/>
      </c>
    </row>
    <row r="110" spans="1:36" ht="16.5">
      <c r="A110" s="6">
        <v>108</v>
      </c>
      <c r="B110" s="9">
        <f t="shared" si="34"/>
        <v>46130</v>
      </c>
      <c r="C110" s="7">
        <f t="shared" si="35"/>
        <v>4</v>
      </c>
      <c r="D110" s="7">
        <f t="shared" si="36"/>
        <v>18</v>
      </c>
      <c r="E110" s="15">
        <f t="shared" si="37"/>
        <v>7</v>
      </c>
      <c r="F110" s="8" t="str">
        <f t="shared" si="38"/>
        <v>휴</v>
      </c>
      <c r="G110" s="58"/>
      <c r="H110" s="12" t="s">
        <v>65</v>
      </c>
      <c r="I110" s="6" t="str">
        <f t="shared" si="39"/>
        <v>휴무</v>
      </c>
      <c r="J110" s="6" t="str">
        <f t="shared" si="40"/>
        <v/>
      </c>
      <c r="K110" s="6" t="str">
        <f>IF(J110="","",COUNT($J$3:J110))</f>
        <v/>
      </c>
      <c r="L110" s="6" t="str">
        <f t="shared" si="46"/>
        <v/>
      </c>
      <c r="M110" s="6" t="str">
        <f t="shared" si="47"/>
        <v/>
      </c>
      <c r="N110" s="6" t="str">
        <f t="shared" si="48"/>
        <v/>
      </c>
      <c r="O110" s="6" t="str">
        <f t="shared" si="49"/>
        <v/>
      </c>
      <c r="P110" s="32" t="str">
        <f t="shared" si="41"/>
        <v/>
      </c>
      <c r="Q110" s="13" t="str">
        <f t="shared" si="60"/>
        <v>-</v>
      </c>
      <c r="R110" s="13" t="str">
        <f t="shared" si="61"/>
        <v>-</v>
      </c>
      <c r="S110" s="13" t="str">
        <f t="shared" si="62"/>
        <v>-</v>
      </c>
      <c r="T110" s="13" t="str">
        <f t="shared" si="63"/>
        <v>-</v>
      </c>
      <c r="U110" s="31" t="str">
        <f t="shared" si="42"/>
        <v>-</v>
      </c>
      <c r="V110" s="6" t="str">
        <f t="shared" si="43"/>
        <v/>
      </c>
      <c r="W110" s="6" t="str">
        <f>IF(V110="","",COUNT($V$3:V110))</f>
        <v/>
      </c>
      <c r="X110" s="6" t="str">
        <f t="shared" si="50"/>
        <v/>
      </c>
      <c r="Y110" s="6" t="str">
        <f t="shared" si="51"/>
        <v/>
      </c>
      <c r="Z110" s="6" t="str">
        <f t="shared" si="52"/>
        <v/>
      </c>
      <c r="AA110" s="6" t="str">
        <f t="shared" si="53"/>
        <v/>
      </c>
      <c r="AB110" s="32" t="str">
        <f t="shared" si="44"/>
        <v/>
      </c>
      <c r="AC110" s="13" t="str">
        <f t="shared" si="54"/>
        <v>-</v>
      </c>
      <c r="AD110" s="13" t="str">
        <f t="shared" si="55"/>
        <v>-</v>
      </c>
      <c r="AE110" s="13" t="str">
        <f t="shared" si="56"/>
        <v>-</v>
      </c>
      <c r="AF110" s="13" t="str">
        <f t="shared" si="57"/>
        <v>-</v>
      </c>
      <c r="AG110" s="31" t="str">
        <f t="shared" si="45"/>
        <v>-</v>
      </c>
      <c r="AH110" s="2" t="str">
        <f t="shared" si="58"/>
        <v/>
      </c>
      <c r="AI110" s="2" t="str">
        <f>IF(AH110="","",COUNT($AH$3:AH110))</f>
        <v/>
      </c>
      <c r="AJ110" s="60" t="str">
        <f t="shared" si="59"/>
        <v/>
      </c>
    </row>
    <row r="111" spans="1:36" ht="16.5">
      <c r="A111" s="6">
        <v>109</v>
      </c>
      <c r="B111" s="9">
        <f t="shared" si="34"/>
        <v>46131</v>
      </c>
      <c r="C111" s="7">
        <f t="shared" si="35"/>
        <v>4</v>
      </c>
      <c r="D111" s="7">
        <f t="shared" si="36"/>
        <v>19</v>
      </c>
      <c r="E111" s="15">
        <f t="shared" si="37"/>
        <v>1</v>
      </c>
      <c r="F111" s="8" t="str">
        <f t="shared" si="38"/>
        <v>휴</v>
      </c>
      <c r="G111" s="58"/>
      <c r="H111" s="12" t="s">
        <v>63</v>
      </c>
      <c r="I111" s="6" t="str">
        <f t="shared" si="39"/>
        <v>당직</v>
      </c>
      <c r="J111" s="6" t="str">
        <f t="shared" si="40"/>
        <v/>
      </c>
      <c r="K111" s="6" t="str">
        <f>IF(J111="","",COUNT($J$3:J111))</f>
        <v/>
      </c>
      <c r="L111" s="6" t="str">
        <f t="shared" si="46"/>
        <v/>
      </c>
      <c r="M111" s="6" t="str">
        <f t="shared" si="47"/>
        <v/>
      </c>
      <c r="N111" s="6" t="str">
        <f t="shared" si="48"/>
        <v/>
      </c>
      <c r="O111" s="6" t="str">
        <f t="shared" si="49"/>
        <v/>
      </c>
      <c r="P111" s="32" t="str">
        <f t="shared" si="41"/>
        <v/>
      </c>
      <c r="Q111" s="13" t="str">
        <f t="shared" si="60"/>
        <v>-</v>
      </c>
      <c r="R111" s="13" t="str">
        <f t="shared" si="61"/>
        <v>-</v>
      </c>
      <c r="S111" s="13" t="str">
        <f t="shared" si="62"/>
        <v>-</v>
      </c>
      <c r="T111" s="13" t="str">
        <f t="shared" si="63"/>
        <v>-</v>
      </c>
      <c r="U111" s="31" t="str">
        <f t="shared" si="42"/>
        <v>-</v>
      </c>
      <c r="V111" s="6">
        <f t="shared" si="43"/>
        <v>1</v>
      </c>
      <c r="W111" s="6">
        <f>IF(V111="","",COUNT($V$3:V111))</f>
        <v>37</v>
      </c>
      <c r="X111" s="6">
        <f t="shared" si="50"/>
        <v>3</v>
      </c>
      <c r="Y111" s="6">
        <f t="shared" si="51"/>
        <v>4</v>
      </c>
      <c r="Z111" s="6">
        <f t="shared" si="52"/>
        <v>1</v>
      </c>
      <c r="AA111" s="6">
        <f t="shared" si="53"/>
        <v>2</v>
      </c>
      <c r="AB111" s="32">
        <f t="shared" si="44"/>
        <v>2</v>
      </c>
      <c r="AC111" s="13" t="str">
        <f t="shared" si="54"/>
        <v>허지웅</v>
      </c>
      <c r="AD111" s="13" t="str">
        <f t="shared" si="55"/>
        <v>정윤준</v>
      </c>
      <c r="AE111" s="13" t="str">
        <f t="shared" si="56"/>
        <v>이기수</v>
      </c>
      <c r="AF111" s="13" t="str">
        <f t="shared" si="57"/>
        <v>박성현</v>
      </c>
      <c r="AG111" s="31" t="str">
        <f t="shared" si="45"/>
        <v>장혁진</v>
      </c>
      <c r="AH111" s="2" t="str">
        <f t="shared" si="58"/>
        <v/>
      </c>
      <c r="AI111" s="2" t="str">
        <f>IF(AH111="","",COUNT($AH$3:AH111))</f>
        <v/>
      </c>
      <c r="AJ111" s="60" t="str">
        <f t="shared" si="59"/>
        <v/>
      </c>
    </row>
    <row r="112" spans="1:36" ht="16.5">
      <c r="A112" s="6">
        <v>110</v>
      </c>
      <c r="B112" s="9">
        <f t="shared" si="34"/>
        <v>46132</v>
      </c>
      <c r="C112" s="7">
        <f t="shared" si="35"/>
        <v>4</v>
      </c>
      <c r="D112" s="7">
        <f t="shared" si="36"/>
        <v>20</v>
      </c>
      <c r="E112" s="15">
        <f t="shared" si="37"/>
        <v>2</v>
      </c>
      <c r="F112" s="8" t="str">
        <f t="shared" si="38"/>
        <v/>
      </c>
      <c r="G112" s="58"/>
      <c r="H112" s="12" t="s">
        <v>64</v>
      </c>
      <c r="I112" s="6" t="str">
        <f t="shared" si="39"/>
        <v>비번</v>
      </c>
      <c r="J112" s="6" t="str">
        <f t="shared" si="40"/>
        <v/>
      </c>
      <c r="K112" s="6" t="str">
        <f>IF(J112="","",COUNT($J$3:J112))</f>
        <v/>
      </c>
      <c r="L112" s="6" t="str">
        <f t="shared" si="46"/>
        <v/>
      </c>
      <c r="M112" s="6" t="str">
        <f t="shared" si="47"/>
        <v/>
      </c>
      <c r="N112" s="6" t="str">
        <f t="shared" si="48"/>
        <v/>
      </c>
      <c r="O112" s="6" t="str">
        <f t="shared" si="49"/>
        <v/>
      </c>
      <c r="P112" s="32" t="str">
        <f t="shared" si="41"/>
        <v/>
      </c>
      <c r="Q112" s="13" t="str">
        <f t="shared" si="60"/>
        <v>-</v>
      </c>
      <c r="R112" s="13" t="str">
        <f t="shared" si="61"/>
        <v>-</v>
      </c>
      <c r="S112" s="13" t="str">
        <f t="shared" si="62"/>
        <v>-</v>
      </c>
      <c r="T112" s="13" t="str">
        <f t="shared" si="63"/>
        <v>-</v>
      </c>
      <c r="U112" s="31" t="str">
        <f t="shared" si="42"/>
        <v>-</v>
      </c>
      <c r="V112" s="6" t="str">
        <f t="shared" si="43"/>
        <v/>
      </c>
      <c r="W112" s="6" t="str">
        <f>IF(V112="","",COUNT($V$3:V112))</f>
        <v/>
      </c>
      <c r="X112" s="6" t="str">
        <f t="shared" si="50"/>
        <v/>
      </c>
      <c r="Y112" s="6" t="str">
        <f t="shared" si="51"/>
        <v/>
      </c>
      <c r="Z112" s="6" t="str">
        <f t="shared" si="52"/>
        <v/>
      </c>
      <c r="AA112" s="6" t="str">
        <f t="shared" si="53"/>
        <v/>
      </c>
      <c r="AB112" s="32" t="str">
        <f t="shared" si="44"/>
        <v/>
      </c>
      <c r="AC112" s="13" t="str">
        <f t="shared" si="54"/>
        <v>-</v>
      </c>
      <c r="AD112" s="13" t="str">
        <f t="shared" si="55"/>
        <v>-</v>
      </c>
      <c r="AE112" s="13" t="str">
        <f t="shared" si="56"/>
        <v>-</v>
      </c>
      <c r="AF112" s="13" t="str">
        <f t="shared" si="57"/>
        <v>-</v>
      </c>
      <c r="AG112" s="31" t="str">
        <f t="shared" si="45"/>
        <v>-</v>
      </c>
      <c r="AH112" s="2" t="str">
        <f t="shared" si="58"/>
        <v/>
      </c>
      <c r="AI112" s="2" t="str">
        <f>IF(AH112="","",COUNT($AH$3:AH112))</f>
        <v/>
      </c>
      <c r="AJ112" s="60" t="str">
        <f t="shared" si="59"/>
        <v/>
      </c>
    </row>
    <row r="113" spans="1:36" ht="16.5">
      <c r="A113" s="6">
        <v>111</v>
      </c>
      <c r="B113" s="9">
        <f t="shared" si="34"/>
        <v>46133</v>
      </c>
      <c r="C113" s="7">
        <f t="shared" si="35"/>
        <v>4</v>
      </c>
      <c r="D113" s="7">
        <f t="shared" si="36"/>
        <v>21</v>
      </c>
      <c r="E113" s="15">
        <f t="shared" si="37"/>
        <v>3</v>
      </c>
      <c r="F113" s="8" t="str">
        <f t="shared" si="38"/>
        <v/>
      </c>
      <c r="G113" s="58"/>
      <c r="H113" s="12" t="s">
        <v>65</v>
      </c>
      <c r="I113" s="6" t="str">
        <f t="shared" si="39"/>
        <v>주간</v>
      </c>
      <c r="J113" s="6">
        <f t="shared" si="40"/>
        <v>1</v>
      </c>
      <c r="K113" s="6">
        <f>IF(J113="","",COUNT($J$3:J113))</f>
        <v>25</v>
      </c>
      <c r="L113" s="6">
        <f t="shared" si="46"/>
        <v>3</v>
      </c>
      <c r="M113" s="6">
        <f t="shared" si="47"/>
        <v>4</v>
      </c>
      <c r="N113" s="6">
        <f t="shared" si="48"/>
        <v>1</v>
      </c>
      <c r="O113" s="6">
        <f t="shared" si="49"/>
        <v>2</v>
      </c>
      <c r="P113" s="32">
        <f t="shared" si="41"/>
        <v>0</v>
      </c>
      <c r="Q113" s="13" t="str">
        <f t="shared" si="60"/>
        <v>허지웅</v>
      </c>
      <c r="R113" s="13" t="str">
        <f t="shared" si="61"/>
        <v>정윤준</v>
      </c>
      <c r="S113" s="13" t="str">
        <f t="shared" si="62"/>
        <v>이기수</v>
      </c>
      <c r="T113" s="13" t="str">
        <f t="shared" si="63"/>
        <v>박성현</v>
      </c>
      <c r="U113" s="31" t="str">
        <f t="shared" si="42"/>
        <v>장혁진</v>
      </c>
      <c r="V113" s="6" t="str">
        <f t="shared" si="43"/>
        <v/>
      </c>
      <c r="W113" s="6" t="str">
        <f>IF(V113="","",COUNT($V$3:V113))</f>
        <v/>
      </c>
      <c r="X113" s="6" t="str">
        <f t="shared" si="50"/>
        <v/>
      </c>
      <c r="Y113" s="6" t="str">
        <f t="shared" si="51"/>
        <v/>
      </c>
      <c r="Z113" s="6" t="str">
        <f t="shared" si="52"/>
        <v/>
      </c>
      <c r="AA113" s="6" t="str">
        <f t="shared" si="53"/>
        <v/>
      </c>
      <c r="AB113" s="32" t="str">
        <f t="shared" si="44"/>
        <v/>
      </c>
      <c r="AC113" s="13" t="str">
        <f t="shared" si="54"/>
        <v>-</v>
      </c>
      <c r="AD113" s="13" t="str">
        <f t="shared" si="55"/>
        <v>-</v>
      </c>
      <c r="AE113" s="13" t="str">
        <f t="shared" si="56"/>
        <v>-</v>
      </c>
      <c r="AF113" s="13" t="str">
        <f t="shared" si="57"/>
        <v>-</v>
      </c>
      <c r="AG113" s="31" t="str">
        <f t="shared" si="45"/>
        <v>-</v>
      </c>
      <c r="AH113" s="2" t="str">
        <f t="shared" si="58"/>
        <v/>
      </c>
      <c r="AI113" s="2" t="str">
        <f>IF(AH113="","",COUNT($AH$3:AH113))</f>
        <v/>
      </c>
      <c r="AJ113" s="60" t="str">
        <f t="shared" si="59"/>
        <v/>
      </c>
    </row>
    <row r="114" spans="1:36" ht="16.5">
      <c r="A114" s="6">
        <v>112</v>
      </c>
      <c r="B114" s="9">
        <f t="shared" si="34"/>
        <v>46134</v>
      </c>
      <c r="C114" s="7">
        <f t="shared" si="35"/>
        <v>4</v>
      </c>
      <c r="D114" s="7">
        <f t="shared" si="36"/>
        <v>22</v>
      </c>
      <c r="E114" s="15">
        <f t="shared" si="37"/>
        <v>4</v>
      </c>
      <c r="F114" s="8" t="str">
        <f t="shared" si="38"/>
        <v/>
      </c>
      <c r="G114" s="58"/>
      <c r="H114" s="12" t="s">
        <v>63</v>
      </c>
      <c r="I114" s="6" t="str">
        <f t="shared" si="39"/>
        <v>야간</v>
      </c>
      <c r="J114" s="6" t="str">
        <f t="shared" si="40"/>
        <v/>
      </c>
      <c r="K114" s="6" t="str">
        <f>IF(J114="","",COUNT($J$3:J114))</f>
        <v/>
      </c>
      <c r="L114" s="6" t="str">
        <f t="shared" si="46"/>
        <v/>
      </c>
      <c r="M114" s="6" t="str">
        <f t="shared" si="47"/>
        <v/>
      </c>
      <c r="N114" s="6" t="str">
        <f t="shared" si="48"/>
        <v/>
      </c>
      <c r="O114" s="6" t="str">
        <f t="shared" si="49"/>
        <v/>
      </c>
      <c r="P114" s="32" t="str">
        <f t="shared" si="41"/>
        <v/>
      </c>
      <c r="Q114" s="13" t="str">
        <f t="shared" si="60"/>
        <v>-</v>
      </c>
      <c r="R114" s="13" t="str">
        <f t="shared" si="61"/>
        <v>-</v>
      </c>
      <c r="S114" s="13" t="str">
        <f t="shared" si="62"/>
        <v>-</v>
      </c>
      <c r="T114" s="13" t="str">
        <f t="shared" si="63"/>
        <v>-</v>
      </c>
      <c r="U114" s="31" t="str">
        <f t="shared" si="42"/>
        <v>-</v>
      </c>
      <c r="V114" s="6">
        <f t="shared" si="43"/>
        <v>1</v>
      </c>
      <c r="W114" s="6">
        <f>IF(V114="","",COUNT($V$3:V114))</f>
        <v>38</v>
      </c>
      <c r="X114" s="6">
        <f t="shared" si="50"/>
        <v>2</v>
      </c>
      <c r="Y114" s="6">
        <f t="shared" si="51"/>
        <v>3</v>
      </c>
      <c r="Z114" s="6">
        <f t="shared" si="52"/>
        <v>4</v>
      </c>
      <c r="AA114" s="6">
        <f t="shared" si="53"/>
        <v>1</v>
      </c>
      <c r="AB114" s="32">
        <f t="shared" si="44"/>
        <v>3</v>
      </c>
      <c r="AC114" s="13" t="str">
        <f t="shared" si="54"/>
        <v>박성현</v>
      </c>
      <c r="AD114" s="13" t="str">
        <f t="shared" si="55"/>
        <v>허지웅</v>
      </c>
      <c r="AE114" s="13" t="str">
        <f t="shared" si="56"/>
        <v>정윤준</v>
      </c>
      <c r="AF114" s="13" t="str">
        <f t="shared" si="57"/>
        <v>이기수</v>
      </c>
      <c r="AG114" s="31" t="str">
        <f t="shared" si="45"/>
        <v>이기수</v>
      </c>
      <c r="AH114" s="2" t="str">
        <f t="shared" si="58"/>
        <v/>
      </c>
      <c r="AI114" s="2" t="str">
        <f>IF(AH114="","",COUNT($AH$3:AH114))</f>
        <v/>
      </c>
      <c r="AJ114" s="60" t="str">
        <f t="shared" si="59"/>
        <v/>
      </c>
    </row>
    <row r="115" spans="1:36" ht="16.5">
      <c r="A115" s="6">
        <v>113</v>
      </c>
      <c r="B115" s="9">
        <f t="shared" si="34"/>
        <v>46135</v>
      </c>
      <c r="C115" s="7">
        <f t="shared" si="35"/>
        <v>4</v>
      </c>
      <c r="D115" s="7">
        <f t="shared" si="36"/>
        <v>23</v>
      </c>
      <c r="E115" s="15">
        <f t="shared" si="37"/>
        <v>5</v>
      </c>
      <c r="F115" s="8" t="str">
        <f t="shared" si="38"/>
        <v/>
      </c>
      <c r="G115" s="58"/>
      <c r="H115" s="12" t="s">
        <v>64</v>
      </c>
      <c r="I115" s="6" t="str">
        <f t="shared" si="39"/>
        <v>비번</v>
      </c>
      <c r="J115" s="6" t="str">
        <f t="shared" si="40"/>
        <v/>
      </c>
      <c r="K115" s="6" t="str">
        <f>IF(J115="","",COUNT($J$3:J115))</f>
        <v/>
      </c>
      <c r="L115" s="6" t="str">
        <f t="shared" si="46"/>
        <v/>
      </c>
      <c r="M115" s="6" t="str">
        <f t="shared" si="47"/>
        <v/>
      </c>
      <c r="N115" s="6" t="str">
        <f t="shared" si="48"/>
        <v/>
      </c>
      <c r="O115" s="6" t="str">
        <f t="shared" si="49"/>
        <v/>
      </c>
      <c r="P115" s="32" t="str">
        <f t="shared" si="41"/>
        <v/>
      </c>
      <c r="Q115" s="13" t="str">
        <f t="shared" si="60"/>
        <v>-</v>
      </c>
      <c r="R115" s="13" t="str">
        <f t="shared" si="61"/>
        <v>-</v>
      </c>
      <c r="S115" s="13" t="str">
        <f t="shared" si="62"/>
        <v>-</v>
      </c>
      <c r="T115" s="13" t="str">
        <f t="shared" si="63"/>
        <v>-</v>
      </c>
      <c r="U115" s="31" t="str">
        <f t="shared" si="42"/>
        <v>-</v>
      </c>
      <c r="V115" s="6" t="str">
        <f t="shared" si="43"/>
        <v/>
      </c>
      <c r="W115" s="6" t="str">
        <f>IF(V115="","",COUNT($V$3:V115))</f>
        <v/>
      </c>
      <c r="X115" s="6" t="str">
        <f t="shared" si="50"/>
        <v/>
      </c>
      <c r="Y115" s="6" t="str">
        <f t="shared" si="51"/>
        <v/>
      </c>
      <c r="Z115" s="6" t="str">
        <f t="shared" si="52"/>
        <v/>
      </c>
      <c r="AA115" s="6" t="str">
        <f t="shared" si="53"/>
        <v/>
      </c>
      <c r="AB115" s="32" t="str">
        <f t="shared" si="44"/>
        <v/>
      </c>
      <c r="AC115" s="13" t="str">
        <f t="shared" si="54"/>
        <v>-</v>
      </c>
      <c r="AD115" s="13" t="str">
        <f t="shared" si="55"/>
        <v>-</v>
      </c>
      <c r="AE115" s="13" t="str">
        <f t="shared" si="56"/>
        <v>-</v>
      </c>
      <c r="AF115" s="13" t="str">
        <f t="shared" si="57"/>
        <v>-</v>
      </c>
      <c r="AG115" s="31" t="str">
        <f t="shared" si="45"/>
        <v>-</v>
      </c>
      <c r="AH115" s="2" t="str">
        <f t="shared" si="58"/>
        <v/>
      </c>
      <c r="AI115" s="2" t="str">
        <f>IF(AH115="","",COUNT($AH$3:AH115))</f>
        <v/>
      </c>
      <c r="AJ115" s="60" t="str">
        <f t="shared" si="59"/>
        <v/>
      </c>
    </row>
    <row r="116" spans="1:36" ht="16.5">
      <c r="A116" s="6">
        <v>114</v>
      </c>
      <c r="B116" s="9">
        <f t="shared" si="34"/>
        <v>46136</v>
      </c>
      <c r="C116" s="7">
        <f t="shared" si="35"/>
        <v>4</v>
      </c>
      <c r="D116" s="7">
        <f t="shared" si="36"/>
        <v>24</v>
      </c>
      <c r="E116" s="15">
        <f t="shared" si="37"/>
        <v>6</v>
      </c>
      <c r="F116" s="8" t="str">
        <f t="shared" si="38"/>
        <v/>
      </c>
      <c r="G116" s="58"/>
      <c r="H116" s="12" t="s">
        <v>65</v>
      </c>
      <c r="I116" s="6" t="str">
        <f t="shared" si="39"/>
        <v>주간</v>
      </c>
      <c r="J116" s="6">
        <f t="shared" si="40"/>
        <v>1</v>
      </c>
      <c r="K116" s="6">
        <f>IF(J116="","",COUNT($J$3:J116))</f>
        <v>26</v>
      </c>
      <c r="L116" s="6">
        <f t="shared" si="46"/>
        <v>2</v>
      </c>
      <c r="M116" s="6">
        <f t="shared" si="47"/>
        <v>3</v>
      </c>
      <c r="N116" s="6">
        <f t="shared" si="48"/>
        <v>4</v>
      </c>
      <c r="O116" s="6">
        <f t="shared" si="49"/>
        <v>1</v>
      </c>
      <c r="P116" s="32">
        <f t="shared" si="41"/>
        <v>1</v>
      </c>
      <c r="Q116" s="13" t="str">
        <f t="shared" si="60"/>
        <v>박성현</v>
      </c>
      <c r="R116" s="13" t="str">
        <f t="shared" si="61"/>
        <v>허지웅</v>
      </c>
      <c r="S116" s="13" t="str">
        <f t="shared" si="62"/>
        <v>정윤준</v>
      </c>
      <c r="T116" s="13" t="str">
        <f t="shared" si="63"/>
        <v>이기수</v>
      </c>
      <c r="U116" s="31" t="str">
        <f t="shared" si="42"/>
        <v>이기수</v>
      </c>
      <c r="V116" s="6" t="str">
        <f t="shared" si="43"/>
        <v/>
      </c>
      <c r="W116" s="6" t="str">
        <f>IF(V116="","",COUNT($V$3:V116))</f>
        <v/>
      </c>
      <c r="X116" s="6" t="str">
        <f t="shared" si="50"/>
        <v/>
      </c>
      <c r="Y116" s="6" t="str">
        <f t="shared" si="51"/>
        <v/>
      </c>
      <c r="Z116" s="6" t="str">
        <f t="shared" si="52"/>
        <v/>
      </c>
      <c r="AA116" s="6" t="str">
        <f t="shared" si="53"/>
        <v/>
      </c>
      <c r="AB116" s="32" t="str">
        <f t="shared" si="44"/>
        <v/>
      </c>
      <c r="AC116" s="13" t="str">
        <f t="shared" si="54"/>
        <v>-</v>
      </c>
      <c r="AD116" s="13" t="str">
        <f t="shared" si="55"/>
        <v>-</v>
      </c>
      <c r="AE116" s="13" t="str">
        <f t="shared" si="56"/>
        <v>-</v>
      </c>
      <c r="AF116" s="13" t="str">
        <f t="shared" si="57"/>
        <v>-</v>
      </c>
      <c r="AG116" s="31" t="str">
        <f t="shared" si="45"/>
        <v>-</v>
      </c>
      <c r="AH116" s="2" t="str">
        <f t="shared" si="58"/>
        <v/>
      </c>
      <c r="AI116" s="2" t="str">
        <f>IF(AH116="","",COUNT($AH$3:AH116))</f>
        <v/>
      </c>
      <c r="AJ116" s="60" t="str">
        <f t="shared" si="59"/>
        <v/>
      </c>
    </row>
    <row r="117" spans="1:36" ht="16.5">
      <c r="A117" s="6">
        <v>115</v>
      </c>
      <c r="B117" s="9">
        <f t="shared" si="34"/>
        <v>46137</v>
      </c>
      <c r="C117" s="7">
        <f t="shared" si="35"/>
        <v>4</v>
      </c>
      <c r="D117" s="7">
        <f t="shared" si="36"/>
        <v>25</v>
      </c>
      <c r="E117" s="15">
        <f t="shared" si="37"/>
        <v>7</v>
      </c>
      <c r="F117" s="8" t="str">
        <f t="shared" si="38"/>
        <v>휴</v>
      </c>
      <c r="G117" s="58"/>
      <c r="H117" s="12" t="s">
        <v>63</v>
      </c>
      <c r="I117" s="6" t="str">
        <f t="shared" si="39"/>
        <v>당직</v>
      </c>
      <c r="J117" s="6" t="str">
        <f t="shared" si="40"/>
        <v/>
      </c>
      <c r="K117" s="6" t="str">
        <f>IF(J117="","",COUNT($J$3:J117))</f>
        <v/>
      </c>
      <c r="L117" s="6" t="str">
        <f t="shared" si="46"/>
        <v/>
      </c>
      <c r="M117" s="6" t="str">
        <f t="shared" si="47"/>
        <v/>
      </c>
      <c r="N117" s="6" t="str">
        <f t="shared" si="48"/>
        <v/>
      </c>
      <c r="O117" s="6" t="str">
        <f t="shared" si="49"/>
        <v/>
      </c>
      <c r="P117" s="32" t="str">
        <f t="shared" si="41"/>
        <v/>
      </c>
      <c r="Q117" s="13" t="str">
        <f t="shared" si="60"/>
        <v>-</v>
      </c>
      <c r="R117" s="13" t="str">
        <f t="shared" si="61"/>
        <v>-</v>
      </c>
      <c r="S117" s="13" t="str">
        <f t="shared" si="62"/>
        <v>-</v>
      </c>
      <c r="T117" s="13" t="str">
        <f t="shared" si="63"/>
        <v>-</v>
      </c>
      <c r="U117" s="31" t="str">
        <f t="shared" si="42"/>
        <v>-</v>
      </c>
      <c r="V117" s="6">
        <f t="shared" si="43"/>
        <v>1</v>
      </c>
      <c r="W117" s="6">
        <f>IF(V117="","",COUNT($V$3:V117))</f>
        <v>39</v>
      </c>
      <c r="X117" s="6">
        <f t="shared" si="50"/>
        <v>1</v>
      </c>
      <c r="Y117" s="6">
        <f t="shared" si="51"/>
        <v>2</v>
      </c>
      <c r="Z117" s="6">
        <f t="shared" si="52"/>
        <v>3</v>
      </c>
      <c r="AA117" s="6">
        <f t="shared" si="53"/>
        <v>4</v>
      </c>
      <c r="AB117" s="32">
        <f t="shared" si="44"/>
        <v>4</v>
      </c>
      <c r="AC117" s="13" t="str">
        <f t="shared" si="54"/>
        <v>이기수</v>
      </c>
      <c r="AD117" s="13" t="str">
        <f t="shared" si="55"/>
        <v>박성현</v>
      </c>
      <c r="AE117" s="13" t="str">
        <f t="shared" si="56"/>
        <v>허지웅</v>
      </c>
      <c r="AF117" s="13" t="str">
        <f t="shared" si="57"/>
        <v>정윤준</v>
      </c>
      <c r="AG117" s="31" t="e">
        <f t="shared" si="45"/>
        <v>#VALUE!</v>
      </c>
      <c r="AH117" s="2">
        <f t="shared" si="58"/>
        <v>1</v>
      </c>
      <c r="AI117" s="2">
        <f>IF(AH117="","",COUNT($AH$3:AH117))</f>
        <v>10</v>
      </c>
      <c r="AJ117" s="60" t="str">
        <f t="shared" si="59"/>
        <v>허지웅</v>
      </c>
    </row>
    <row r="118" spans="1:36" ht="16.5">
      <c r="A118" s="6">
        <v>116</v>
      </c>
      <c r="B118" s="9">
        <f t="shared" si="34"/>
        <v>46138</v>
      </c>
      <c r="C118" s="7">
        <f t="shared" si="35"/>
        <v>4</v>
      </c>
      <c r="D118" s="7">
        <f t="shared" si="36"/>
        <v>26</v>
      </c>
      <c r="E118" s="15">
        <f t="shared" si="37"/>
        <v>1</v>
      </c>
      <c r="F118" s="8" t="str">
        <f t="shared" si="38"/>
        <v>휴</v>
      </c>
      <c r="G118" s="58"/>
      <c r="H118" s="12" t="s">
        <v>64</v>
      </c>
      <c r="I118" s="6" t="str">
        <f t="shared" si="39"/>
        <v>비번</v>
      </c>
      <c r="J118" s="6" t="str">
        <f t="shared" si="40"/>
        <v/>
      </c>
      <c r="K118" s="6" t="str">
        <f>IF(J118="","",COUNT($J$3:J118))</f>
        <v/>
      </c>
      <c r="L118" s="6" t="str">
        <f t="shared" si="46"/>
        <v/>
      </c>
      <c r="M118" s="6" t="str">
        <f t="shared" si="47"/>
        <v/>
      </c>
      <c r="N118" s="6" t="str">
        <f t="shared" si="48"/>
        <v/>
      </c>
      <c r="O118" s="6" t="str">
        <f t="shared" si="49"/>
        <v/>
      </c>
      <c r="P118" s="32" t="str">
        <f t="shared" si="41"/>
        <v/>
      </c>
      <c r="Q118" s="13" t="str">
        <f t="shared" si="60"/>
        <v>-</v>
      </c>
      <c r="R118" s="13" t="str">
        <f t="shared" si="61"/>
        <v>-</v>
      </c>
      <c r="S118" s="13" t="str">
        <f t="shared" si="62"/>
        <v>-</v>
      </c>
      <c r="T118" s="13" t="str">
        <f t="shared" si="63"/>
        <v>-</v>
      </c>
      <c r="U118" s="31" t="str">
        <f t="shared" si="42"/>
        <v>-</v>
      </c>
      <c r="V118" s="6" t="str">
        <f t="shared" si="43"/>
        <v/>
      </c>
      <c r="W118" s="6" t="str">
        <f>IF(V118="","",COUNT($V$3:V118))</f>
        <v/>
      </c>
      <c r="X118" s="6" t="str">
        <f t="shared" si="50"/>
        <v/>
      </c>
      <c r="Y118" s="6" t="str">
        <f t="shared" si="51"/>
        <v/>
      </c>
      <c r="Z118" s="6" t="str">
        <f t="shared" si="52"/>
        <v/>
      </c>
      <c r="AA118" s="6" t="str">
        <f t="shared" si="53"/>
        <v/>
      </c>
      <c r="AB118" s="32" t="str">
        <f t="shared" si="44"/>
        <v/>
      </c>
      <c r="AC118" s="13" t="str">
        <f t="shared" si="54"/>
        <v>-</v>
      </c>
      <c r="AD118" s="13" t="str">
        <f t="shared" si="55"/>
        <v>-</v>
      </c>
      <c r="AE118" s="13" t="str">
        <f t="shared" si="56"/>
        <v>-</v>
      </c>
      <c r="AF118" s="13" t="str">
        <f t="shared" si="57"/>
        <v>-</v>
      </c>
      <c r="AG118" s="31" t="str">
        <f t="shared" si="45"/>
        <v>-</v>
      </c>
      <c r="AH118" s="2" t="str">
        <f t="shared" si="58"/>
        <v/>
      </c>
      <c r="AI118" s="2" t="str">
        <f>IF(AH118="","",COUNT($AH$3:AH118))</f>
        <v/>
      </c>
      <c r="AJ118" s="60" t="str">
        <f t="shared" si="59"/>
        <v/>
      </c>
    </row>
    <row r="119" spans="1:36" ht="16.5">
      <c r="A119" s="6">
        <v>117</v>
      </c>
      <c r="B119" s="9">
        <f t="shared" si="34"/>
        <v>46139</v>
      </c>
      <c r="C119" s="7">
        <f t="shared" si="35"/>
        <v>4</v>
      </c>
      <c r="D119" s="7">
        <f t="shared" si="36"/>
        <v>27</v>
      </c>
      <c r="E119" s="15">
        <f t="shared" si="37"/>
        <v>2</v>
      </c>
      <c r="F119" s="8" t="str">
        <f t="shared" si="38"/>
        <v/>
      </c>
      <c r="G119" s="58"/>
      <c r="H119" s="12" t="s">
        <v>65</v>
      </c>
      <c r="I119" s="6" t="str">
        <f t="shared" si="39"/>
        <v>주간</v>
      </c>
      <c r="J119" s="6">
        <f t="shared" si="40"/>
        <v>1</v>
      </c>
      <c r="K119" s="6">
        <f>IF(J119="","",COUNT($J$3:J119))</f>
        <v>27</v>
      </c>
      <c r="L119" s="6">
        <f t="shared" si="46"/>
        <v>1</v>
      </c>
      <c r="M119" s="6">
        <f t="shared" si="47"/>
        <v>2</v>
      </c>
      <c r="N119" s="6">
        <f t="shared" si="48"/>
        <v>3</v>
      </c>
      <c r="O119" s="6">
        <f t="shared" si="49"/>
        <v>4</v>
      </c>
      <c r="P119" s="32">
        <f t="shared" si="41"/>
        <v>2</v>
      </c>
      <c r="Q119" s="13" t="str">
        <f t="shared" si="60"/>
        <v>이기수</v>
      </c>
      <c r="R119" s="13" t="str">
        <f t="shared" si="61"/>
        <v>박성현</v>
      </c>
      <c r="S119" s="13" t="str">
        <f t="shared" si="62"/>
        <v>허지웅</v>
      </c>
      <c r="T119" s="13" t="str">
        <f t="shared" si="63"/>
        <v>정윤준</v>
      </c>
      <c r="U119" s="31" t="str">
        <f t="shared" si="42"/>
        <v>정윤준</v>
      </c>
      <c r="V119" s="6" t="str">
        <f t="shared" si="43"/>
        <v/>
      </c>
      <c r="W119" s="6" t="str">
        <f>IF(V119="","",COUNT($V$3:V119))</f>
        <v/>
      </c>
      <c r="X119" s="6" t="str">
        <f t="shared" si="50"/>
        <v/>
      </c>
      <c r="Y119" s="6" t="str">
        <f t="shared" si="51"/>
        <v/>
      </c>
      <c r="Z119" s="6" t="str">
        <f t="shared" si="52"/>
        <v/>
      </c>
      <c r="AA119" s="6" t="str">
        <f t="shared" si="53"/>
        <v/>
      </c>
      <c r="AB119" s="32" t="str">
        <f t="shared" si="44"/>
        <v/>
      </c>
      <c r="AC119" s="13" t="str">
        <f t="shared" si="54"/>
        <v>-</v>
      </c>
      <c r="AD119" s="13" t="str">
        <f t="shared" si="55"/>
        <v>-</v>
      </c>
      <c r="AE119" s="13" t="str">
        <f t="shared" si="56"/>
        <v>-</v>
      </c>
      <c r="AF119" s="13" t="str">
        <f t="shared" si="57"/>
        <v>-</v>
      </c>
      <c r="AG119" s="31" t="str">
        <f t="shared" si="45"/>
        <v>-</v>
      </c>
      <c r="AH119" s="2" t="str">
        <f t="shared" si="58"/>
        <v/>
      </c>
      <c r="AI119" s="2" t="str">
        <f>IF(AH119="","",COUNT($AH$3:AH119))</f>
        <v/>
      </c>
      <c r="AJ119" s="60" t="str">
        <f t="shared" si="59"/>
        <v/>
      </c>
    </row>
    <row r="120" spans="1:36" ht="16.5">
      <c r="A120" s="6">
        <v>118</v>
      </c>
      <c r="B120" s="9">
        <f t="shared" si="34"/>
        <v>46140</v>
      </c>
      <c r="C120" s="7">
        <f t="shared" si="35"/>
        <v>4</v>
      </c>
      <c r="D120" s="7">
        <f t="shared" si="36"/>
        <v>28</v>
      </c>
      <c r="E120" s="15">
        <f t="shared" si="37"/>
        <v>3</v>
      </c>
      <c r="F120" s="8" t="str">
        <f t="shared" si="38"/>
        <v/>
      </c>
      <c r="G120" s="58"/>
      <c r="H120" s="12" t="s">
        <v>63</v>
      </c>
      <c r="I120" s="6" t="str">
        <f t="shared" si="39"/>
        <v>야간</v>
      </c>
      <c r="J120" s="6" t="str">
        <f t="shared" si="40"/>
        <v/>
      </c>
      <c r="K120" s="6" t="str">
        <f>IF(J120="","",COUNT($J$3:J120))</f>
        <v/>
      </c>
      <c r="L120" s="6" t="str">
        <f t="shared" si="46"/>
        <v/>
      </c>
      <c r="M120" s="6" t="str">
        <f t="shared" si="47"/>
        <v/>
      </c>
      <c r="N120" s="6" t="str">
        <f t="shared" si="48"/>
        <v/>
      </c>
      <c r="O120" s="6" t="str">
        <f t="shared" si="49"/>
        <v/>
      </c>
      <c r="P120" s="32" t="str">
        <f t="shared" si="41"/>
        <v/>
      </c>
      <c r="Q120" s="13" t="str">
        <f t="shared" si="60"/>
        <v>-</v>
      </c>
      <c r="R120" s="13" t="str">
        <f t="shared" si="61"/>
        <v>-</v>
      </c>
      <c r="S120" s="13" t="str">
        <f t="shared" si="62"/>
        <v>-</v>
      </c>
      <c r="T120" s="13" t="str">
        <f t="shared" si="63"/>
        <v>-</v>
      </c>
      <c r="U120" s="31" t="str">
        <f t="shared" si="42"/>
        <v>-</v>
      </c>
      <c r="V120" s="6">
        <f t="shared" si="43"/>
        <v>1</v>
      </c>
      <c r="W120" s="6">
        <f>IF(V120="","",COUNT($V$3:V120))</f>
        <v>40</v>
      </c>
      <c r="X120" s="6">
        <f t="shared" si="50"/>
        <v>4</v>
      </c>
      <c r="Y120" s="6">
        <f t="shared" si="51"/>
        <v>1</v>
      </c>
      <c r="Z120" s="6">
        <f t="shared" si="52"/>
        <v>2</v>
      </c>
      <c r="AA120" s="6">
        <f t="shared" si="53"/>
        <v>3</v>
      </c>
      <c r="AB120" s="32">
        <f t="shared" si="44"/>
        <v>0</v>
      </c>
      <c r="AC120" s="13" t="str">
        <f t="shared" si="54"/>
        <v>정윤준</v>
      </c>
      <c r="AD120" s="13" t="str">
        <f t="shared" si="55"/>
        <v>이기수</v>
      </c>
      <c r="AE120" s="13" t="str">
        <f t="shared" si="56"/>
        <v>박성현</v>
      </c>
      <c r="AF120" s="13" t="str">
        <f t="shared" si="57"/>
        <v>허지웅</v>
      </c>
      <c r="AG120" s="31" t="str">
        <f t="shared" si="45"/>
        <v>정윤준</v>
      </c>
      <c r="AH120" s="2" t="str">
        <f t="shared" si="58"/>
        <v/>
      </c>
      <c r="AI120" s="2" t="str">
        <f>IF(AH120="","",COUNT($AH$3:AH120))</f>
        <v/>
      </c>
      <c r="AJ120" s="60" t="str">
        <f t="shared" si="59"/>
        <v/>
      </c>
    </row>
    <row r="121" spans="1:36" ht="16.5">
      <c r="A121" s="6">
        <v>119</v>
      </c>
      <c r="B121" s="9">
        <f t="shared" si="34"/>
        <v>46141</v>
      </c>
      <c r="C121" s="7">
        <f t="shared" si="35"/>
        <v>4</v>
      </c>
      <c r="D121" s="7">
        <f t="shared" si="36"/>
        <v>29</v>
      </c>
      <c r="E121" s="15">
        <f t="shared" si="37"/>
        <v>4</v>
      </c>
      <c r="F121" s="8" t="str">
        <f t="shared" si="38"/>
        <v/>
      </c>
      <c r="G121" s="58"/>
      <c r="H121" s="12" t="s">
        <v>64</v>
      </c>
      <c r="I121" s="6" t="str">
        <f t="shared" si="39"/>
        <v>비번</v>
      </c>
      <c r="J121" s="6" t="str">
        <f t="shared" si="40"/>
        <v/>
      </c>
      <c r="K121" s="6" t="str">
        <f>IF(J121="","",COUNT($J$3:J121))</f>
        <v/>
      </c>
      <c r="L121" s="6" t="str">
        <f t="shared" si="46"/>
        <v/>
      </c>
      <c r="M121" s="6" t="str">
        <f t="shared" si="47"/>
        <v/>
      </c>
      <c r="N121" s="6" t="str">
        <f t="shared" si="48"/>
        <v/>
      </c>
      <c r="O121" s="6" t="str">
        <f t="shared" si="49"/>
        <v/>
      </c>
      <c r="P121" s="32" t="str">
        <f t="shared" si="41"/>
        <v/>
      </c>
      <c r="Q121" s="13" t="str">
        <f t="shared" si="60"/>
        <v>-</v>
      </c>
      <c r="R121" s="13" t="str">
        <f t="shared" si="61"/>
        <v>-</v>
      </c>
      <c r="S121" s="13" t="str">
        <f t="shared" si="62"/>
        <v>-</v>
      </c>
      <c r="T121" s="13" t="str">
        <f t="shared" si="63"/>
        <v>-</v>
      </c>
      <c r="U121" s="31" t="str">
        <f t="shared" si="42"/>
        <v>-</v>
      </c>
      <c r="V121" s="6" t="str">
        <f t="shared" si="43"/>
        <v/>
      </c>
      <c r="W121" s="6" t="str">
        <f>IF(V121="","",COUNT($V$3:V121))</f>
        <v/>
      </c>
      <c r="X121" s="6" t="str">
        <f t="shared" si="50"/>
        <v/>
      </c>
      <c r="Y121" s="6" t="str">
        <f t="shared" si="51"/>
        <v/>
      </c>
      <c r="Z121" s="6" t="str">
        <f t="shared" si="52"/>
        <v/>
      </c>
      <c r="AA121" s="6" t="str">
        <f t="shared" si="53"/>
        <v/>
      </c>
      <c r="AB121" s="32" t="str">
        <f t="shared" si="44"/>
        <v/>
      </c>
      <c r="AC121" s="13" t="str">
        <f t="shared" si="54"/>
        <v>-</v>
      </c>
      <c r="AD121" s="13" t="str">
        <f t="shared" si="55"/>
        <v>-</v>
      </c>
      <c r="AE121" s="13" t="str">
        <f t="shared" si="56"/>
        <v>-</v>
      </c>
      <c r="AF121" s="13" t="str">
        <f t="shared" si="57"/>
        <v>-</v>
      </c>
      <c r="AG121" s="31" t="str">
        <f t="shared" si="45"/>
        <v>-</v>
      </c>
      <c r="AH121" s="2" t="str">
        <f t="shared" si="58"/>
        <v/>
      </c>
      <c r="AI121" s="2" t="str">
        <f>IF(AH121="","",COUNT($AH$3:AH121))</f>
        <v/>
      </c>
      <c r="AJ121" s="60" t="str">
        <f t="shared" si="59"/>
        <v/>
      </c>
    </row>
    <row r="122" spans="1:36" ht="16.5">
      <c r="A122" s="6">
        <v>120</v>
      </c>
      <c r="B122" s="9">
        <f t="shared" si="34"/>
        <v>46142</v>
      </c>
      <c r="C122" s="7">
        <f t="shared" si="35"/>
        <v>4</v>
      </c>
      <c r="D122" s="7">
        <f t="shared" si="36"/>
        <v>30</v>
      </c>
      <c r="E122" s="15">
        <f t="shared" si="37"/>
        <v>5</v>
      </c>
      <c r="F122" s="8" t="str">
        <f t="shared" si="38"/>
        <v/>
      </c>
      <c r="G122" s="58"/>
      <c r="H122" s="12" t="s">
        <v>65</v>
      </c>
      <c r="I122" s="6" t="str">
        <f t="shared" si="39"/>
        <v>주간</v>
      </c>
      <c r="J122" s="6">
        <f t="shared" si="40"/>
        <v>1</v>
      </c>
      <c r="K122" s="6">
        <f>IF(J122="","",COUNT($J$3:J122))</f>
        <v>28</v>
      </c>
      <c r="L122" s="6">
        <f t="shared" si="46"/>
        <v>4</v>
      </c>
      <c r="M122" s="6">
        <f t="shared" si="47"/>
        <v>1</v>
      </c>
      <c r="N122" s="6">
        <f t="shared" si="48"/>
        <v>2</v>
      </c>
      <c r="O122" s="6">
        <f t="shared" si="49"/>
        <v>3</v>
      </c>
      <c r="P122" s="32">
        <f t="shared" si="41"/>
        <v>3</v>
      </c>
      <c r="Q122" s="13" t="str">
        <f t="shared" si="60"/>
        <v>정윤준</v>
      </c>
      <c r="R122" s="13" t="str">
        <f t="shared" si="61"/>
        <v>이기수</v>
      </c>
      <c r="S122" s="13" t="str">
        <f t="shared" si="62"/>
        <v>박성현</v>
      </c>
      <c r="T122" s="13" t="str">
        <f t="shared" si="63"/>
        <v>허지웅</v>
      </c>
      <c r="U122" s="31" t="str">
        <f t="shared" si="42"/>
        <v>허지웅</v>
      </c>
      <c r="V122" s="6" t="str">
        <f t="shared" si="43"/>
        <v/>
      </c>
      <c r="W122" s="6" t="str">
        <f>IF(V122="","",COUNT($V$3:V122))</f>
        <v/>
      </c>
      <c r="X122" s="6" t="str">
        <f t="shared" si="50"/>
        <v/>
      </c>
      <c r="Y122" s="6" t="str">
        <f t="shared" si="51"/>
        <v/>
      </c>
      <c r="Z122" s="6" t="str">
        <f t="shared" si="52"/>
        <v/>
      </c>
      <c r="AA122" s="6" t="str">
        <f t="shared" si="53"/>
        <v/>
      </c>
      <c r="AB122" s="32" t="str">
        <f t="shared" si="44"/>
        <v/>
      </c>
      <c r="AC122" s="13" t="str">
        <f t="shared" si="54"/>
        <v>-</v>
      </c>
      <c r="AD122" s="13" t="str">
        <f t="shared" si="55"/>
        <v>-</v>
      </c>
      <c r="AE122" s="13" t="str">
        <f t="shared" si="56"/>
        <v>-</v>
      </c>
      <c r="AF122" s="13" t="str">
        <f t="shared" si="57"/>
        <v>-</v>
      </c>
      <c r="AG122" s="31" t="str">
        <f t="shared" si="45"/>
        <v>-</v>
      </c>
      <c r="AH122" s="2" t="str">
        <f t="shared" si="58"/>
        <v/>
      </c>
      <c r="AI122" s="2" t="str">
        <f>IF(AH122="","",COUNT($AH$3:AH122))</f>
        <v/>
      </c>
      <c r="AJ122" s="60" t="str">
        <f t="shared" si="59"/>
        <v/>
      </c>
    </row>
    <row r="123" spans="1:36" ht="16.5">
      <c r="A123" s="6">
        <v>121</v>
      </c>
      <c r="B123" s="9">
        <f t="shared" si="34"/>
        <v>46143</v>
      </c>
      <c r="C123" s="7">
        <f t="shared" si="35"/>
        <v>5</v>
      </c>
      <c r="D123" s="7">
        <f t="shared" si="36"/>
        <v>1</v>
      </c>
      <c r="E123" s="15">
        <f t="shared" si="37"/>
        <v>6</v>
      </c>
      <c r="F123" s="8" t="str">
        <f t="shared" si="38"/>
        <v>휴</v>
      </c>
      <c r="G123" s="58" t="s">
        <v>69</v>
      </c>
      <c r="H123" s="12" t="s">
        <v>63</v>
      </c>
      <c r="I123" s="6" t="str">
        <f t="shared" si="39"/>
        <v>당직</v>
      </c>
      <c r="J123" s="6" t="str">
        <f t="shared" si="40"/>
        <v/>
      </c>
      <c r="K123" s="6" t="str">
        <f>IF(J123="","",COUNT($J$3:J123))</f>
        <v/>
      </c>
      <c r="L123" s="6" t="str">
        <f t="shared" si="46"/>
        <v/>
      </c>
      <c r="M123" s="6" t="str">
        <f t="shared" si="47"/>
        <v/>
      </c>
      <c r="N123" s="6" t="str">
        <f t="shared" si="48"/>
        <v/>
      </c>
      <c r="O123" s="6" t="str">
        <f t="shared" si="49"/>
        <v/>
      </c>
      <c r="P123" s="32" t="str">
        <f t="shared" si="41"/>
        <v/>
      </c>
      <c r="Q123" s="13" t="str">
        <f t="shared" si="60"/>
        <v>-</v>
      </c>
      <c r="R123" s="13" t="str">
        <f t="shared" si="61"/>
        <v>-</v>
      </c>
      <c r="S123" s="13" t="str">
        <f t="shared" si="62"/>
        <v>-</v>
      </c>
      <c r="T123" s="13" t="str">
        <f t="shared" si="63"/>
        <v>-</v>
      </c>
      <c r="U123" s="31" t="str">
        <f t="shared" si="42"/>
        <v>-</v>
      </c>
      <c r="V123" s="6">
        <f t="shared" si="43"/>
        <v>1</v>
      </c>
      <c r="W123" s="6">
        <f>IF(V123="","",COUNT($V$3:V123))</f>
        <v>41</v>
      </c>
      <c r="X123" s="6">
        <f t="shared" si="50"/>
        <v>3</v>
      </c>
      <c r="Y123" s="6">
        <f t="shared" si="51"/>
        <v>4</v>
      </c>
      <c r="Z123" s="6">
        <f t="shared" si="52"/>
        <v>1</v>
      </c>
      <c r="AA123" s="6">
        <f t="shared" si="53"/>
        <v>2</v>
      </c>
      <c r="AB123" s="32">
        <f t="shared" si="44"/>
        <v>1</v>
      </c>
      <c r="AC123" s="13" t="str">
        <f t="shared" si="54"/>
        <v>허지웅</v>
      </c>
      <c r="AD123" s="13" t="str">
        <f t="shared" si="55"/>
        <v>정윤준</v>
      </c>
      <c r="AE123" s="13" t="str">
        <f t="shared" si="56"/>
        <v>이기수</v>
      </c>
      <c r="AF123" s="13" t="str">
        <f t="shared" si="57"/>
        <v>박성현</v>
      </c>
      <c r="AG123" s="31" t="str">
        <f t="shared" si="45"/>
        <v>허지웅</v>
      </c>
      <c r="AH123" s="2" t="str">
        <f t="shared" si="58"/>
        <v/>
      </c>
      <c r="AI123" s="2" t="str">
        <f>IF(AH123="","",COUNT($AH$3:AH123))</f>
        <v/>
      </c>
      <c r="AJ123" s="60" t="str">
        <f t="shared" si="59"/>
        <v/>
      </c>
    </row>
    <row r="124" spans="1:36" ht="16.5">
      <c r="A124" s="6">
        <v>122</v>
      </c>
      <c r="B124" s="9">
        <f t="shared" si="34"/>
        <v>46144</v>
      </c>
      <c r="C124" s="7">
        <f t="shared" si="35"/>
        <v>5</v>
      </c>
      <c r="D124" s="7">
        <f t="shared" si="36"/>
        <v>2</v>
      </c>
      <c r="E124" s="15">
        <f t="shared" si="37"/>
        <v>7</v>
      </c>
      <c r="F124" s="8" t="str">
        <f t="shared" si="38"/>
        <v>휴</v>
      </c>
      <c r="G124" s="58"/>
      <c r="H124" s="12" t="s">
        <v>64</v>
      </c>
      <c r="I124" s="6" t="str">
        <f t="shared" si="39"/>
        <v>비번</v>
      </c>
      <c r="J124" s="6" t="str">
        <f t="shared" si="40"/>
        <v/>
      </c>
      <c r="K124" s="6" t="str">
        <f>IF(J124="","",COUNT($J$3:J124))</f>
        <v/>
      </c>
      <c r="L124" s="6" t="str">
        <f t="shared" si="46"/>
        <v/>
      </c>
      <c r="M124" s="6" t="str">
        <f t="shared" si="47"/>
        <v/>
      </c>
      <c r="N124" s="6" t="str">
        <f t="shared" si="48"/>
        <v/>
      </c>
      <c r="O124" s="6" t="str">
        <f t="shared" si="49"/>
        <v/>
      </c>
      <c r="P124" s="32" t="str">
        <f t="shared" si="41"/>
        <v/>
      </c>
      <c r="Q124" s="13" t="str">
        <f t="shared" si="60"/>
        <v>-</v>
      </c>
      <c r="R124" s="13" t="str">
        <f t="shared" si="61"/>
        <v>-</v>
      </c>
      <c r="S124" s="13" t="str">
        <f t="shared" si="62"/>
        <v>-</v>
      </c>
      <c r="T124" s="13" t="str">
        <f t="shared" si="63"/>
        <v>-</v>
      </c>
      <c r="U124" s="31" t="str">
        <f t="shared" si="42"/>
        <v>-</v>
      </c>
      <c r="V124" s="6" t="str">
        <f t="shared" si="43"/>
        <v/>
      </c>
      <c r="W124" s="6" t="str">
        <f>IF(V124="","",COUNT($V$3:V124))</f>
        <v/>
      </c>
      <c r="X124" s="6" t="str">
        <f t="shared" si="50"/>
        <v/>
      </c>
      <c r="Y124" s="6" t="str">
        <f t="shared" si="51"/>
        <v/>
      </c>
      <c r="Z124" s="6" t="str">
        <f t="shared" si="52"/>
        <v/>
      </c>
      <c r="AA124" s="6" t="str">
        <f t="shared" si="53"/>
        <v/>
      </c>
      <c r="AB124" s="32" t="str">
        <f t="shared" si="44"/>
        <v/>
      </c>
      <c r="AC124" s="13" t="str">
        <f t="shared" si="54"/>
        <v>-</v>
      </c>
      <c r="AD124" s="13" t="str">
        <f t="shared" si="55"/>
        <v>-</v>
      </c>
      <c r="AE124" s="13" t="str">
        <f t="shared" si="56"/>
        <v>-</v>
      </c>
      <c r="AF124" s="13" t="str">
        <f t="shared" si="57"/>
        <v>-</v>
      </c>
      <c r="AG124" s="31" t="str">
        <f t="shared" si="45"/>
        <v>-</v>
      </c>
      <c r="AH124" s="2" t="str">
        <f t="shared" si="58"/>
        <v/>
      </c>
      <c r="AI124" s="2" t="str">
        <f>IF(AH124="","",COUNT($AH$3:AH124))</f>
        <v/>
      </c>
      <c r="AJ124" s="60" t="str">
        <f t="shared" si="59"/>
        <v/>
      </c>
    </row>
    <row r="125" spans="1:36" ht="16.5">
      <c r="A125" s="6">
        <v>123</v>
      </c>
      <c r="B125" s="9">
        <f t="shared" si="34"/>
        <v>46145</v>
      </c>
      <c r="C125" s="7">
        <f t="shared" si="35"/>
        <v>5</v>
      </c>
      <c r="D125" s="7">
        <f t="shared" si="36"/>
        <v>3</v>
      </c>
      <c r="E125" s="15">
        <f t="shared" si="37"/>
        <v>1</v>
      </c>
      <c r="F125" s="8" t="str">
        <f t="shared" si="38"/>
        <v>휴</v>
      </c>
      <c r="G125" s="58"/>
      <c r="H125" s="12" t="s">
        <v>65</v>
      </c>
      <c r="I125" s="6" t="str">
        <f t="shared" si="39"/>
        <v>휴무</v>
      </c>
      <c r="J125" s="6" t="str">
        <f t="shared" si="40"/>
        <v/>
      </c>
      <c r="K125" s="6" t="str">
        <f>IF(J125="","",COUNT($J$3:J125))</f>
        <v/>
      </c>
      <c r="L125" s="6" t="str">
        <f t="shared" si="46"/>
        <v/>
      </c>
      <c r="M125" s="6" t="str">
        <f t="shared" si="47"/>
        <v/>
      </c>
      <c r="N125" s="6" t="str">
        <f t="shared" si="48"/>
        <v/>
      </c>
      <c r="O125" s="6" t="str">
        <f t="shared" si="49"/>
        <v/>
      </c>
      <c r="P125" s="32" t="str">
        <f t="shared" si="41"/>
        <v/>
      </c>
      <c r="Q125" s="13" t="str">
        <f t="shared" si="60"/>
        <v>-</v>
      </c>
      <c r="R125" s="13" t="str">
        <f t="shared" si="61"/>
        <v>-</v>
      </c>
      <c r="S125" s="13" t="str">
        <f t="shared" si="62"/>
        <v>-</v>
      </c>
      <c r="T125" s="13" t="str">
        <f t="shared" si="63"/>
        <v>-</v>
      </c>
      <c r="U125" s="31" t="str">
        <f t="shared" si="42"/>
        <v>-</v>
      </c>
      <c r="V125" s="6" t="str">
        <f t="shared" si="43"/>
        <v/>
      </c>
      <c r="W125" s="6" t="str">
        <f>IF(V125="","",COUNT($V$3:V125))</f>
        <v/>
      </c>
      <c r="X125" s="6" t="str">
        <f t="shared" si="50"/>
        <v/>
      </c>
      <c r="Y125" s="6" t="str">
        <f t="shared" si="51"/>
        <v/>
      </c>
      <c r="Z125" s="6" t="str">
        <f t="shared" si="52"/>
        <v/>
      </c>
      <c r="AA125" s="6" t="str">
        <f t="shared" si="53"/>
        <v/>
      </c>
      <c r="AB125" s="32" t="str">
        <f t="shared" si="44"/>
        <v/>
      </c>
      <c r="AC125" s="13" t="str">
        <f t="shared" si="54"/>
        <v>-</v>
      </c>
      <c r="AD125" s="13" t="str">
        <f t="shared" si="55"/>
        <v>-</v>
      </c>
      <c r="AE125" s="13" t="str">
        <f t="shared" si="56"/>
        <v>-</v>
      </c>
      <c r="AF125" s="13" t="str">
        <f t="shared" si="57"/>
        <v>-</v>
      </c>
      <c r="AG125" s="31" t="str">
        <f t="shared" si="45"/>
        <v>-</v>
      </c>
      <c r="AH125" s="2" t="str">
        <f t="shared" si="58"/>
        <v/>
      </c>
      <c r="AI125" s="2" t="str">
        <f>IF(AH125="","",COUNT($AH$3:AH125))</f>
        <v/>
      </c>
      <c r="AJ125" s="60" t="str">
        <f t="shared" si="59"/>
        <v/>
      </c>
    </row>
    <row r="126" spans="1:36" ht="16.5">
      <c r="A126" s="6">
        <v>124</v>
      </c>
      <c r="B126" s="9">
        <f t="shared" si="34"/>
        <v>46146</v>
      </c>
      <c r="C126" s="7">
        <f t="shared" si="35"/>
        <v>5</v>
      </c>
      <c r="D126" s="7">
        <f t="shared" si="36"/>
        <v>4</v>
      </c>
      <c r="E126" s="15">
        <f t="shared" si="37"/>
        <v>2</v>
      </c>
      <c r="F126" s="8" t="str">
        <f t="shared" si="38"/>
        <v/>
      </c>
      <c r="G126" s="58"/>
      <c r="H126" s="12" t="s">
        <v>63</v>
      </c>
      <c r="I126" s="6" t="str">
        <f t="shared" si="39"/>
        <v>야간</v>
      </c>
      <c r="J126" s="6" t="str">
        <f t="shared" si="40"/>
        <v/>
      </c>
      <c r="K126" s="6" t="str">
        <f>IF(J126="","",COUNT($J$3:J126))</f>
        <v/>
      </c>
      <c r="L126" s="6" t="str">
        <f t="shared" si="46"/>
        <v/>
      </c>
      <c r="M126" s="6" t="str">
        <f t="shared" si="47"/>
        <v/>
      </c>
      <c r="N126" s="6" t="str">
        <f t="shared" si="48"/>
        <v/>
      </c>
      <c r="O126" s="6" t="str">
        <f t="shared" si="49"/>
        <v/>
      </c>
      <c r="P126" s="32" t="str">
        <f t="shared" si="41"/>
        <v/>
      </c>
      <c r="Q126" s="13" t="str">
        <f t="shared" si="60"/>
        <v>-</v>
      </c>
      <c r="R126" s="13" t="str">
        <f t="shared" si="61"/>
        <v>-</v>
      </c>
      <c r="S126" s="13" t="str">
        <f t="shared" si="62"/>
        <v>-</v>
      </c>
      <c r="T126" s="13" t="str">
        <f t="shared" si="63"/>
        <v>-</v>
      </c>
      <c r="U126" s="31" t="str">
        <f t="shared" si="42"/>
        <v>-</v>
      </c>
      <c r="V126" s="6">
        <f t="shared" si="43"/>
        <v>1</v>
      </c>
      <c r="W126" s="6">
        <f>IF(V126="","",COUNT($V$3:V126))</f>
        <v>42</v>
      </c>
      <c r="X126" s="6">
        <f t="shared" si="50"/>
        <v>2</v>
      </c>
      <c r="Y126" s="6">
        <f t="shared" si="51"/>
        <v>3</v>
      </c>
      <c r="Z126" s="6">
        <f t="shared" si="52"/>
        <v>4</v>
      </c>
      <c r="AA126" s="6">
        <f t="shared" si="53"/>
        <v>1</v>
      </c>
      <c r="AB126" s="32">
        <f t="shared" si="44"/>
        <v>2</v>
      </c>
      <c r="AC126" s="13" t="str">
        <f t="shared" si="54"/>
        <v>박성현</v>
      </c>
      <c r="AD126" s="13" t="str">
        <f t="shared" si="55"/>
        <v>허지웅</v>
      </c>
      <c r="AE126" s="13" t="str">
        <f t="shared" si="56"/>
        <v>정윤준</v>
      </c>
      <c r="AF126" s="13" t="str">
        <f t="shared" si="57"/>
        <v>이기수</v>
      </c>
      <c r="AG126" s="31" t="str">
        <f t="shared" si="45"/>
        <v>장혁진</v>
      </c>
      <c r="AH126" s="2" t="str">
        <f t="shared" si="58"/>
        <v/>
      </c>
      <c r="AI126" s="2" t="str">
        <f>IF(AH126="","",COUNT($AH$3:AH126))</f>
        <v/>
      </c>
      <c r="AJ126" s="60" t="str">
        <f t="shared" si="59"/>
        <v/>
      </c>
    </row>
    <row r="127" spans="1:36" ht="16.5">
      <c r="A127" s="6">
        <v>125</v>
      </c>
      <c r="B127" s="9">
        <f t="shared" si="34"/>
        <v>46147</v>
      </c>
      <c r="C127" s="7">
        <f t="shared" si="35"/>
        <v>5</v>
      </c>
      <c r="D127" s="7">
        <f t="shared" si="36"/>
        <v>5</v>
      </c>
      <c r="E127" s="15">
        <f t="shared" si="37"/>
        <v>3</v>
      </c>
      <c r="F127" s="8" t="str">
        <f t="shared" si="38"/>
        <v>휴</v>
      </c>
      <c r="G127" s="58" t="s">
        <v>70</v>
      </c>
      <c r="H127" s="12" t="s">
        <v>64</v>
      </c>
      <c r="I127" s="6" t="str">
        <f t="shared" si="39"/>
        <v>비번</v>
      </c>
      <c r="J127" s="6" t="str">
        <f t="shared" si="40"/>
        <v/>
      </c>
      <c r="K127" s="6" t="str">
        <f>IF(J127="","",COUNT($J$3:J127))</f>
        <v/>
      </c>
      <c r="L127" s="6" t="str">
        <f t="shared" si="46"/>
        <v/>
      </c>
      <c r="M127" s="6" t="str">
        <f t="shared" si="47"/>
        <v/>
      </c>
      <c r="N127" s="6" t="str">
        <f t="shared" si="48"/>
        <v/>
      </c>
      <c r="O127" s="6" t="str">
        <f t="shared" si="49"/>
        <v/>
      </c>
      <c r="P127" s="32" t="str">
        <f t="shared" si="41"/>
        <v/>
      </c>
      <c r="Q127" s="13" t="str">
        <f t="shared" si="60"/>
        <v>-</v>
      </c>
      <c r="R127" s="13" t="str">
        <f t="shared" si="61"/>
        <v>-</v>
      </c>
      <c r="S127" s="13" t="str">
        <f t="shared" si="62"/>
        <v>-</v>
      </c>
      <c r="T127" s="13" t="str">
        <f t="shared" si="63"/>
        <v>-</v>
      </c>
      <c r="U127" s="31" t="str">
        <f t="shared" si="42"/>
        <v>-</v>
      </c>
      <c r="V127" s="6" t="str">
        <f t="shared" si="43"/>
        <v/>
      </c>
      <c r="W127" s="6" t="str">
        <f>IF(V127="","",COUNT($V$3:V127))</f>
        <v/>
      </c>
      <c r="X127" s="6" t="str">
        <f t="shared" si="50"/>
        <v/>
      </c>
      <c r="Y127" s="6" t="str">
        <f t="shared" si="51"/>
        <v/>
      </c>
      <c r="Z127" s="6" t="str">
        <f t="shared" si="52"/>
        <v/>
      </c>
      <c r="AA127" s="6" t="str">
        <f t="shared" si="53"/>
        <v/>
      </c>
      <c r="AB127" s="32" t="str">
        <f t="shared" si="44"/>
        <v/>
      </c>
      <c r="AC127" s="13" t="str">
        <f t="shared" si="54"/>
        <v>-</v>
      </c>
      <c r="AD127" s="13" t="str">
        <f t="shared" si="55"/>
        <v>-</v>
      </c>
      <c r="AE127" s="13" t="str">
        <f t="shared" si="56"/>
        <v>-</v>
      </c>
      <c r="AF127" s="13" t="str">
        <f t="shared" si="57"/>
        <v>-</v>
      </c>
      <c r="AG127" s="31" t="str">
        <f t="shared" si="45"/>
        <v>-</v>
      </c>
      <c r="AH127" s="2" t="str">
        <f t="shared" si="58"/>
        <v/>
      </c>
      <c r="AI127" s="2" t="str">
        <f>IF(AH127="","",COUNT($AH$3:AH127))</f>
        <v/>
      </c>
      <c r="AJ127" s="60" t="str">
        <f t="shared" si="59"/>
        <v/>
      </c>
    </row>
    <row r="128" spans="1:36" ht="16.5">
      <c r="A128" s="6">
        <v>126</v>
      </c>
      <c r="B128" s="9">
        <f t="shared" si="34"/>
        <v>46148</v>
      </c>
      <c r="C128" s="7">
        <f t="shared" si="35"/>
        <v>5</v>
      </c>
      <c r="D128" s="7">
        <f t="shared" si="36"/>
        <v>6</v>
      </c>
      <c r="E128" s="15">
        <f t="shared" si="37"/>
        <v>4</v>
      </c>
      <c r="F128" s="8" t="str">
        <f t="shared" si="38"/>
        <v/>
      </c>
      <c r="G128" s="58"/>
      <c r="H128" s="12" t="s">
        <v>65</v>
      </c>
      <c r="I128" s="6" t="str">
        <f t="shared" si="39"/>
        <v>주간</v>
      </c>
      <c r="J128" s="6">
        <f t="shared" si="40"/>
        <v>1</v>
      </c>
      <c r="K128" s="6">
        <f>IF(J128="","",COUNT($J$3:J128))</f>
        <v>29</v>
      </c>
      <c r="L128" s="6">
        <f t="shared" si="46"/>
        <v>3</v>
      </c>
      <c r="M128" s="6">
        <f t="shared" si="47"/>
        <v>4</v>
      </c>
      <c r="N128" s="6">
        <f t="shared" si="48"/>
        <v>1</v>
      </c>
      <c r="O128" s="6">
        <f t="shared" si="49"/>
        <v>2</v>
      </c>
      <c r="P128" s="32">
        <f t="shared" si="41"/>
        <v>4</v>
      </c>
      <c r="Q128" s="13" t="str">
        <f t="shared" si="60"/>
        <v>허지웅</v>
      </c>
      <c r="R128" s="13" t="str">
        <f t="shared" si="61"/>
        <v>정윤준</v>
      </c>
      <c r="S128" s="13" t="str">
        <f t="shared" si="62"/>
        <v>이기수</v>
      </c>
      <c r="T128" s="13" t="str">
        <f t="shared" si="63"/>
        <v>박성현</v>
      </c>
      <c r="U128" s="31" t="e">
        <f t="shared" si="42"/>
        <v>#VALUE!</v>
      </c>
      <c r="V128" s="6" t="str">
        <f t="shared" si="43"/>
        <v/>
      </c>
      <c r="W128" s="6" t="str">
        <f>IF(V128="","",COUNT($V$3:V128))</f>
        <v/>
      </c>
      <c r="X128" s="6" t="str">
        <f t="shared" si="50"/>
        <v/>
      </c>
      <c r="Y128" s="6" t="str">
        <f t="shared" si="51"/>
        <v/>
      </c>
      <c r="Z128" s="6" t="str">
        <f t="shared" si="52"/>
        <v/>
      </c>
      <c r="AA128" s="6" t="str">
        <f t="shared" si="53"/>
        <v/>
      </c>
      <c r="AB128" s="32" t="str">
        <f t="shared" si="44"/>
        <v/>
      </c>
      <c r="AC128" s="13" t="str">
        <f t="shared" si="54"/>
        <v>-</v>
      </c>
      <c r="AD128" s="13" t="str">
        <f t="shared" si="55"/>
        <v>-</v>
      </c>
      <c r="AE128" s="13" t="str">
        <f t="shared" si="56"/>
        <v>-</v>
      </c>
      <c r="AF128" s="13" t="str">
        <f t="shared" si="57"/>
        <v>-</v>
      </c>
      <c r="AG128" s="31" t="str">
        <f t="shared" si="45"/>
        <v>-</v>
      </c>
      <c r="AH128" s="2" t="str">
        <f t="shared" si="58"/>
        <v/>
      </c>
      <c r="AI128" s="2" t="str">
        <f>IF(AH128="","",COUNT($AH$3:AH128))</f>
        <v/>
      </c>
      <c r="AJ128" s="60" t="str">
        <f t="shared" si="59"/>
        <v/>
      </c>
    </row>
    <row r="129" spans="1:36" ht="16.5">
      <c r="A129" s="6">
        <v>127</v>
      </c>
      <c r="B129" s="9">
        <f t="shared" si="34"/>
        <v>46149</v>
      </c>
      <c r="C129" s="7">
        <f t="shared" si="35"/>
        <v>5</v>
      </c>
      <c r="D129" s="7">
        <f t="shared" si="36"/>
        <v>7</v>
      </c>
      <c r="E129" s="15">
        <f t="shared" si="37"/>
        <v>5</v>
      </c>
      <c r="F129" s="8" t="str">
        <f t="shared" si="38"/>
        <v/>
      </c>
      <c r="G129" s="58"/>
      <c r="H129" s="12" t="s">
        <v>63</v>
      </c>
      <c r="I129" s="6" t="str">
        <f t="shared" si="39"/>
        <v>야간</v>
      </c>
      <c r="J129" s="6" t="str">
        <f t="shared" si="40"/>
        <v/>
      </c>
      <c r="K129" s="6" t="str">
        <f>IF(J129="","",COUNT($J$3:J129))</f>
        <v/>
      </c>
      <c r="L129" s="6" t="str">
        <f t="shared" si="46"/>
        <v/>
      </c>
      <c r="M129" s="6" t="str">
        <f t="shared" si="47"/>
        <v/>
      </c>
      <c r="N129" s="6" t="str">
        <f t="shared" si="48"/>
        <v/>
      </c>
      <c r="O129" s="6" t="str">
        <f t="shared" si="49"/>
        <v/>
      </c>
      <c r="P129" s="32" t="str">
        <f t="shared" si="41"/>
        <v/>
      </c>
      <c r="Q129" s="13" t="str">
        <f t="shared" si="60"/>
        <v>-</v>
      </c>
      <c r="R129" s="13" t="str">
        <f t="shared" si="61"/>
        <v>-</v>
      </c>
      <c r="S129" s="13" t="str">
        <f t="shared" si="62"/>
        <v>-</v>
      </c>
      <c r="T129" s="13" t="str">
        <f t="shared" si="63"/>
        <v>-</v>
      </c>
      <c r="U129" s="31" t="str">
        <f t="shared" si="42"/>
        <v>-</v>
      </c>
      <c r="V129" s="6">
        <f t="shared" si="43"/>
        <v>1</v>
      </c>
      <c r="W129" s="6">
        <f>IF(V129="","",COUNT($V$3:V129))</f>
        <v>43</v>
      </c>
      <c r="X129" s="6">
        <f t="shared" si="50"/>
        <v>1</v>
      </c>
      <c r="Y129" s="6">
        <f t="shared" si="51"/>
        <v>2</v>
      </c>
      <c r="Z129" s="6">
        <f t="shared" si="52"/>
        <v>3</v>
      </c>
      <c r="AA129" s="6">
        <f t="shared" si="53"/>
        <v>4</v>
      </c>
      <c r="AB129" s="32">
        <f t="shared" si="44"/>
        <v>3</v>
      </c>
      <c r="AC129" s="13" t="str">
        <f t="shared" si="54"/>
        <v>이기수</v>
      </c>
      <c r="AD129" s="13" t="str">
        <f t="shared" si="55"/>
        <v>박성현</v>
      </c>
      <c r="AE129" s="13" t="str">
        <f t="shared" si="56"/>
        <v>허지웅</v>
      </c>
      <c r="AF129" s="13" t="str">
        <f t="shared" si="57"/>
        <v>정윤준</v>
      </c>
      <c r="AG129" s="31" t="str">
        <f t="shared" si="45"/>
        <v>이기수</v>
      </c>
      <c r="AH129" s="2">
        <f t="shared" si="58"/>
        <v>1</v>
      </c>
      <c r="AI129" s="2">
        <f>IF(AH129="","",COUNT($AH$3:AH129))</f>
        <v>11</v>
      </c>
      <c r="AJ129" s="60" t="str">
        <f t="shared" si="59"/>
        <v>정윤준</v>
      </c>
    </row>
    <row r="130" spans="1:36" ht="16.5">
      <c r="A130" s="6">
        <v>128</v>
      </c>
      <c r="B130" s="9">
        <f t="shared" si="34"/>
        <v>46150</v>
      </c>
      <c r="C130" s="7">
        <f t="shared" si="35"/>
        <v>5</v>
      </c>
      <c r="D130" s="7">
        <f t="shared" si="36"/>
        <v>8</v>
      </c>
      <c r="E130" s="15">
        <f t="shared" si="37"/>
        <v>6</v>
      </c>
      <c r="F130" s="8" t="str">
        <f t="shared" si="38"/>
        <v/>
      </c>
      <c r="G130" s="58"/>
      <c r="H130" s="12" t="s">
        <v>64</v>
      </c>
      <c r="I130" s="6" t="str">
        <f t="shared" si="39"/>
        <v>비번</v>
      </c>
      <c r="J130" s="6" t="str">
        <f t="shared" si="40"/>
        <v/>
      </c>
      <c r="K130" s="6" t="str">
        <f>IF(J130="","",COUNT($J$3:J130))</f>
        <v/>
      </c>
      <c r="L130" s="6" t="str">
        <f t="shared" si="46"/>
        <v/>
      </c>
      <c r="M130" s="6" t="str">
        <f t="shared" si="47"/>
        <v/>
      </c>
      <c r="N130" s="6" t="str">
        <f t="shared" si="48"/>
        <v/>
      </c>
      <c r="O130" s="6" t="str">
        <f t="shared" si="49"/>
        <v/>
      </c>
      <c r="P130" s="32" t="str">
        <f t="shared" si="41"/>
        <v/>
      </c>
      <c r="Q130" s="13" t="str">
        <f t="shared" si="60"/>
        <v>-</v>
      </c>
      <c r="R130" s="13" t="str">
        <f t="shared" si="61"/>
        <v>-</v>
      </c>
      <c r="S130" s="13" t="str">
        <f t="shared" si="62"/>
        <v>-</v>
      </c>
      <c r="T130" s="13" t="str">
        <f t="shared" si="63"/>
        <v>-</v>
      </c>
      <c r="U130" s="31" t="str">
        <f t="shared" si="42"/>
        <v>-</v>
      </c>
      <c r="V130" s="6" t="str">
        <f t="shared" si="43"/>
        <v/>
      </c>
      <c r="W130" s="6" t="str">
        <f>IF(V130="","",COUNT($V$3:V130))</f>
        <v/>
      </c>
      <c r="X130" s="6" t="str">
        <f t="shared" si="50"/>
        <v/>
      </c>
      <c r="Y130" s="6" t="str">
        <f t="shared" si="51"/>
        <v/>
      </c>
      <c r="Z130" s="6" t="str">
        <f t="shared" si="52"/>
        <v/>
      </c>
      <c r="AA130" s="6" t="str">
        <f t="shared" si="53"/>
        <v/>
      </c>
      <c r="AB130" s="32" t="str">
        <f t="shared" si="44"/>
        <v/>
      </c>
      <c r="AC130" s="13" t="str">
        <f t="shared" si="54"/>
        <v>-</v>
      </c>
      <c r="AD130" s="13" t="str">
        <f t="shared" si="55"/>
        <v>-</v>
      </c>
      <c r="AE130" s="13" t="str">
        <f t="shared" si="56"/>
        <v>-</v>
      </c>
      <c r="AF130" s="13" t="str">
        <f t="shared" si="57"/>
        <v>-</v>
      </c>
      <c r="AG130" s="31" t="str">
        <f t="shared" si="45"/>
        <v>-</v>
      </c>
      <c r="AH130" s="2" t="str">
        <f t="shared" si="58"/>
        <v/>
      </c>
      <c r="AI130" s="2" t="str">
        <f>IF(AH130="","",COUNT($AH$3:AH130))</f>
        <v/>
      </c>
      <c r="AJ130" s="60" t="str">
        <f t="shared" si="59"/>
        <v/>
      </c>
    </row>
    <row r="131" spans="1:36" ht="16.5">
      <c r="A131" s="6">
        <v>129</v>
      </c>
      <c r="B131" s="9">
        <f t="shared" ref="B131:B194" si="64">B130+1</f>
        <v>46151</v>
      </c>
      <c r="C131" s="7">
        <f t="shared" ref="C131:C194" si="65">MONTH(B131)</f>
        <v>5</v>
      </c>
      <c r="D131" s="7">
        <f t="shared" ref="D131:D194" si="66">DAY(B131)</f>
        <v>9</v>
      </c>
      <c r="E131" s="15">
        <f t="shared" ref="E131:E194" si="67">WEEKDAY(B131)</f>
        <v>7</v>
      </c>
      <c r="F131" s="8" t="str">
        <f t="shared" ref="F131:F194" si="68">IF(OR(TEXT(E131,"aaa")="토",TEXT(E131,"aaa")="일",NOT(ISBLANK(G131))),"휴","")</f>
        <v>휴</v>
      </c>
      <c r="G131" s="58"/>
      <c r="H131" s="12" t="s">
        <v>65</v>
      </c>
      <c r="I131" s="6" t="str">
        <f t="shared" ref="I131:I194" si="69">IF(AND(F131="휴",H131="주간"),"휴무",
  IF(AND(F131="휴",H131="야간"),"당직",
  H131
))</f>
        <v>휴무</v>
      </c>
      <c r="J131" s="6" t="str">
        <f t="shared" ref="J131:J194" si="70">IF(OR(I131="주간"),1,"")</f>
        <v/>
      </c>
      <c r="K131" s="6" t="str">
        <f>IF(J131="","",COUNT($J$3:J131))</f>
        <v/>
      </c>
      <c r="L131" s="6" t="str">
        <f t="shared" si="46"/>
        <v/>
      </c>
      <c r="M131" s="6" t="str">
        <f t="shared" si="47"/>
        <v/>
      </c>
      <c r="N131" s="6" t="str">
        <f t="shared" si="48"/>
        <v/>
      </c>
      <c r="O131" s="6" t="str">
        <f t="shared" si="49"/>
        <v/>
      </c>
      <c r="P131" s="32" t="str">
        <f t="shared" ref="P131:P194" si="71">IF(ISERR(MOD($K131,5)),"",MOD($K131,5))</f>
        <v/>
      </c>
      <c r="Q131" s="13" t="str">
        <f t="shared" si="60"/>
        <v>-</v>
      </c>
      <c r="R131" s="13" t="str">
        <f t="shared" si="61"/>
        <v>-</v>
      </c>
      <c r="S131" s="13" t="str">
        <f t="shared" si="62"/>
        <v>-</v>
      </c>
      <c r="T131" s="13" t="str">
        <f t="shared" si="63"/>
        <v>-</v>
      </c>
      <c r="U131" s="31" t="str">
        <f t="shared" ref="U131:U194" si="72">IF(P131="","-",CHOOSE(P131+1,"장혁진","이기수","정윤준","허지웅"))</f>
        <v>-</v>
      </c>
      <c r="V131" s="6" t="str">
        <f t="shared" ref="V131:V194" si="73">IF(OR(I131="당직",I131="야간"),1,"")</f>
        <v/>
      </c>
      <c r="W131" s="6" t="str">
        <f>IF(V131="","",COUNT($V$3:V131))</f>
        <v/>
      </c>
      <c r="X131" s="6" t="str">
        <f t="shared" si="50"/>
        <v/>
      </c>
      <c r="Y131" s="6" t="str">
        <f t="shared" si="51"/>
        <v/>
      </c>
      <c r="Z131" s="6" t="str">
        <f t="shared" si="52"/>
        <v/>
      </c>
      <c r="AA131" s="6" t="str">
        <f t="shared" si="53"/>
        <v/>
      </c>
      <c r="AB131" s="32" t="str">
        <f t="shared" ref="AB131:AB194" si="74">IF(ISERR(MOD($W131,5)),"",MOD($W131,5))</f>
        <v/>
      </c>
      <c r="AC131" s="13" t="str">
        <f t="shared" si="54"/>
        <v>-</v>
      </c>
      <c r="AD131" s="13" t="str">
        <f t="shared" si="55"/>
        <v>-</v>
      </c>
      <c r="AE131" s="13" t="str">
        <f t="shared" si="56"/>
        <v>-</v>
      </c>
      <c r="AF131" s="13" t="str">
        <f t="shared" si="57"/>
        <v>-</v>
      </c>
      <c r="AG131" s="31" t="str">
        <f t="shared" ref="AG131:AG194" si="75">IF(AB131="","-",CHOOSE(AB131+1,"정윤준","허지웅","장혁진","이기수"))</f>
        <v>-</v>
      </c>
      <c r="AH131" s="2" t="str">
        <f t="shared" si="58"/>
        <v/>
      </c>
      <c r="AI131" s="2" t="str">
        <f>IF(AH131="","",COUNT($AH$3:AH131))</f>
        <v/>
      </c>
      <c r="AJ131" s="60" t="str">
        <f t="shared" si="59"/>
        <v/>
      </c>
    </row>
    <row r="132" spans="1:36" ht="16.5">
      <c r="A132" s="6">
        <v>130</v>
      </c>
      <c r="B132" s="9">
        <f t="shared" si="64"/>
        <v>46152</v>
      </c>
      <c r="C132" s="7">
        <f t="shared" si="65"/>
        <v>5</v>
      </c>
      <c r="D132" s="7">
        <f t="shared" si="66"/>
        <v>10</v>
      </c>
      <c r="E132" s="15">
        <f t="shared" si="67"/>
        <v>1</v>
      </c>
      <c r="F132" s="8" t="str">
        <f t="shared" si="68"/>
        <v>휴</v>
      </c>
      <c r="G132" s="58"/>
      <c r="H132" s="12" t="s">
        <v>63</v>
      </c>
      <c r="I132" s="6" t="str">
        <f t="shared" si="69"/>
        <v>당직</v>
      </c>
      <c r="J132" s="6" t="str">
        <f t="shared" si="70"/>
        <v/>
      </c>
      <c r="K132" s="6" t="str">
        <f>IF(J132="","",COUNT($J$3:J132))</f>
        <v/>
      </c>
      <c r="L132" s="6" t="str">
        <f t="shared" ref="L132:L195" si="76">IF(ISERR(4-MOD($K132,4)),"",4-MOD($K132,4))</f>
        <v/>
      </c>
      <c r="M132" s="6" t="str">
        <f t="shared" ref="M132:M195" si="77">IF(ISERR(4-MOD($K132-1,4)),"",4-MOD($K132-1,4))</f>
        <v/>
      </c>
      <c r="N132" s="6" t="str">
        <f t="shared" ref="N132:N195" si="78">IF(ISERR(4-MOD($K132-2,4)),"",4-MOD($K132-2,4))</f>
        <v/>
      </c>
      <c r="O132" s="6" t="str">
        <f t="shared" ref="O132:O195" si="79">IF(ISERR(4-MOD($K132-3,4)),"",4-MOD($K132-3,4))</f>
        <v/>
      </c>
      <c r="P132" s="32" t="str">
        <f t="shared" si="71"/>
        <v/>
      </c>
      <c r="Q132" s="13" t="str">
        <f t="shared" si="60"/>
        <v>-</v>
      </c>
      <c r="R132" s="13" t="str">
        <f t="shared" si="61"/>
        <v>-</v>
      </c>
      <c r="S132" s="13" t="str">
        <f t="shared" si="62"/>
        <v>-</v>
      </c>
      <c r="T132" s="13" t="str">
        <f t="shared" si="63"/>
        <v>-</v>
      </c>
      <c r="U132" s="31" t="str">
        <f t="shared" si="72"/>
        <v>-</v>
      </c>
      <c r="V132" s="6">
        <f t="shared" si="73"/>
        <v>1</v>
      </c>
      <c r="W132" s="6">
        <f>IF(V132="","",COUNT($V$3:V132))</f>
        <v>44</v>
      </c>
      <c r="X132" s="6">
        <f t="shared" ref="X132:X195" si="80">IF(ISERR(4-MOD($W132,4)),"",4-MOD($W132,4))</f>
        <v>4</v>
      </c>
      <c r="Y132" s="6">
        <f t="shared" ref="Y132:Y195" si="81">IF(ISERR(4-MOD($W132-1,4)),"",4-MOD($W132-1,4))</f>
        <v>1</v>
      </c>
      <c r="Z132" s="6">
        <f t="shared" ref="Z132:Z195" si="82">IF(ISERR(4-MOD($W132-2,4)),"",4-MOD($W132-2,4))</f>
        <v>2</v>
      </c>
      <c r="AA132" s="6">
        <f t="shared" ref="AA132:AA195" si="83">IF(ISERR(4-MOD($W132-3,4)),"",4-MOD($W132-3,4))</f>
        <v>3</v>
      </c>
      <c r="AB132" s="32">
        <f t="shared" si="74"/>
        <v>4</v>
      </c>
      <c r="AC132" s="13" t="str">
        <f t="shared" ref="AC132:AC195" si="84">IF(X132="","-",CHOOSE(MOD(X132+$AD$1,4)+1,$X$1,$Y$1,$Z$1,$AA$1))</f>
        <v>정윤준</v>
      </c>
      <c r="AD132" s="13" t="str">
        <f t="shared" ref="AD132:AD195" si="85">IF(Y132="","-",CHOOSE(MOD(Y132+$AD$1,4)+1,$X$1,$Y$1,$Z$1,$AA$1))</f>
        <v>이기수</v>
      </c>
      <c r="AE132" s="13" t="str">
        <f t="shared" ref="AE132:AE195" si="86">IF(Z132="","-",CHOOSE(MOD(Z132+$AD$1,4)+1,$X$1,$Y$1,$Z$1,$AA$1))</f>
        <v>박성현</v>
      </c>
      <c r="AF132" s="13" t="str">
        <f t="shared" ref="AF132:AF195" si="87">IF(AA132="","-",CHOOSE(MOD(AA132+$AD$1,4)+1,$X$1,$Y$1,$Z$1,$AA$1))</f>
        <v>허지웅</v>
      </c>
      <c r="AG132" s="31" t="e">
        <f t="shared" si="75"/>
        <v>#VALUE!</v>
      </c>
      <c r="AH132" s="2" t="str">
        <f t="shared" ref="AH132:AH195" si="88">IF(OR(AE132&amp;AF132="허지웅정윤준", AE132&amp;AF132="정윤준허지웅"),1,"")</f>
        <v/>
      </c>
      <c r="AI132" s="2" t="str">
        <f>IF(AH132="","",COUNT($AH$3:AH132))</f>
        <v/>
      </c>
      <c r="AJ132" s="60" t="str">
        <f t="shared" ref="AJ132:AJ195" si="89">IF(AI132&lt;&gt;"", CHOOSE(MOD(AI132, 2) + 1, $X$1, $Y$1), "")</f>
        <v/>
      </c>
    </row>
    <row r="133" spans="1:36" ht="16.5">
      <c r="A133" s="6">
        <v>131</v>
      </c>
      <c r="B133" s="9">
        <f t="shared" si="64"/>
        <v>46153</v>
      </c>
      <c r="C133" s="7">
        <f t="shared" si="65"/>
        <v>5</v>
      </c>
      <c r="D133" s="7">
        <f t="shared" si="66"/>
        <v>11</v>
      </c>
      <c r="E133" s="15">
        <f t="shared" si="67"/>
        <v>2</v>
      </c>
      <c r="F133" s="8" t="str">
        <f t="shared" si="68"/>
        <v/>
      </c>
      <c r="G133" s="58"/>
      <c r="H133" s="12" t="s">
        <v>64</v>
      </c>
      <c r="I133" s="6" t="str">
        <f t="shared" si="69"/>
        <v>비번</v>
      </c>
      <c r="J133" s="6" t="str">
        <f t="shared" si="70"/>
        <v/>
      </c>
      <c r="K133" s="6" t="str">
        <f>IF(J133="","",COUNT($J$3:J133))</f>
        <v/>
      </c>
      <c r="L133" s="6" t="str">
        <f t="shared" si="76"/>
        <v/>
      </c>
      <c r="M133" s="6" t="str">
        <f t="shared" si="77"/>
        <v/>
      </c>
      <c r="N133" s="6" t="str">
        <f t="shared" si="78"/>
        <v/>
      </c>
      <c r="O133" s="6" t="str">
        <f t="shared" si="79"/>
        <v/>
      </c>
      <c r="P133" s="32" t="str">
        <f t="shared" si="71"/>
        <v/>
      </c>
      <c r="Q133" s="13" t="str">
        <f t="shared" si="60"/>
        <v>-</v>
      </c>
      <c r="R133" s="13" t="str">
        <f t="shared" si="61"/>
        <v>-</v>
      </c>
      <c r="S133" s="13" t="str">
        <f t="shared" si="62"/>
        <v>-</v>
      </c>
      <c r="T133" s="13" t="str">
        <f t="shared" si="63"/>
        <v>-</v>
      </c>
      <c r="U133" s="31" t="str">
        <f t="shared" si="72"/>
        <v>-</v>
      </c>
      <c r="V133" s="6" t="str">
        <f t="shared" si="73"/>
        <v/>
      </c>
      <c r="W133" s="6" t="str">
        <f>IF(V133="","",COUNT($V$3:V133))</f>
        <v/>
      </c>
      <c r="X133" s="6" t="str">
        <f t="shared" si="80"/>
        <v/>
      </c>
      <c r="Y133" s="6" t="str">
        <f t="shared" si="81"/>
        <v/>
      </c>
      <c r="Z133" s="6" t="str">
        <f t="shared" si="82"/>
        <v/>
      </c>
      <c r="AA133" s="6" t="str">
        <f t="shared" si="83"/>
        <v/>
      </c>
      <c r="AB133" s="32" t="str">
        <f t="shared" si="74"/>
        <v/>
      </c>
      <c r="AC133" s="13" t="str">
        <f t="shared" si="84"/>
        <v>-</v>
      </c>
      <c r="AD133" s="13" t="str">
        <f t="shared" si="85"/>
        <v>-</v>
      </c>
      <c r="AE133" s="13" t="str">
        <f t="shared" si="86"/>
        <v>-</v>
      </c>
      <c r="AF133" s="13" t="str">
        <f t="shared" si="87"/>
        <v>-</v>
      </c>
      <c r="AG133" s="31" t="str">
        <f t="shared" si="75"/>
        <v>-</v>
      </c>
      <c r="AH133" s="2" t="str">
        <f t="shared" si="88"/>
        <v/>
      </c>
      <c r="AI133" s="2" t="str">
        <f>IF(AH133="","",COUNT($AH$3:AH133))</f>
        <v/>
      </c>
      <c r="AJ133" s="60" t="str">
        <f t="shared" si="89"/>
        <v/>
      </c>
    </row>
    <row r="134" spans="1:36" ht="16.5">
      <c r="A134" s="6">
        <v>132</v>
      </c>
      <c r="B134" s="9">
        <f t="shared" si="64"/>
        <v>46154</v>
      </c>
      <c r="C134" s="7">
        <f t="shared" si="65"/>
        <v>5</v>
      </c>
      <c r="D134" s="7">
        <f t="shared" si="66"/>
        <v>12</v>
      </c>
      <c r="E134" s="15">
        <f t="shared" si="67"/>
        <v>3</v>
      </c>
      <c r="F134" s="8" t="str">
        <f t="shared" si="68"/>
        <v/>
      </c>
      <c r="G134" s="58"/>
      <c r="H134" s="12" t="s">
        <v>65</v>
      </c>
      <c r="I134" s="6" t="str">
        <f t="shared" si="69"/>
        <v>주간</v>
      </c>
      <c r="J134" s="6">
        <f t="shared" si="70"/>
        <v>1</v>
      </c>
      <c r="K134" s="6">
        <f>IF(J134="","",COUNT($J$3:J134))</f>
        <v>30</v>
      </c>
      <c r="L134" s="6">
        <f t="shared" si="76"/>
        <v>2</v>
      </c>
      <c r="M134" s="6">
        <f t="shared" si="77"/>
        <v>3</v>
      </c>
      <c r="N134" s="6">
        <f t="shared" si="78"/>
        <v>4</v>
      </c>
      <c r="O134" s="6">
        <f t="shared" si="79"/>
        <v>1</v>
      </c>
      <c r="P134" s="32">
        <f t="shared" si="71"/>
        <v>0</v>
      </c>
      <c r="Q134" s="13" t="str">
        <f t="shared" si="60"/>
        <v>박성현</v>
      </c>
      <c r="R134" s="13" t="str">
        <f t="shared" si="61"/>
        <v>허지웅</v>
      </c>
      <c r="S134" s="13" t="str">
        <f t="shared" si="62"/>
        <v>정윤준</v>
      </c>
      <c r="T134" s="13" t="str">
        <f t="shared" si="63"/>
        <v>이기수</v>
      </c>
      <c r="U134" s="31" t="str">
        <f t="shared" si="72"/>
        <v>장혁진</v>
      </c>
      <c r="V134" s="6" t="str">
        <f t="shared" si="73"/>
        <v/>
      </c>
      <c r="W134" s="6" t="str">
        <f>IF(V134="","",COUNT($V$3:V134))</f>
        <v/>
      </c>
      <c r="X134" s="6" t="str">
        <f t="shared" si="80"/>
        <v/>
      </c>
      <c r="Y134" s="6" t="str">
        <f t="shared" si="81"/>
        <v/>
      </c>
      <c r="Z134" s="6" t="str">
        <f t="shared" si="82"/>
        <v/>
      </c>
      <c r="AA134" s="6" t="str">
        <f t="shared" si="83"/>
        <v/>
      </c>
      <c r="AB134" s="32" t="str">
        <f t="shared" si="74"/>
        <v/>
      </c>
      <c r="AC134" s="13" t="str">
        <f t="shared" si="84"/>
        <v>-</v>
      </c>
      <c r="AD134" s="13" t="str">
        <f t="shared" si="85"/>
        <v>-</v>
      </c>
      <c r="AE134" s="13" t="str">
        <f t="shared" si="86"/>
        <v>-</v>
      </c>
      <c r="AF134" s="13" t="str">
        <f t="shared" si="87"/>
        <v>-</v>
      </c>
      <c r="AG134" s="31" t="str">
        <f t="shared" si="75"/>
        <v>-</v>
      </c>
      <c r="AH134" s="2" t="str">
        <f t="shared" si="88"/>
        <v/>
      </c>
      <c r="AI134" s="2" t="str">
        <f>IF(AH134="","",COUNT($AH$3:AH134))</f>
        <v/>
      </c>
      <c r="AJ134" s="60" t="str">
        <f t="shared" si="89"/>
        <v/>
      </c>
    </row>
    <row r="135" spans="1:36" ht="16.5">
      <c r="A135" s="6">
        <v>133</v>
      </c>
      <c r="B135" s="9">
        <f t="shared" si="64"/>
        <v>46155</v>
      </c>
      <c r="C135" s="7">
        <f t="shared" si="65"/>
        <v>5</v>
      </c>
      <c r="D135" s="7">
        <f t="shared" si="66"/>
        <v>13</v>
      </c>
      <c r="E135" s="15">
        <f t="shared" si="67"/>
        <v>4</v>
      </c>
      <c r="F135" s="8" t="str">
        <f t="shared" si="68"/>
        <v/>
      </c>
      <c r="G135" s="58"/>
      <c r="H135" s="12" t="s">
        <v>63</v>
      </c>
      <c r="I135" s="6" t="str">
        <f t="shared" si="69"/>
        <v>야간</v>
      </c>
      <c r="J135" s="6" t="str">
        <f t="shared" si="70"/>
        <v/>
      </c>
      <c r="K135" s="6" t="str">
        <f>IF(J135="","",COUNT($J$3:J135))</f>
        <v/>
      </c>
      <c r="L135" s="6" t="str">
        <f t="shared" si="76"/>
        <v/>
      </c>
      <c r="M135" s="6" t="str">
        <f t="shared" si="77"/>
        <v/>
      </c>
      <c r="N135" s="6" t="str">
        <f t="shared" si="78"/>
        <v/>
      </c>
      <c r="O135" s="6" t="str">
        <f t="shared" si="79"/>
        <v/>
      </c>
      <c r="P135" s="32" t="str">
        <f t="shared" si="71"/>
        <v/>
      </c>
      <c r="Q135" s="13" t="str">
        <f t="shared" si="60"/>
        <v>-</v>
      </c>
      <c r="R135" s="13" t="str">
        <f t="shared" si="61"/>
        <v>-</v>
      </c>
      <c r="S135" s="13" t="str">
        <f t="shared" si="62"/>
        <v>-</v>
      </c>
      <c r="T135" s="13" t="str">
        <f t="shared" si="63"/>
        <v>-</v>
      </c>
      <c r="U135" s="31" t="str">
        <f t="shared" si="72"/>
        <v>-</v>
      </c>
      <c r="V135" s="6">
        <f t="shared" si="73"/>
        <v>1</v>
      </c>
      <c r="W135" s="6">
        <f>IF(V135="","",COUNT($V$3:V135))</f>
        <v>45</v>
      </c>
      <c r="X135" s="6">
        <f t="shared" si="80"/>
        <v>3</v>
      </c>
      <c r="Y135" s="6">
        <f t="shared" si="81"/>
        <v>4</v>
      </c>
      <c r="Z135" s="6">
        <f t="shared" si="82"/>
        <v>1</v>
      </c>
      <c r="AA135" s="6">
        <f t="shared" si="83"/>
        <v>2</v>
      </c>
      <c r="AB135" s="32">
        <f t="shared" si="74"/>
        <v>0</v>
      </c>
      <c r="AC135" s="13" t="str">
        <f t="shared" si="84"/>
        <v>허지웅</v>
      </c>
      <c r="AD135" s="13" t="str">
        <f t="shared" si="85"/>
        <v>정윤준</v>
      </c>
      <c r="AE135" s="13" t="str">
        <f t="shared" si="86"/>
        <v>이기수</v>
      </c>
      <c r="AF135" s="13" t="str">
        <f t="shared" si="87"/>
        <v>박성현</v>
      </c>
      <c r="AG135" s="31" t="str">
        <f t="shared" si="75"/>
        <v>정윤준</v>
      </c>
      <c r="AH135" s="2" t="str">
        <f t="shared" si="88"/>
        <v/>
      </c>
      <c r="AI135" s="2" t="str">
        <f>IF(AH135="","",COUNT($AH$3:AH135))</f>
        <v/>
      </c>
      <c r="AJ135" s="60" t="str">
        <f t="shared" si="89"/>
        <v/>
      </c>
    </row>
    <row r="136" spans="1:36" ht="16.5">
      <c r="A136" s="6">
        <v>134</v>
      </c>
      <c r="B136" s="9">
        <f t="shared" si="64"/>
        <v>46156</v>
      </c>
      <c r="C136" s="7">
        <f t="shared" si="65"/>
        <v>5</v>
      </c>
      <c r="D136" s="7">
        <f t="shared" si="66"/>
        <v>14</v>
      </c>
      <c r="E136" s="15">
        <f t="shared" si="67"/>
        <v>5</v>
      </c>
      <c r="F136" s="8" t="str">
        <f t="shared" si="68"/>
        <v/>
      </c>
      <c r="G136" s="58"/>
      <c r="H136" s="12" t="s">
        <v>64</v>
      </c>
      <c r="I136" s="6" t="str">
        <f t="shared" si="69"/>
        <v>비번</v>
      </c>
      <c r="J136" s="6" t="str">
        <f t="shared" si="70"/>
        <v/>
      </c>
      <c r="K136" s="6" t="str">
        <f>IF(J136="","",COUNT($J$3:J136))</f>
        <v/>
      </c>
      <c r="L136" s="6" t="str">
        <f t="shared" si="76"/>
        <v/>
      </c>
      <c r="M136" s="6" t="str">
        <f t="shared" si="77"/>
        <v/>
      </c>
      <c r="N136" s="6" t="str">
        <f t="shared" si="78"/>
        <v/>
      </c>
      <c r="O136" s="6" t="str">
        <f t="shared" si="79"/>
        <v/>
      </c>
      <c r="P136" s="32" t="str">
        <f t="shared" si="71"/>
        <v/>
      </c>
      <c r="Q136" s="13" t="str">
        <f t="shared" si="60"/>
        <v>-</v>
      </c>
      <c r="R136" s="13" t="str">
        <f t="shared" si="61"/>
        <v>-</v>
      </c>
      <c r="S136" s="13" t="str">
        <f t="shared" si="62"/>
        <v>-</v>
      </c>
      <c r="T136" s="13" t="str">
        <f t="shared" si="63"/>
        <v>-</v>
      </c>
      <c r="U136" s="31" t="str">
        <f t="shared" si="72"/>
        <v>-</v>
      </c>
      <c r="V136" s="6" t="str">
        <f t="shared" si="73"/>
        <v/>
      </c>
      <c r="W136" s="6" t="str">
        <f>IF(V136="","",COUNT($V$3:V136))</f>
        <v/>
      </c>
      <c r="X136" s="6" t="str">
        <f t="shared" si="80"/>
        <v/>
      </c>
      <c r="Y136" s="6" t="str">
        <f t="shared" si="81"/>
        <v/>
      </c>
      <c r="Z136" s="6" t="str">
        <f t="shared" si="82"/>
        <v/>
      </c>
      <c r="AA136" s="6" t="str">
        <f t="shared" si="83"/>
        <v/>
      </c>
      <c r="AB136" s="32" t="str">
        <f t="shared" si="74"/>
        <v/>
      </c>
      <c r="AC136" s="13" t="str">
        <f t="shared" si="84"/>
        <v>-</v>
      </c>
      <c r="AD136" s="13" t="str">
        <f t="shared" si="85"/>
        <v>-</v>
      </c>
      <c r="AE136" s="13" t="str">
        <f t="shared" si="86"/>
        <v>-</v>
      </c>
      <c r="AF136" s="13" t="str">
        <f t="shared" si="87"/>
        <v>-</v>
      </c>
      <c r="AG136" s="31" t="str">
        <f t="shared" si="75"/>
        <v>-</v>
      </c>
      <c r="AH136" s="2" t="str">
        <f t="shared" si="88"/>
        <v/>
      </c>
      <c r="AI136" s="2" t="str">
        <f>IF(AH136="","",COUNT($AH$3:AH136))</f>
        <v/>
      </c>
      <c r="AJ136" s="60" t="str">
        <f t="shared" si="89"/>
        <v/>
      </c>
    </row>
    <row r="137" spans="1:36" ht="16.5">
      <c r="A137" s="6">
        <v>135</v>
      </c>
      <c r="B137" s="9">
        <f t="shared" si="64"/>
        <v>46157</v>
      </c>
      <c r="C137" s="7">
        <f t="shared" si="65"/>
        <v>5</v>
      </c>
      <c r="D137" s="7">
        <f t="shared" si="66"/>
        <v>15</v>
      </c>
      <c r="E137" s="15">
        <f t="shared" si="67"/>
        <v>6</v>
      </c>
      <c r="F137" s="8" t="str">
        <f t="shared" si="68"/>
        <v/>
      </c>
      <c r="G137" s="58"/>
      <c r="H137" s="12" t="s">
        <v>65</v>
      </c>
      <c r="I137" s="6" t="str">
        <f t="shared" si="69"/>
        <v>주간</v>
      </c>
      <c r="J137" s="6">
        <f t="shared" si="70"/>
        <v>1</v>
      </c>
      <c r="K137" s="6">
        <f>IF(J137="","",COUNT($J$3:J137))</f>
        <v>31</v>
      </c>
      <c r="L137" s="6">
        <f t="shared" si="76"/>
        <v>1</v>
      </c>
      <c r="M137" s="6">
        <f t="shared" si="77"/>
        <v>2</v>
      </c>
      <c r="N137" s="6">
        <f t="shared" si="78"/>
        <v>3</v>
      </c>
      <c r="O137" s="6">
        <f t="shared" si="79"/>
        <v>4</v>
      </c>
      <c r="P137" s="32">
        <f t="shared" si="71"/>
        <v>1</v>
      </c>
      <c r="Q137" s="13" t="str">
        <f t="shared" ref="Q137:Q200" si="90">IF(L137="","-",CHOOSE(MOD(L137+$R$1,4)+1,$L$1,$M$1,$N$1,$O$1))</f>
        <v>이기수</v>
      </c>
      <c r="R137" s="13" t="str">
        <f t="shared" ref="R137:R200" si="91">IF(M137="","-",CHOOSE(MOD(M137+$R$1,4)+1,$L$1,$M$1,$N$1,$O$1))</f>
        <v>박성현</v>
      </c>
      <c r="S137" s="13" t="str">
        <f t="shared" ref="S137:S200" si="92">IF(N137="","-",CHOOSE(MOD(N137+$R$1,4)+1,$L$1,$M$1,$N$1,$O$1))</f>
        <v>허지웅</v>
      </c>
      <c r="T137" s="13" t="str">
        <f t="shared" ref="T137:T200" si="93">IF(O137="","-",CHOOSE(MOD(O137+$R$1,4)+1,$L$1,$M$1,$N$1,$O$1))</f>
        <v>정윤준</v>
      </c>
      <c r="U137" s="31" t="str">
        <f t="shared" si="72"/>
        <v>이기수</v>
      </c>
      <c r="V137" s="6" t="str">
        <f t="shared" si="73"/>
        <v/>
      </c>
      <c r="W137" s="6" t="str">
        <f>IF(V137="","",COUNT($V$3:V137))</f>
        <v/>
      </c>
      <c r="X137" s="6" t="str">
        <f t="shared" si="80"/>
        <v/>
      </c>
      <c r="Y137" s="6" t="str">
        <f t="shared" si="81"/>
        <v/>
      </c>
      <c r="Z137" s="6" t="str">
        <f t="shared" si="82"/>
        <v/>
      </c>
      <c r="AA137" s="6" t="str">
        <f t="shared" si="83"/>
        <v/>
      </c>
      <c r="AB137" s="32" t="str">
        <f t="shared" si="74"/>
        <v/>
      </c>
      <c r="AC137" s="13" t="str">
        <f t="shared" si="84"/>
        <v>-</v>
      </c>
      <c r="AD137" s="13" t="str">
        <f t="shared" si="85"/>
        <v>-</v>
      </c>
      <c r="AE137" s="13" t="str">
        <f t="shared" si="86"/>
        <v>-</v>
      </c>
      <c r="AF137" s="13" t="str">
        <f t="shared" si="87"/>
        <v>-</v>
      </c>
      <c r="AG137" s="31" t="str">
        <f t="shared" si="75"/>
        <v>-</v>
      </c>
      <c r="AH137" s="2" t="str">
        <f t="shared" si="88"/>
        <v/>
      </c>
      <c r="AI137" s="2" t="str">
        <f>IF(AH137="","",COUNT($AH$3:AH137))</f>
        <v/>
      </c>
      <c r="AJ137" s="60" t="str">
        <f t="shared" si="89"/>
        <v/>
      </c>
    </row>
    <row r="138" spans="1:36" ht="16.5">
      <c r="A138" s="6">
        <v>136</v>
      </c>
      <c r="B138" s="9">
        <f t="shared" si="64"/>
        <v>46158</v>
      </c>
      <c r="C138" s="7">
        <f t="shared" si="65"/>
        <v>5</v>
      </c>
      <c r="D138" s="7">
        <f t="shared" si="66"/>
        <v>16</v>
      </c>
      <c r="E138" s="15">
        <f t="shared" si="67"/>
        <v>7</v>
      </c>
      <c r="F138" s="8" t="str">
        <f t="shared" si="68"/>
        <v>휴</v>
      </c>
      <c r="G138" s="58"/>
      <c r="H138" s="12" t="s">
        <v>63</v>
      </c>
      <c r="I138" s="6" t="str">
        <f t="shared" si="69"/>
        <v>당직</v>
      </c>
      <c r="J138" s="6" t="str">
        <f t="shared" si="70"/>
        <v/>
      </c>
      <c r="K138" s="6" t="str">
        <f>IF(J138="","",COUNT($J$3:J138))</f>
        <v/>
      </c>
      <c r="L138" s="6" t="str">
        <f t="shared" si="76"/>
        <v/>
      </c>
      <c r="M138" s="6" t="str">
        <f t="shared" si="77"/>
        <v/>
      </c>
      <c r="N138" s="6" t="str">
        <f t="shared" si="78"/>
        <v/>
      </c>
      <c r="O138" s="6" t="str">
        <f t="shared" si="79"/>
        <v/>
      </c>
      <c r="P138" s="32" t="str">
        <f t="shared" si="71"/>
        <v/>
      </c>
      <c r="Q138" s="13" t="str">
        <f t="shared" si="90"/>
        <v>-</v>
      </c>
      <c r="R138" s="13" t="str">
        <f t="shared" si="91"/>
        <v>-</v>
      </c>
      <c r="S138" s="13" t="str">
        <f t="shared" si="92"/>
        <v>-</v>
      </c>
      <c r="T138" s="13" t="str">
        <f t="shared" si="93"/>
        <v>-</v>
      </c>
      <c r="U138" s="31" t="str">
        <f t="shared" si="72"/>
        <v>-</v>
      </c>
      <c r="V138" s="6">
        <f t="shared" si="73"/>
        <v>1</v>
      </c>
      <c r="W138" s="6">
        <f>IF(V138="","",COUNT($V$3:V138))</f>
        <v>46</v>
      </c>
      <c r="X138" s="6">
        <f t="shared" si="80"/>
        <v>2</v>
      </c>
      <c r="Y138" s="6">
        <f t="shared" si="81"/>
        <v>3</v>
      </c>
      <c r="Z138" s="6">
        <f t="shared" si="82"/>
        <v>4</v>
      </c>
      <c r="AA138" s="6">
        <f t="shared" si="83"/>
        <v>1</v>
      </c>
      <c r="AB138" s="32">
        <f t="shared" si="74"/>
        <v>1</v>
      </c>
      <c r="AC138" s="13" t="str">
        <f t="shared" si="84"/>
        <v>박성현</v>
      </c>
      <c r="AD138" s="13" t="str">
        <f t="shared" si="85"/>
        <v>허지웅</v>
      </c>
      <c r="AE138" s="13" t="str">
        <f t="shared" si="86"/>
        <v>정윤준</v>
      </c>
      <c r="AF138" s="13" t="str">
        <f t="shared" si="87"/>
        <v>이기수</v>
      </c>
      <c r="AG138" s="31" t="str">
        <f t="shared" si="75"/>
        <v>허지웅</v>
      </c>
      <c r="AH138" s="2" t="str">
        <f t="shared" si="88"/>
        <v/>
      </c>
      <c r="AI138" s="2" t="str">
        <f>IF(AH138="","",COUNT($AH$3:AH138))</f>
        <v/>
      </c>
      <c r="AJ138" s="60" t="str">
        <f t="shared" si="89"/>
        <v/>
      </c>
    </row>
    <row r="139" spans="1:36" ht="16.5">
      <c r="A139" s="6">
        <v>137</v>
      </c>
      <c r="B139" s="9">
        <f t="shared" si="64"/>
        <v>46159</v>
      </c>
      <c r="C139" s="7">
        <f t="shared" si="65"/>
        <v>5</v>
      </c>
      <c r="D139" s="7">
        <f t="shared" si="66"/>
        <v>17</v>
      </c>
      <c r="E139" s="15">
        <f t="shared" si="67"/>
        <v>1</v>
      </c>
      <c r="F139" s="8" t="str">
        <f t="shared" si="68"/>
        <v>휴</v>
      </c>
      <c r="G139" s="58"/>
      <c r="H139" s="12" t="s">
        <v>64</v>
      </c>
      <c r="I139" s="6" t="str">
        <f t="shared" si="69"/>
        <v>비번</v>
      </c>
      <c r="J139" s="6" t="str">
        <f t="shared" si="70"/>
        <v/>
      </c>
      <c r="K139" s="6" t="str">
        <f>IF(J139="","",COUNT($J$3:J139))</f>
        <v/>
      </c>
      <c r="L139" s="6" t="str">
        <f t="shared" si="76"/>
        <v/>
      </c>
      <c r="M139" s="6" t="str">
        <f t="shared" si="77"/>
        <v/>
      </c>
      <c r="N139" s="6" t="str">
        <f t="shared" si="78"/>
        <v/>
      </c>
      <c r="O139" s="6" t="str">
        <f t="shared" si="79"/>
        <v/>
      </c>
      <c r="P139" s="32" t="str">
        <f t="shared" si="71"/>
        <v/>
      </c>
      <c r="Q139" s="13" t="str">
        <f t="shared" si="90"/>
        <v>-</v>
      </c>
      <c r="R139" s="13" t="str">
        <f t="shared" si="91"/>
        <v>-</v>
      </c>
      <c r="S139" s="13" t="str">
        <f t="shared" si="92"/>
        <v>-</v>
      </c>
      <c r="T139" s="13" t="str">
        <f t="shared" si="93"/>
        <v>-</v>
      </c>
      <c r="U139" s="31" t="str">
        <f t="shared" si="72"/>
        <v>-</v>
      </c>
      <c r="V139" s="6" t="str">
        <f t="shared" si="73"/>
        <v/>
      </c>
      <c r="W139" s="6" t="str">
        <f>IF(V139="","",COUNT($V$3:V139))</f>
        <v/>
      </c>
      <c r="X139" s="6" t="str">
        <f t="shared" si="80"/>
        <v/>
      </c>
      <c r="Y139" s="6" t="str">
        <f t="shared" si="81"/>
        <v/>
      </c>
      <c r="Z139" s="6" t="str">
        <f t="shared" si="82"/>
        <v/>
      </c>
      <c r="AA139" s="6" t="str">
        <f t="shared" si="83"/>
        <v/>
      </c>
      <c r="AB139" s="32" t="str">
        <f t="shared" si="74"/>
        <v/>
      </c>
      <c r="AC139" s="13" t="str">
        <f t="shared" si="84"/>
        <v>-</v>
      </c>
      <c r="AD139" s="13" t="str">
        <f t="shared" si="85"/>
        <v>-</v>
      </c>
      <c r="AE139" s="13" t="str">
        <f t="shared" si="86"/>
        <v>-</v>
      </c>
      <c r="AF139" s="13" t="str">
        <f t="shared" si="87"/>
        <v>-</v>
      </c>
      <c r="AG139" s="31" t="str">
        <f t="shared" si="75"/>
        <v>-</v>
      </c>
      <c r="AH139" s="2" t="str">
        <f t="shared" si="88"/>
        <v/>
      </c>
      <c r="AI139" s="2" t="str">
        <f>IF(AH139="","",COUNT($AH$3:AH139))</f>
        <v/>
      </c>
      <c r="AJ139" s="60" t="str">
        <f t="shared" si="89"/>
        <v/>
      </c>
    </row>
    <row r="140" spans="1:36" ht="16.5">
      <c r="A140" s="6">
        <v>138</v>
      </c>
      <c r="B140" s="9">
        <f t="shared" si="64"/>
        <v>46160</v>
      </c>
      <c r="C140" s="7">
        <f t="shared" si="65"/>
        <v>5</v>
      </c>
      <c r="D140" s="7">
        <f t="shared" si="66"/>
        <v>18</v>
      </c>
      <c r="E140" s="15">
        <f t="shared" si="67"/>
        <v>2</v>
      </c>
      <c r="F140" s="8" t="str">
        <f t="shared" si="68"/>
        <v/>
      </c>
      <c r="G140" s="58"/>
      <c r="H140" s="12" t="s">
        <v>65</v>
      </c>
      <c r="I140" s="6" t="str">
        <f t="shared" si="69"/>
        <v>주간</v>
      </c>
      <c r="J140" s="6">
        <f t="shared" si="70"/>
        <v>1</v>
      </c>
      <c r="K140" s="6">
        <f>IF(J140="","",COUNT($J$3:J140))</f>
        <v>32</v>
      </c>
      <c r="L140" s="6">
        <f t="shared" si="76"/>
        <v>4</v>
      </c>
      <c r="M140" s="6">
        <f t="shared" si="77"/>
        <v>1</v>
      </c>
      <c r="N140" s="6">
        <f t="shared" si="78"/>
        <v>2</v>
      </c>
      <c r="O140" s="6">
        <f t="shared" si="79"/>
        <v>3</v>
      </c>
      <c r="P140" s="32">
        <f t="shared" si="71"/>
        <v>2</v>
      </c>
      <c r="Q140" s="13" t="str">
        <f t="shared" si="90"/>
        <v>정윤준</v>
      </c>
      <c r="R140" s="13" t="str">
        <f t="shared" si="91"/>
        <v>이기수</v>
      </c>
      <c r="S140" s="13" t="str">
        <f t="shared" si="92"/>
        <v>박성현</v>
      </c>
      <c r="T140" s="13" t="str">
        <f t="shared" si="93"/>
        <v>허지웅</v>
      </c>
      <c r="U140" s="31" t="str">
        <f t="shared" si="72"/>
        <v>정윤준</v>
      </c>
      <c r="V140" s="6" t="str">
        <f t="shared" si="73"/>
        <v/>
      </c>
      <c r="W140" s="6" t="str">
        <f>IF(V140="","",COUNT($V$3:V140))</f>
        <v/>
      </c>
      <c r="X140" s="6" t="str">
        <f t="shared" si="80"/>
        <v/>
      </c>
      <c r="Y140" s="6" t="str">
        <f t="shared" si="81"/>
        <v/>
      </c>
      <c r="Z140" s="6" t="str">
        <f t="shared" si="82"/>
        <v/>
      </c>
      <c r="AA140" s="6" t="str">
        <f t="shared" si="83"/>
        <v/>
      </c>
      <c r="AB140" s="32" t="str">
        <f t="shared" si="74"/>
        <v/>
      </c>
      <c r="AC140" s="13" t="str">
        <f t="shared" si="84"/>
        <v>-</v>
      </c>
      <c r="AD140" s="13" t="str">
        <f t="shared" si="85"/>
        <v>-</v>
      </c>
      <c r="AE140" s="13" t="str">
        <f t="shared" si="86"/>
        <v>-</v>
      </c>
      <c r="AF140" s="13" t="str">
        <f t="shared" si="87"/>
        <v>-</v>
      </c>
      <c r="AG140" s="31" t="str">
        <f t="shared" si="75"/>
        <v>-</v>
      </c>
      <c r="AH140" s="2" t="str">
        <f t="shared" si="88"/>
        <v/>
      </c>
      <c r="AI140" s="2" t="str">
        <f>IF(AH140="","",COUNT($AH$3:AH140))</f>
        <v/>
      </c>
      <c r="AJ140" s="60" t="str">
        <f t="shared" si="89"/>
        <v/>
      </c>
    </row>
    <row r="141" spans="1:36" ht="16.5">
      <c r="A141" s="6">
        <v>139</v>
      </c>
      <c r="B141" s="9">
        <f t="shared" si="64"/>
        <v>46161</v>
      </c>
      <c r="C141" s="7">
        <f t="shared" si="65"/>
        <v>5</v>
      </c>
      <c r="D141" s="7">
        <f t="shared" si="66"/>
        <v>19</v>
      </c>
      <c r="E141" s="15">
        <f t="shared" si="67"/>
        <v>3</v>
      </c>
      <c r="F141" s="8" t="str">
        <f t="shared" si="68"/>
        <v/>
      </c>
      <c r="G141" s="58"/>
      <c r="H141" s="12" t="s">
        <v>63</v>
      </c>
      <c r="I141" s="6" t="str">
        <f t="shared" si="69"/>
        <v>야간</v>
      </c>
      <c r="J141" s="6" t="str">
        <f t="shared" si="70"/>
        <v/>
      </c>
      <c r="K141" s="6" t="str">
        <f>IF(J141="","",COUNT($J$3:J141))</f>
        <v/>
      </c>
      <c r="L141" s="6" t="str">
        <f t="shared" si="76"/>
        <v/>
      </c>
      <c r="M141" s="6" t="str">
        <f t="shared" si="77"/>
        <v/>
      </c>
      <c r="N141" s="6" t="str">
        <f t="shared" si="78"/>
        <v/>
      </c>
      <c r="O141" s="6" t="str">
        <f t="shared" si="79"/>
        <v/>
      </c>
      <c r="P141" s="32" t="str">
        <f t="shared" si="71"/>
        <v/>
      </c>
      <c r="Q141" s="13" t="str">
        <f t="shared" si="90"/>
        <v>-</v>
      </c>
      <c r="R141" s="13" t="str">
        <f t="shared" si="91"/>
        <v>-</v>
      </c>
      <c r="S141" s="13" t="str">
        <f t="shared" si="92"/>
        <v>-</v>
      </c>
      <c r="T141" s="13" t="str">
        <f t="shared" si="93"/>
        <v>-</v>
      </c>
      <c r="U141" s="31" t="str">
        <f t="shared" si="72"/>
        <v>-</v>
      </c>
      <c r="V141" s="6">
        <f t="shared" si="73"/>
        <v>1</v>
      </c>
      <c r="W141" s="6">
        <f>IF(V141="","",COUNT($V$3:V141))</f>
        <v>47</v>
      </c>
      <c r="X141" s="6">
        <f t="shared" si="80"/>
        <v>1</v>
      </c>
      <c r="Y141" s="6">
        <f t="shared" si="81"/>
        <v>2</v>
      </c>
      <c r="Z141" s="6">
        <f t="shared" si="82"/>
        <v>3</v>
      </c>
      <c r="AA141" s="6">
        <f t="shared" si="83"/>
        <v>4</v>
      </c>
      <c r="AB141" s="32">
        <f t="shared" si="74"/>
        <v>2</v>
      </c>
      <c r="AC141" s="13" t="str">
        <f t="shared" si="84"/>
        <v>이기수</v>
      </c>
      <c r="AD141" s="13" t="str">
        <f t="shared" si="85"/>
        <v>박성현</v>
      </c>
      <c r="AE141" s="13" t="str">
        <f t="shared" si="86"/>
        <v>허지웅</v>
      </c>
      <c r="AF141" s="13" t="str">
        <f t="shared" si="87"/>
        <v>정윤준</v>
      </c>
      <c r="AG141" s="31" t="str">
        <f t="shared" si="75"/>
        <v>장혁진</v>
      </c>
      <c r="AH141" s="2">
        <f t="shared" si="88"/>
        <v>1</v>
      </c>
      <c r="AI141" s="2">
        <f>IF(AH141="","",COUNT($AH$3:AH141))</f>
        <v>12</v>
      </c>
      <c r="AJ141" s="60" t="str">
        <f t="shared" si="89"/>
        <v>허지웅</v>
      </c>
    </row>
    <row r="142" spans="1:36" ht="16.5">
      <c r="A142" s="6">
        <v>140</v>
      </c>
      <c r="B142" s="9">
        <f t="shared" si="64"/>
        <v>46162</v>
      </c>
      <c r="C142" s="7">
        <f t="shared" si="65"/>
        <v>5</v>
      </c>
      <c r="D142" s="7">
        <f t="shared" si="66"/>
        <v>20</v>
      </c>
      <c r="E142" s="15">
        <f t="shared" si="67"/>
        <v>4</v>
      </c>
      <c r="F142" s="8" t="str">
        <f t="shared" si="68"/>
        <v/>
      </c>
      <c r="G142" s="58"/>
      <c r="H142" s="12" t="s">
        <v>64</v>
      </c>
      <c r="I142" s="6" t="str">
        <f t="shared" si="69"/>
        <v>비번</v>
      </c>
      <c r="J142" s="6" t="str">
        <f t="shared" si="70"/>
        <v/>
      </c>
      <c r="K142" s="6" t="str">
        <f>IF(J142="","",COUNT($J$3:J142))</f>
        <v/>
      </c>
      <c r="L142" s="6" t="str">
        <f t="shared" si="76"/>
        <v/>
      </c>
      <c r="M142" s="6" t="str">
        <f t="shared" si="77"/>
        <v/>
      </c>
      <c r="N142" s="6" t="str">
        <f t="shared" si="78"/>
        <v/>
      </c>
      <c r="O142" s="6" t="str">
        <f t="shared" si="79"/>
        <v/>
      </c>
      <c r="P142" s="32" t="str">
        <f t="shared" si="71"/>
        <v/>
      </c>
      <c r="Q142" s="13" t="str">
        <f t="shared" si="90"/>
        <v>-</v>
      </c>
      <c r="R142" s="13" t="str">
        <f t="shared" si="91"/>
        <v>-</v>
      </c>
      <c r="S142" s="13" t="str">
        <f t="shared" si="92"/>
        <v>-</v>
      </c>
      <c r="T142" s="13" t="str">
        <f t="shared" si="93"/>
        <v>-</v>
      </c>
      <c r="U142" s="31" t="str">
        <f t="shared" si="72"/>
        <v>-</v>
      </c>
      <c r="V142" s="6" t="str">
        <f t="shared" si="73"/>
        <v/>
      </c>
      <c r="W142" s="6" t="str">
        <f>IF(V142="","",COUNT($V$3:V142))</f>
        <v/>
      </c>
      <c r="X142" s="6" t="str">
        <f t="shared" si="80"/>
        <v/>
      </c>
      <c r="Y142" s="6" t="str">
        <f t="shared" si="81"/>
        <v/>
      </c>
      <c r="Z142" s="6" t="str">
        <f t="shared" si="82"/>
        <v/>
      </c>
      <c r="AA142" s="6" t="str">
        <f t="shared" si="83"/>
        <v/>
      </c>
      <c r="AB142" s="32" t="str">
        <f t="shared" si="74"/>
        <v/>
      </c>
      <c r="AC142" s="13" t="str">
        <f t="shared" si="84"/>
        <v>-</v>
      </c>
      <c r="AD142" s="13" t="str">
        <f t="shared" si="85"/>
        <v>-</v>
      </c>
      <c r="AE142" s="13" t="str">
        <f t="shared" si="86"/>
        <v>-</v>
      </c>
      <c r="AF142" s="13" t="str">
        <f t="shared" si="87"/>
        <v>-</v>
      </c>
      <c r="AG142" s="31" t="str">
        <f t="shared" si="75"/>
        <v>-</v>
      </c>
      <c r="AH142" s="2" t="str">
        <f t="shared" si="88"/>
        <v/>
      </c>
      <c r="AI142" s="2" t="str">
        <f>IF(AH142="","",COUNT($AH$3:AH142))</f>
        <v/>
      </c>
      <c r="AJ142" s="60" t="str">
        <f t="shared" si="89"/>
        <v/>
      </c>
    </row>
    <row r="143" spans="1:36" ht="16.5">
      <c r="A143" s="6">
        <v>141</v>
      </c>
      <c r="B143" s="9">
        <f t="shared" si="64"/>
        <v>46163</v>
      </c>
      <c r="C143" s="7">
        <f t="shared" si="65"/>
        <v>5</v>
      </c>
      <c r="D143" s="7">
        <f t="shared" si="66"/>
        <v>21</v>
      </c>
      <c r="E143" s="15">
        <f t="shared" si="67"/>
        <v>5</v>
      </c>
      <c r="F143" s="8" t="str">
        <f t="shared" si="68"/>
        <v/>
      </c>
      <c r="G143" s="58"/>
      <c r="H143" s="12" t="s">
        <v>65</v>
      </c>
      <c r="I143" s="6" t="str">
        <f t="shared" si="69"/>
        <v>주간</v>
      </c>
      <c r="J143" s="6">
        <f t="shared" si="70"/>
        <v>1</v>
      </c>
      <c r="K143" s="6">
        <f>IF(J143="","",COUNT($J$3:J143))</f>
        <v>33</v>
      </c>
      <c r="L143" s="6">
        <f t="shared" si="76"/>
        <v>3</v>
      </c>
      <c r="M143" s="6">
        <f t="shared" si="77"/>
        <v>4</v>
      </c>
      <c r="N143" s="6">
        <f t="shared" si="78"/>
        <v>1</v>
      </c>
      <c r="O143" s="6">
        <f t="shared" si="79"/>
        <v>2</v>
      </c>
      <c r="P143" s="32">
        <f t="shared" si="71"/>
        <v>3</v>
      </c>
      <c r="Q143" s="13" t="str">
        <f t="shared" si="90"/>
        <v>허지웅</v>
      </c>
      <c r="R143" s="13" t="str">
        <f t="shared" si="91"/>
        <v>정윤준</v>
      </c>
      <c r="S143" s="13" t="str">
        <f t="shared" si="92"/>
        <v>이기수</v>
      </c>
      <c r="T143" s="13" t="str">
        <f t="shared" si="93"/>
        <v>박성현</v>
      </c>
      <c r="U143" s="31" t="str">
        <f t="shared" si="72"/>
        <v>허지웅</v>
      </c>
      <c r="V143" s="6" t="str">
        <f t="shared" si="73"/>
        <v/>
      </c>
      <c r="W143" s="6" t="str">
        <f>IF(V143="","",COUNT($V$3:V143))</f>
        <v/>
      </c>
      <c r="X143" s="6" t="str">
        <f t="shared" si="80"/>
        <v/>
      </c>
      <c r="Y143" s="6" t="str">
        <f t="shared" si="81"/>
        <v/>
      </c>
      <c r="Z143" s="6" t="str">
        <f t="shared" si="82"/>
        <v/>
      </c>
      <c r="AA143" s="6" t="str">
        <f t="shared" si="83"/>
        <v/>
      </c>
      <c r="AB143" s="32" t="str">
        <f t="shared" si="74"/>
        <v/>
      </c>
      <c r="AC143" s="13" t="str">
        <f t="shared" si="84"/>
        <v>-</v>
      </c>
      <c r="AD143" s="13" t="str">
        <f t="shared" si="85"/>
        <v>-</v>
      </c>
      <c r="AE143" s="13" t="str">
        <f t="shared" si="86"/>
        <v>-</v>
      </c>
      <c r="AF143" s="13" t="str">
        <f t="shared" si="87"/>
        <v>-</v>
      </c>
      <c r="AG143" s="31" t="str">
        <f t="shared" si="75"/>
        <v>-</v>
      </c>
      <c r="AH143" s="2" t="str">
        <f t="shared" si="88"/>
        <v/>
      </c>
      <c r="AI143" s="2" t="str">
        <f>IF(AH143="","",COUNT($AH$3:AH143))</f>
        <v/>
      </c>
      <c r="AJ143" s="60" t="str">
        <f t="shared" si="89"/>
        <v/>
      </c>
    </row>
    <row r="144" spans="1:36" ht="16.5">
      <c r="A144" s="6">
        <v>142</v>
      </c>
      <c r="B144" s="9">
        <f t="shared" si="64"/>
        <v>46164</v>
      </c>
      <c r="C144" s="7">
        <f t="shared" si="65"/>
        <v>5</v>
      </c>
      <c r="D144" s="7">
        <f t="shared" si="66"/>
        <v>22</v>
      </c>
      <c r="E144" s="15">
        <f t="shared" si="67"/>
        <v>6</v>
      </c>
      <c r="F144" s="8" t="str">
        <f t="shared" si="68"/>
        <v/>
      </c>
      <c r="G144" s="58"/>
      <c r="H144" s="12" t="s">
        <v>63</v>
      </c>
      <c r="I144" s="6" t="str">
        <f t="shared" si="69"/>
        <v>야간</v>
      </c>
      <c r="J144" s="6" t="str">
        <f t="shared" si="70"/>
        <v/>
      </c>
      <c r="K144" s="6" t="str">
        <f>IF(J144="","",COUNT($J$3:J144))</f>
        <v/>
      </c>
      <c r="L144" s="6" t="str">
        <f t="shared" si="76"/>
        <v/>
      </c>
      <c r="M144" s="6" t="str">
        <f t="shared" si="77"/>
        <v/>
      </c>
      <c r="N144" s="6" t="str">
        <f t="shared" si="78"/>
        <v/>
      </c>
      <c r="O144" s="6" t="str">
        <f t="shared" si="79"/>
        <v/>
      </c>
      <c r="P144" s="32" t="str">
        <f t="shared" si="71"/>
        <v/>
      </c>
      <c r="Q144" s="13" t="str">
        <f t="shared" si="90"/>
        <v>-</v>
      </c>
      <c r="R144" s="13" t="str">
        <f t="shared" si="91"/>
        <v>-</v>
      </c>
      <c r="S144" s="13" t="str">
        <f t="shared" si="92"/>
        <v>-</v>
      </c>
      <c r="T144" s="13" t="str">
        <f t="shared" si="93"/>
        <v>-</v>
      </c>
      <c r="U144" s="31" t="str">
        <f t="shared" si="72"/>
        <v>-</v>
      </c>
      <c r="V144" s="6">
        <f t="shared" si="73"/>
        <v>1</v>
      </c>
      <c r="W144" s="6">
        <f>IF(V144="","",COUNT($V$3:V144))</f>
        <v>48</v>
      </c>
      <c r="X144" s="6">
        <f t="shared" si="80"/>
        <v>4</v>
      </c>
      <c r="Y144" s="6">
        <f t="shared" si="81"/>
        <v>1</v>
      </c>
      <c r="Z144" s="6">
        <f t="shared" si="82"/>
        <v>2</v>
      </c>
      <c r="AA144" s="6">
        <f t="shared" si="83"/>
        <v>3</v>
      </c>
      <c r="AB144" s="32">
        <f t="shared" si="74"/>
        <v>3</v>
      </c>
      <c r="AC144" s="13" t="str">
        <f t="shared" si="84"/>
        <v>정윤준</v>
      </c>
      <c r="AD144" s="13" t="str">
        <f t="shared" si="85"/>
        <v>이기수</v>
      </c>
      <c r="AE144" s="13" t="str">
        <f t="shared" si="86"/>
        <v>박성현</v>
      </c>
      <c r="AF144" s="13" t="str">
        <f t="shared" si="87"/>
        <v>허지웅</v>
      </c>
      <c r="AG144" s="31" t="str">
        <f t="shared" si="75"/>
        <v>이기수</v>
      </c>
      <c r="AH144" s="2" t="str">
        <f t="shared" si="88"/>
        <v/>
      </c>
      <c r="AI144" s="2" t="str">
        <f>IF(AH144="","",COUNT($AH$3:AH144))</f>
        <v/>
      </c>
      <c r="AJ144" s="60" t="str">
        <f t="shared" si="89"/>
        <v/>
      </c>
    </row>
    <row r="145" spans="1:36" ht="16.5">
      <c r="A145" s="6">
        <v>143</v>
      </c>
      <c r="B145" s="9">
        <f t="shared" si="64"/>
        <v>46165</v>
      </c>
      <c r="C145" s="7">
        <f t="shared" si="65"/>
        <v>5</v>
      </c>
      <c r="D145" s="7">
        <f t="shared" si="66"/>
        <v>23</v>
      </c>
      <c r="E145" s="15">
        <f t="shared" si="67"/>
        <v>7</v>
      </c>
      <c r="F145" s="8" t="str">
        <f t="shared" si="68"/>
        <v>휴</v>
      </c>
      <c r="G145" s="58"/>
      <c r="H145" s="12" t="s">
        <v>64</v>
      </c>
      <c r="I145" s="6" t="str">
        <f t="shared" si="69"/>
        <v>비번</v>
      </c>
      <c r="J145" s="6" t="str">
        <f t="shared" si="70"/>
        <v/>
      </c>
      <c r="K145" s="6" t="str">
        <f>IF(J145="","",COUNT($J$3:J145))</f>
        <v/>
      </c>
      <c r="L145" s="6" t="str">
        <f t="shared" si="76"/>
        <v/>
      </c>
      <c r="M145" s="6" t="str">
        <f t="shared" si="77"/>
        <v/>
      </c>
      <c r="N145" s="6" t="str">
        <f t="shared" si="78"/>
        <v/>
      </c>
      <c r="O145" s="6" t="str">
        <f t="shared" si="79"/>
        <v/>
      </c>
      <c r="P145" s="32" t="str">
        <f t="shared" si="71"/>
        <v/>
      </c>
      <c r="Q145" s="13" t="str">
        <f t="shared" si="90"/>
        <v>-</v>
      </c>
      <c r="R145" s="13" t="str">
        <f t="shared" si="91"/>
        <v>-</v>
      </c>
      <c r="S145" s="13" t="str">
        <f t="shared" si="92"/>
        <v>-</v>
      </c>
      <c r="T145" s="13" t="str">
        <f t="shared" si="93"/>
        <v>-</v>
      </c>
      <c r="U145" s="31" t="str">
        <f t="shared" si="72"/>
        <v>-</v>
      </c>
      <c r="V145" s="6" t="str">
        <f t="shared" si="73"/>
        <v/>
      </c>
      <c r="W145" s="6" t="str">
        <f>IF(V145="","",COUNT($V$3:V145))</f>
        <v/>
      </c>
      <c r="X145" s="6" t="str">
        <f t="shared" si="80"/>
        <v/>
      </c>
      <c r="Y145" s="6" t="str">
        <f t="shared" si="81"/>
        <v/>
      </c>
      <c r="Z145" s="6" t="str">
        <f t="shared" si="82"/>
        <v/>
      </c>
      <c r="AA145" s="6" t="str">
        <f t="shared" si="83"/>
        <v/>
      </c>
      <c r="AB145" s="32" t="str">
        <f t="shared" si="74"/>
        <v/>
      </c>
      <c r="AC145" s="13" t="str">
        <f t="shared" si="84"/>
        <v>-</v>
      </c>
      <c r="AD145" s="13" t="str">
        <f t="shared" si="85"/>
        <v>-</v>
      </c>
      <c r="AE145" s="13" t="str">
        <f t="shared" si="86"/>
        <v>-</v>
      </c>
      <c r="AF145" s="13" t="str">
        <f t="shared" si="87"/>
        <v>-</v>
      </c>
      <c r="AG145" s="31" t="str">
        <f t="shared" si="75"/>
        <v>-</v>
      </c>
      <c r="AH145" s="2" t="str">
        <f t="shared" si="88"/>
        <v/>
      </c>
      <c r="AI145" s="2" t="str">
        <f>IF(AH145="","",COUNT($AH$3:AH145))</f>
        <v/>
      </c>
      <c r="AJ145" s="60" t="str">
        <f t="shared" si="89"/>
        <v/>
      </c>
    </row>
    <row r="146" spans="1:36" ht="16.5">
      <c r="A146" s="6">
        <v>144</v>
      </c>
      <c r="B146" s="9">
        <f t="shared" si="64"/>
        <v>46166</v>
      </c>
      <c r="C146" s="7">
        <f t="shared" si="65"/>
        <v>5</v>
      </c>
      <c r="D146" s="7">
        <f t="shared" si="66"/>
        <v>24</v>
      </c>
      <c r="E146" s="15">
        <f t="shared" si="67"/>
        <v>1</v>
      </c>
      <c r="F146" s="8" t="str">
        <f t="shared" si="68"/>
        <v>휴</v>
      </c>
      <c r="G146" s="58"/>
      <c r="H146" s="12" t="s">
        <v>65</v>
      </c>
      <c r="I146" s="6" t="str">
        <f t="shared" si="69"/>
        <v>휴무</v>
      </c>
      <c r="J146" s="6" t="str">
        <f t="shared" si="70"/>
        <v/>
      </c>
      <c r="K146" s="6" t="str">
        <f>IF(J146="","",COUNT($J$3:J146))</f>
        <v/>
      </c>
      <c r="L146" s="6" t="str">
        <f t="shared" si="76"/>
        <v/>
      </c>
      <c r="M146" s="6" t="str">
        <f t="shared" si="77"/>
        <v/>
      </c>
      <c r="N146" s="6" t="str">
        <f t="shared" si="78"/>
        <v/>
      </c>
      <c r="O146" s="6" t="str">
        <f t="shared" si="79"/>
        <v/>
      </c>
      <c r="P146" s="32" t="str">
        <f t="shared" si="71"/>
        <v/>
      </c>
      <c r="Q146" s="13" t="str">
        <f t="shared" si="90"/>
        <v>-</v>
      </c>
      <c r="R146" s="13" t="str">
        <f t="shared" si="91"/>
        <v>-</v>
      </c>
      <c r="S146" s="13" t="str">
        <f t="shared" si="92"/>
        <v>-</v>
      </c>
      <c r="T146" s="13" t="str">
        <f t="shared" si="93"/>
        <v>-</v>
      </c>
      <c r="U146" s="31" t="str">
        <f t="shared" si="72"/>
        <v>-</v>
      </c>
      <c r="V146" s="6" t="str">
        <f t="shared" si="73"/>
        <v/>
      </c>
      <c r="W146" s="6" t="str">
        <f>IF(V146="","",COUNT($V$3:V146))</f>
        <v/>
      </c>
      <c r="X146" s="6" t="str">
        <f t="shared" si="80"/>
        <v/>
      </c>
      <c r="Y146" s="6" t="str">
        <f t="shared" si="81"/>
        <v/>
      </c>
      <c r="Z146" s="6" t="str">
        <f t="shared" si="82"/>
        <v/>
      </c>
      <c r="AA146" s="6" t="str">
        <f t="shared" si="83"/>
        <v/>
      </c>
      <c r="AB146" s="32" t="str">
        <f t="shared" si="74"/>
        <v/>
      </c>
      <c r="AC146" s="13" t="str">
        <f t="shared" si="84"/>
        <v>-</v>
      </c>
      <c r="AD146" s="13" t="str">
        <f t="shared" si="85"/>
        <v>-</v>
      </c>
      <c r="AE146" s="13" t="str">
        <f t="shared" si="86"/>
        <v>-</v>
      </c>
      <c r="AF146" s="13" t="str">
        <f t="shared" si="87"/>
        <v>-</v>
      </c>
      <c r="AG146" s="31" t="str">
        <f t="shared" si="75"/>
        <v>-</v>
      </c>
      <c r="AH146" s="2" t="str">
        <f t="shared" si="88"/>
        <v/>
      </c>
      <c r="AI146" s="2" t="str">
        <f>IF(AH146="","",COUNT($AH$3:AH146))</f>
        <v/>
      </c>
      <c r="AJ146" s="60" t="str">
        <f t="shared" si="89"/>
        <v/>
      </c>
    </row>
    <row r="147" spans="1:36" ht="16.5">
      <c r="A147" s="6">
        <v>145</v>
      </c>
      <c r="B147" s="9">
        <f t="shared" si="64"/>
        <v>46167</v>
      </c>
      <c r="C147" s="7">
        <f t="shared" si="65"/>
        <v>5</v>
      </c>
      <c r="D147" s="7">
        <f t="shared" si="66"/>
        <v>25</v>
      </c>
      <c r="E147" s="15">
        <f t="shared" si="67"/>
        <v>2</v>
      </c>
      <c r="F147" s="8" t="str">
        <f t="shared" si="68"/>
        <v>휴</v>
      </c>
      <c r="G147" s="58" t="s">
        <v>71</v>
      </c>
      <c r="H147" s="12" t="s">
        <v>63</v>
      </c>
      <c r="I147" s="6" t="str">
        <f t="shared" si="69"/>
        <v>당직</v>
      </c>
      <c r="J147" s="6" t="str">
        <f t="shared" si="70"/>
        <v/>
      </c>
      <c r="K147" s="6" t="str">
        <f>IF(J147="","",COUNT($J$3:J147))</f>
        <v/>
      </c>
      <c r="L147" s="6" t="str">
        <f t="shared" si="76"/>
        <v/>
      </c>
      <c r="M147" s="6" t="str">
        <f t="shared" si="77"/>
        <v/>
      </c>
      <c r="N147" s="6" t="str">
        <f t="shared" si="78"/>
        <v/>
      </c>
      <c r="O147" s="6" t="str">
        <f t="shared" si="79"/>
        <v/>
      </c>
      <c r="P147" s="32" t="str">
        <f t="shared" si="71"/>
        <v/>
      </c>
      <c r="Q147" s="13" t="str">
        <f t="shared" si="90"/>
        <v>-</v>
      </c>
      <c r="R147" s="13" t="str">
        <f t="shared" si="91"/>
        <v>-</v>
      </c>
      <c r="S147" s="13" t="str">
        <f t="shared" si="92"/>
        <v>-</v>
      </c>
      <c r="T147" s="13" t="str">
        <f t="shared" si="93"/>
        <v>-</v>
      </c>
      <c r="U147" s="31" t="str">
        <f t="shared" si="72"/>
        <v>-</v>
      </c>
      <c r="V147" s="6">
        <f t="shared" si="73"/>
        <v>1</v>
      </c>
      <c r="W147" s="6">
        <f>IF(V147="","",COUNT($V$3:V147))</f>
        <v>49</v>
      </c>
      <c r="X147" s="6">
        <f t="shared" si="80"/>
        <v>3</v>
      </c>
      <c r="Y147" s="6">
        <f t="shared" si="81"/>
        <v>4</v>
      </c>
      <c r="Z147" s="6">
        <f t="shared" si="82"/>
        <v>1</v>
      </c>
      <c r="AA147" s="6">
        <f t="shared" si="83"/>
        <v>2</v>
      </c>
      <c r="AB147" s="32">
        <f t="shared" si="74"/>
        <v>4</v>
      </c>
      <c r="AC147" s="13" t="str">
        <f t="shared" si="84"/>
        <v>허지웅</v>
      </c>
      <c r="AD147" s="13" t="str">
        <f t="shared" si="85"/>
        <v>정윤준</v>
      </c>
      <c r="AE147" s="13" t="str">
        <f t="shared" si="86"/>
        <v>이기수</v>
      </c>
      <c r="AF147" s="13" t="str">
        <f t="shared" si="87"/>
        <v>박성현</v>
      </c>
      <c r="AG147" s="31" t="e">
        <f t="shared" si="75"/>
        <v>#VALUE!</v>
      </c>
      <c r="AH147" s="2" t="str">
        <f t="shared" si="88"/>
        <v/>
      </c>
      <c r="AI147" s="2" t="str">
        <f>IF(AH147="","",COUNT($AH$3:AH147))</f>
        <v/>
      </c>
      <c r="AJ147" s="60" t="str">
        <f t="shared" si="89"/>
        <v/>
      </c>
    </row>
    <row r="148" spans="1:36" ht="16.5">
      <c r="A148" s="6">
        <v>146</v>
      </c>
      <c r="B148" s="9">
        <f t="shared" si="64"/>
        <v>46168</v>
      </c>
      <c r="C148" s="7">
        <f t="shared" si="65"/>
        <v>5</v>
      </c>
      <c r="D148" s="7">
        <f t="shared" si="66"/>
        <v>26</v>
      </c>
      <c r="E148" s="15">
        <f t="shared" si="67"/>
        <v>3</v>
      </c>
      <c r="F148" s="8" t="str">
        <f t="shared" si="68"/>
        <v/>
      </c>
      <c r="G148" s="58"/>
      <c r="H148" s="12" t="s">
        <v>64</v>
      </c>
      <c r="I148" s="6" t="str">
        <f t="shared" si="69"/>
        <v>비번</v>
      </c>
      <c r="J148" s="6" t="str">
        <f t="shared" si="70"/>
        <v/>
      </c>
      <c r="K148" s="6" t="str">
        <f>IF(J148="","",COUNT($J$3:J148))</f>
        <v/>
      </c>
      <c r="L148" s="6" t="str">
        <f t="shared" si="76"/>
        <v/>
      </c>
      <c r="M148" s="6" t="str">
        <f t="shared" si="77"/>
        <v/>
      </c>
      <c r="N148" s="6" t="str">
        <f t="shared" si="78"/>
        <v/>
      </c>
      <c r="O148" s="6" t="str">
        <f t="shared" si="79"/>
        <v/>
      </c>
      <c r="P148" s="32" t="str">
        <f t="shared" si="71"/>
        <v/>
      </c>
      <c r="Q148" s="13" t="str">
        <f t="shared" si="90"/>
        <v>-</v>
      </c>
      <c r="R148" s="13" t="str">
        <f t="shared" si="91"/>
        <v>-</v>
      </c>
      <c r="S148" s="13" t="str">
        <f t="shared" si="92"/>
        <v>-</v>
      </c>
      <c r="T148" s="13" t="str">
        <f t="shared" si="93"/>
        <v>-</v>
      </c>
      <c r="U148" s="31" t="str">
        <f t="shared" si="72"/>
        <v>-</v>
      </c>
      <c r="V148" s="6" t="str">
        <f t="shared" si="73"/>
        <v/>
      </c>
      <c r="W148" s="6" t="str">
        <f>IF(V148="","",COUNT($V$3:V148))</f>
        <v/>
      </c>
      <c r="X148" s="6" t="str">
        <f t="shared" si="80"/>
        <v/>
      </c>
      <c r="Y148" s="6" t="str">
        <f t="shared" si="81"/>
        <v/>
      </c>
      <c r="Z148" s="6" t="str">
        <f t="shared" si="82"/>
        <v/>
      </c>
      <c r="AA148" s="6" t="str">
        <f t="shared" si="83"/>
        <v/>
      </c>
      <c r="AB148" s="32" t="str">
        <f t="shared" si="74"/>
        <v/>
      </c>
      <c r="AC148" s="13" t="str">
        <f t="shared" si="84"/>
        <v>-</v>
      </c>
      <c r="AD148" s="13" t="str">
        <f t="shared" si="85"/>
        <v>-</v>
      </c>
      <c r="AE148" s="13" t="str">
        <f t="shared" si="86"/>
        <v>-</v>
      </c>
      <c r="AF148" s="13" t="str">
        <f t="shared" si="87"/>
        <v>-</v>
      </c>
      <c r="AG148" s="31" t="str">
        <f t="shared" si="75"/>
        <v>-</v>
      </c>
      <c r="AH148" s="2" t="str">
        <f t="shared" si="88"/>
        <v/>
      </c>
      <c r="AI148" s="2" t="str">
        <f>IF(AH148="","",COUNT($AH$3:AH148))</f>
        <v/>
      </c>
      <c r="AJ148" s="60" t="str">
        <f t="shared" si="89"/>
        <v/>
      </c>
    </row>
    <row r="149" spans="1:36" ht="16.5">
      <c r="A149" s="6">
        <v>147</v>
      </c>
      <c r="B149" s="9">
        <f t="shared" si="64"/>
        <v>46169</v>
      </c>
      <c r="C149" s="7">
        <f t="shared" si="65"/>
        <v>5</v>
      </c>
      <c r="D149" s="7">
        <f t="shared" si="66"/>
        <v>27</v>
      </c>
      <c r="E149" s="15">
        <f t="shared" si="67"/>
        <v>4</v>
      </c>
      <c r="F149" s="8" t="str">
        <f t="shared" si="68"/>
        <v/>
      </c>
      <c r="G149" s="58"/>
      <c r="H149" s="12" t="s">
        <v>65</v>
      </c>
      <c r="I149" s="6" t="str">
        <f t="shared" si="69"/>
        <v>주간</v>
      </c>
      <c r="J149" s="6">
        <f t="shared" si="70"/>
        <v>1</v>
      </c>
      <c r="K149" s="6">
        <f>IF(J149="","",COUNT($J$3:J149))</f>
        <v>34</v>
      </c>
      <c r="L149" s="6">
        <f t="shared" si="76"/>
        <v>2</v>
      </c>
      <c r="M149" s="6">
        <f t="shared" si="77"/>
        <v>3</v>
      </c>
      <c r="N149" s="6">
        <f t="shared" si="78"/>
        <v>4</v>
      </c>
      <c r="O149" s="6">
        <f t="shared" si="79"/>
        <v>1</v>
      </c>
      <c r="P149" s="32">
        <f t="shared" si="71"/>
        <v>4</v>
      </c>
      <c r="Q149" s="13" t="str">
        <f t="shared" si="90"/>
        <v>박성현</v>
      </c>
      <c r="R149" s="13" t="str">
        <f t="shared" si="91"/>
        <v>허지웅</v>
      </c>
      <c r="S149" s="13" t="str">
        <f t="shared" si="92"/>
        <v>정윤준</v>
      </c>
      <c r="T149" s="13" t="str">
        <f t="shared" si="93"/>
        <v>이기수</v>
      </c>
      <c r="U149" s="31" t="e">
        <f t="shared" si="72"/>
        <v>#VALUE!</v>
      </c>
      <c r="V149" s="6" t="str">
        <f t="shared" si="73"/>
        <v/>
      </c>
      <c r="W149" s="6" t="str">
        <f>IF(V149="","",COUNT($V$3:V149))</f>
        <v/>
      </c>
      <c r="X149" s="6" t="str">
        <f t="shared" si="80"/>
        <v/>
      </c>
      <c r="Y149" s="6" t="str">
        <f t="shared" si="81"/>
        <v/>
      </c>
      <c r="Z149" s="6" t="str">
        <f t="shared" si="82"/>
        <v/>
      </c>
      <c r="AA149" s="6" t="str">
        <f t="shared" si="83"/>
        <v/>
      </c>
      <c r="AB149" s="32" t="str">
        <f t="shared" si="74"/>
        <v/>
      </c>
      <c r="AC149" s="13" t="str">
        <f t="shared" si="84"/>
        <v>-</v>
      </c>
      <c r="AD149" s="13" t="str">
        <f t="shared" si="85"/>
        <v>-</v>
      </c>
      <c r="AE149" s="13" t="str">
        <f t="shared" si="86"/>
        <v>-</v>
      </c>
      <c r="AF149" s="13" t="str">
        <f t="shared" si="87"/>
        <v>-</v>
      </c>
      <c r="AG149" s="31" t="str">
        <f t="shared" si="75"/>
        <v>-</v>
      </c>
      <c r="AH149" s="2" t="str">
        <f t="shared" si="88"/>
        <v/>
      </c>
      <c r="AI149" s="2" t="str">
        <f>IF(AH149="","",COUNT($AH$3:AH149))</f>
        <v/>
      </c>
      <c r="AJ149" s="60" t="str">
        <f t="shared" si="89"/>
        <v/>
      </c>
    </row>
    <row r="150" spans="1:36" ht="16.5">
      <c r="A150" s="6">
        <v>148</v>
      </c>
      <c r="B150" s="9">
        <f t="shared" si="64"/>
        <v>46170</v>
      </c>
      <c r="C150" s="7">
        <f t="shared" si="65"/>
        <v>5</v>
      </c>
      <c r="D150" s="7">
        <f t="shared" si="66"/>
        <v>28</v>
      </c>
      <c r="E150" s="15">
        <f t="shared" si="67"/>
        <v>5</v>
      </c>
      <c r="F150" s="8" t="str">
        <f t="shared" si="68"/>
        <v/>
      </c>
      <c r="G150" s="58"/>
      <c r="H150" s="12" t="s">
        <v>63</v>
      </c>
      <c r="I150" s="6" t="str">
        <f t="shared" si="69"/>
        <v>야간</v>
      </c>
      <c r="J150" s="6" t="str">
        <f t="shared" si="70"/>
        <v/>
      </c>
      <c r="K150" s="6" t="str">
        <f>IF(J150="","",COUNT($J$3:J150))</f>
        <v/>
      </c>
      <c r="L150" s="6" t="str">
        <f t="shared" si="76"/>
        <v/>
      </c>
      <c r="M150" s="6" t="str">
        <f t="shared" si="77"/>
        <v/>
      </c>
      <c r="N150" s="6" t="str">
        <f t="shared" si="78"/>
        <v/>
      </c>
      <c r="O150" s="6" t="str">
        <f t="shared" si="79"/>
        <v/>
      </c>
      <c r="P150" s="32" t="str">
        <f t="shared" si="71"/>
        <v/>
      </c>
      <c r="Q150" s="13" t="str">
        <f t="shared" si="90"/>
        <v>-</v>
      </c>
      <c r="R150" s="13" t="str">
        <f t="shared" si="91"/>
        <v>-</v>
      </c>
      <c r="S150" s="13" t="str">
        <f t="shared" si="92"/>
        <v>-</v>
      </c>
      <c r="T150" s="13" t="str">
        <f t="shared" si="93"/>
        <v>-</v>
      </c>
      <c r="U150" s="31" t="str">
        <f t="shared" si="72"/>
        <v>-</v>
      </c>
      <c r="V150" s="6">
        <f t="shared" si="73"/>
        <v>1</v>
      </c>
      <c r="W150" s="6">
        <f>IF(V150="","",COUNT($V$3:V150))</f>
        <v>50</v>
      </c>
      <c r="X150" s="6">
        <f t="shared" si="80"/>
        <v>2</v>
      </c>
      <c r="Y150" s="6">
        <f t="shared" si="81"/>
        <v>3</v>
      </c>
      <c r="Z150" s="6">
        <f t="shared" si="82"/>
        <v>4</v>
      </c>
      <c r="AA150" s="6">
        <f t="shared" si="83"/>
        <v>1</v>
      </c>
      <c r="AB150" s="32">
        <f t="shared" si="74"/>
        <v>0</v>
      </c>
      <c r="AC150" s="13" t="str">
        <f t="shared" si="84"/>
        <v>박성현</v>
      </c>
      <c r="AD150" s="13" t="str">
        <f t="shared" si="85"/>
        <v>허지웅</v>
      </c>
      <c r="AE150" s="13" t="str">
        <f t="shared" si="86"/>
        <v>정윤준</v>
      </c>
      <c r="AF150" s="13" t="str">
        <f t="shared" si="87"/>
        <v>이기수</v>
      </c>
      <c r="AG150" s="31" t="str">
        <f t="shared" si="75"/>
        <v>정윤준</v>
      </c>
      <c r="AH150" s="2" t="str">
        <f t="shared" si="88"/>
        <v/>
      </c>
      <c r="AI150" s="2" t="str">
        <f>IF(AH150="","",COUNT($AH$3:AH150))</f>
        <v/>
      </c>
      <c r="AJ150" s="60" t="str">
        <f t="shared" si="89"/>
        <v/>
      </c>
    </row>
    <row r="151" spans="1:36" ht="16.5">
      <c r="A151" s="6">
        <v>149</v>
      </c>
      <c r="B151" s="9">
        <f t="shared" si="64"/>
        <v>46171</v>
      </c>
      <c r="C151" s="7">
        <f t="shared" si="65"/>
        <v>5</v>
      </c>
      <c r="D151" s="7">
        <f t="shared" si="66"/>
        <v>29</v>
      </c>
      <c r="E151" s="15">
        <f t="shared" si="67"/>
        <v>6</v>
      </c>
      <c r="F151" s="8" t="str">
        <f t="shared" si="68"/>
        <v/>
      </c>
      <c r="G151" s="58"/>
      <c r="H151" s="12" t="s">
        <v>64</v>
      </c>
      <c r="I151" s="6" t="str">
        <f t="shared" si="69"/>
        <v>비번</v>
      </c>
      <c r="J151" s="6" t="str">
        <f t="shared" si="70"/>
        <v/>
      </c>
      <c r="K151" s="6" t="str">
        <f>IF(J151="","",COUNT($J$3:J151))</f>
        <v/>
      </c>
      <c r="L151" s="6" t="str">
        <f t="shared" si="76"/>
        <v/>
      </c>
      <c r="M151" s="6" t="str">
        <f t="shared" si="77"/>
        <v/>
      </c>
      <c r="N151" s="6" t="str">
        <f t="shared" si="78"/>
        <v/>
      </c>
      <c r="O151" s="6" t="str">
        <f t="shared" si="79"/>
        <v/>
      </c>
      <c r="P151" s="32" t="str">
        <f t="shared" si="71"/>
        <v/>
      </c>
      <c r="Q151" s="13" t="str">
        <f t="shared" si="90"/>
        <v>-</v>
      </c>
      <c r="R151" s="13" t="str">
        <f t="shared" si="91"/>
        <v>-</v>
      </c>
      <c r="S151" s="13" t="str">
        <f t="shared" si="92"/>
        <v>-</v>
      </c>
      <c r="T151" s="13" t="str">
        <f t="shared" si="93"/>
        <v>-</v>
      </c>
      <c r="U151" s="31" t="str">
        <f t="shared" si="72"/>
        <v>-</v>
      </c>
      <c r="V151" s="6" t="str">
        <f t="shared" si="73"/>
        <v/>
      </c>
      <c r="W151" s="6" t="str">
        <f>IF(V151="","",COUNT($V$3:V151))</f>
        <v/>
      </c>
      <c r="X151" s="6" t="str">
        <f t="shared" si="80"/>
        <v/>
      </c>
      <c r="Y151" s="6" t="str">
        <f t="shared" si="81"/>
        <v/>
      </c>
      <c r="Z151" s="6" t="str">
        <f t="shared" si="82"/>
        <v/>
      </c>
      <c r="AA151" s="6" t="str">
        <f t="shared" si="83"/>
        <v/>
      </c>
      <c r="AB151" s="32" t="str">
        <f t="shared" si="74"/>
        <v/>
      </c>
      <c r="AC151" s="13" t="str">
        <f t="shared" si="84"/>
        <v>-</v>
      </c>
      <c r="AD151" s="13" t="str">
        <f t="shared" si="85"/>
        <v>-</v>
      </c>
      <c r="AE151" s="13" t="str">
        <f t="shared" si="86"/>
        <v>-</v>
      </c>
      <c r="AF151" s="13" t="str">
        <f t="shared" si="87"/>
        <v>-</v>
      </c>
      <c r="AG151" s="31" t="str">
        <f t="shared" si="75"/>
        <v>-</v>
      </c>
      <c r="AH151" s="2" t="str">
        <f t="shared" si="88"/>
        <v/>
      </c>
      <c r="AI151" s="2" t="str">
        <f>IF(AH151="","",COUNT($AH$3:AH151))</f>
        <v/>
      </c>
      <c r="AJ151" s="60" t="str">
        <f t="shared" si="89"/>
        <v/>
      </c>
    </row>
    <row r="152" spans="1:36" ht="16.5">
      <c r="A152" s="6">
        <v>150</v>
      </c>
      <c r="B152" s="9">
        <f t="shared" si="64"/>
        <v>46172</v>
      </c>
      <c r="C152" s="7">
        <f t="shared" si="65"/>
        <v>5</v>
      </c>
      <c r="D152" s="7">
        <f t="shared" si="66"/>
        <v>30</v>
      </c>
      <c r="E152" s="15">
        <f t="shared" si="67"/>
        <v>7</v>
      </c>
      <c r="F152" s="8" t="str">
        <f t="shared" si="68"/>
        <v>휴</v>
      </c>
      <c r="G152" s="58"/>
      <c r="H152" s="12" t="s">
        <v>65</v>
      </c>
      <c r="I152" s="6" t="str">
        <f t="shared" si="69"/>
        <v>휴무</v>
      </c>
      <c r="J152" s="6" t="str">
        <f t="shared" si="70"/>
        <v/>
      </c>
      <c r="K152" s="6" t="str">
        <f>IF(J152="","",COUNT($J$3:J152))</f>
        <v/>
      </c>
      <c r="L152" s="6" t="str">
        <f t="shared" si="76"/>
        <v/>
      </c>
      <c r="M152" s="6" t="str">
        <f t="shared" si="77"/>
        <v/>
      </c>
      <c r="N152" s="6" t="str">
        <f t="shared" si="78"/>
        <v/>
      </c>
      <c r="O152" s="6" t="str">
        <f t="shared" si="79"/>
        <v/>
      </c>
      <c r="P152" s="32" t="str">
        <f t="shared" si="71"/>
        <v/>
      </c>
      <c r="Q152" s="13" t="str">
        <f t="shared" si="90"/>
        <v>-</v>
      </c>
      <c r="R152" s="13" t="str">
        <f t="shared" si="91"/>
        <v>-</v>
      </c>
      <c r="S152" s="13" t="str">
        <f t="shared" si="92"/>
        <v>-</v>
      </c>
      <c r="T152" s="13" t="str">
        <f t="shared" si="93"/>
        <v>-</v>
      </c>
      <c r="U152" s="31" t="str">
        <f t="shared" si="72"/>
        <v>-</v>
      </c>
      <c r="V152" s="6" t="str">
        <f t="shared" si="73"/>
        <v/>
      </c>
      <c r="W152" s="6" t="str">
        <f>IF(V152="","",COUNT($V$3:V152))</f>
        <v/>
      </c>
      <c r="X152" s="6" t="str">
        <f t="shared" si="80"/>
        <v/>
      </c>
      <c r="Y152" s="6" t="str">
        <f t="shared" si="81"/>
        <v/>
      </c>
      <c r="Z152" s="6" t="str">
        <f t="shared" si="82"/>
        <v/>
      </c>
      <c r="AA152" s="6" t="str">
        <f t="shared" si="83"/>
        <v/>
      </c>
      <c r="AB152" s="32" t="str">
        <f t="shared" si="74"/>
        <v/>
      </c>
      <c r="AC152" s="13" t="str">
        <f t="shared" si="84"/>
        <v>-</v>
      </c>
      <c r="AD152" s="13" t="str">
        <f t="shared" si="85"/>
        <v>-</v>
      </c>
      <c r="AE152" s="13" t="str">
        <f t="shared" si="86"/>
        <v>-</v>
      </c>
      <c r="AF152" s="13" t="str">
        <f t="shared" si="87"/>
        <v>-</v>
      </c>
      <c r="AG152" s="31" t="str">
        <f t="shared" si="75"/>
        <v>-</v>
      </c>
      <c r="AH152" s="2" t="str">
        <f t="shared" si="88"/>
        <v/>
      </c>
      <c r="AI152" s="2" t="str">
        <f>IF(AH152="","",COUNT($AH$3:AH152))</f>
        <v/>
      </c>
      <c r="AJ152" s="60" t="str">
        <f t="shared" si="89"/>
        <v/>
      </c>
    </row>
    <row r="153" spans="1:36" ht="16.5">
      <c r="A153" s="6">
        <v>151</v>
      </c>
      <c r="B153" s="9">
        <f t="shared" si="64"/>
        <v>46173</v>
      </c>
      <c r="C153" s="7">
        <f t="shared" si="65"/>
        <v>5</v>
      </c>
      <c r="D153" s="7">
        <f t="shared" si="66"/>
        <v>31</v>
      </c>
      <c r="E153" s="15">
        <f t="shared" si="67"/>
        <v>1</v>
      </c>
      <c r="F153" s="8" t="str">
        <f t="shared" si="68"/>
        <v>휴</v>
      </c>
      <c r="G153" s="58"/>
      <c r="H153" s="12" t="s">
        <v>63</v>
      </c>
      <c r="I153" s="6" t="str">
        <f t="shared" si="69"/>
        <v>당직</v>
      </c>
      <c r="J153" s="6" t="str">
        <f t="shared" si="70"/>
        <v/>
      </c>
      <c r="K153" s="6" t="str">
        <f>IF(J153="","",COUNT($J$3:J153))</f>
        <v/>
      </c>
      <c r="L153" s="6" t="str">
        <f t="shared" si="76"/>
        <v/>
      </c>
      <c r="M153" s="6" t="str">
        <f t="shared" si="77"/>
        <v/>
      </c>
      <c r="N153" s="6" t="str">
        <f t="shared" si="78"/>
        <v/>
      </c>
      <c r="O153" s="6" t="str">
        <f t="shared" si="79"/>
        <v/>
      </c>
      <c r="P153" s="32" t="str">
        <f t="shared" si="71"/>
        <v/>
      </c>
      <c r="Q153" s="13" t="str">
        <f t="shared" si="90"/>
        <v>-</v>
      </c>
      <c r="R153" s="13" t="str">
        <f t="shared" si="91"/>
        <v>-</v>
      </c>
      <c r="S153" s="13" t="str">
        <f t="shared" si="92"/>
        <v>-</v>
      </c>
      <c r="T153" s="13" t="str">
        <f t="shared" si="93"/>
        <v>-</v>
      </c>
      <c r="U153" s="31" t="str">
        <f t="shared" si="72"/>
        <v>-</v>
      </c>
      <c r="V153" s="6">
        <f t="shared" si="73"/>
        <v>1</v>
      </c>
      <c r="W153" s="6">
        <f>IF(V153="","",COUNT($V$3:V153))</f>
        <v>51</v>
      </c>
      <c r="X153" s="6">
        <f t="shared" si="80"/>
        <v>1</v>
      </c>
      <c r="Y153" s="6">
        <f t="shared" si="81"/>
        <v>2</v>
      </c>
      <c r="Z153" s="6">
        <f t="shared" si="82"/>
        <v>3</v>
      </c>
      <c r="AA153" s="6">
        <f t="shared" si="83"/>
        <v>4</v>
      </c>
      <c r="AB153" s="32">
        <f t="shared" si="74"/>
        <v>1</v>
      </c>
      <c r="AC153" s="13" t="str">
        <f t="shared" si="84"/>
        <v>이기수</v>
      </c>
      <c r="AD153" s="13" t="str">
        <f t="shared" si="85"/>
        <v>박성현</v>
      </c>
      <c r="AE153" s="13" t="str">
        <f t="shared" si="86"/>
        <v>허지웅</v>
      </c>
      <c r="AF153" s="13" t="str">
        <f t="shared" si="87"/>
        <v>정윤준</v>
      </c>
      <c r="AG153" s="31" t="str">
        <f t="shared" si="75"/>
        <v>허지웅</v>
      </c>
      <c r="AH153" s="2">
        <f t="shared" si="88"/>
        <v>1</v>
      </c>
      <c r="AI153" s="2">
        <f>IF(AH153="","",COUNT($AH$3:AH153))</f>
        <v>13</v>
      </c>
      <c r="AJ153" s="60" t="str">
        <f t="shared" si="89"/>
        <v>정윤준</v>
      </c>
    </row>
    <row r="154" spans="1:36" ht="16.5">
      <c r="A154" s="6">
        <v>152</v>
      </c>
      <c r="B154" s="9">
        <f t="shared" si="64"/>
        <v>46174</v>
      </c>
      <c r="C154" s="7">
        <f t="shared" si="65"/>
        <v>6</v>
      </c>
      <c r="D154" s="7">
        <f t="shared" si="66"/>
        <v>1</v>
      </c>
      <c r="E154" s="15">
        <f t="shared" si="67"/>
        <v>2</v>
      </c>
      <c r="F154" s="8" t="str">
        <f t="shared" si="68"/>
        <v/>
      </c>
      <c r="G154" s="58"/>
      <c r="H154" s="12" t="s">
        <v>64</v>
      </c>
      <c r="I154" s="6" t="str">
        <f t="shared" si="69"/>
        <v>비번</v>
      </c>
      <c r="J154" s="6" t="str">
        <f t="shared" si="70"/>
        <v/>
      </c>
      <c r="K154" s="6" t="str">
        <f>IF(J154="","",COUNT($J$3:J154))</f>
        <v/>
      </c>
      <c r="L154" s="6" t="str">
        <f t="shared" si="76"/>
        <v/>
      </c>
      <c r="M154" s="6" t="str">
        <f t="shared" si="77"/>
        <v/>
      </c>
      <c r="N154" s="6" t="str">
        <f t="shared" si="78"/>
        <v/>
      </c>
      <c r="O154" s="6" t="str">
        <f t="shared" si="79"/>
        <v/>
      </c>
      <c r="P154" s="32" t="str">
        <f t="shared" si="71"/>
        <v/>
      </c>
      <c r="Q154" s="13" t="str">
        <f t="shared" si="90"/>
        <v>-</v>
      </c>
      <c r="R154" s="13" t="str">
        <f t="shared" si="91"/>
        <v>-</v>
      </c>
      <c r="S154" s="13" t="str">
        <f t="shared" si="92"/>
        <v>-</v>
      </c>
      <c r="T154" s="13" t="str">
        <f t="shared" si="93"/>
        <v>-</v>
      </c>
      <c r="U154" s="31" t="str">
        <f t="shared" si="72"/>
        <v>-</v>
      </c>
      <c r="V154" s="6" t="str">
        <f t="shared" si="73"/>
        <v/>
      </c>
      <c r="W154" s="6" t="str">
        <f>IF(V154="","",COUNT($V$3:V154))</f>
        <v/>
      </c>
      <c r="X154" s="6" t="str">
        <f t="shared" si="80"/>
        <v/>
      </c>
      <c r="Y154" s="6" t="str">
        <f t="shared" si="81"/>
        <v/>
      </c>
      <c r="Z154" s="6" t="str">
        <f t="shared" si="82"/>
        <v/>
      </c>
      <c r="AA154" s="6" t="str">
        <f t="shared" si="83"/>
        <v/>
      </c>
      <c r="AB154" s="32" t="str">
        <f t="shared" si="74"/>
        <v/>
      </c>
      <c r="AC154" s="13" t="str">
        <f t="shared" si="84"/>
        <v>-</v>
      </c>
      <c r="AD154" s="13" t="str">
        <f t="shared" si="85"/>
        <v>-</v>
      </c>
      <c r="AE154" s="13" t="str">
        <f t="shared" si="86"/>
        <v>-</v>
      </c>
      <c r="AF154" s="13" t="str">
        <f t="shared" si="87"/>
        <v>-</v>
      </c>
      <c r="AG154" s="31" t="str">
        <f t="shared" si="75"/>
        <v>-</v>
      </c>
      <c r="AH154" s="2" t="str">
        <f t="shared" si="88"/>
        <v/>
      </c>
      <c r="AI154" s="2" t="str">
        <f>IF(AH154="","",COUNT($AH$3:AH154))</f>
        <v/>
      </c>
      <c r="AJ154" s="60" t="str">
        <f t="shared" si="89"/>
        <v/>
      </c>
    </row>
    <row r="155" spans="1:36" ht="16.5">
      <c r="A155" s="6">
        <v>153</v>
      </c>
      <c r="B155" s="9">
        <f t="shared" si="64"/>
        <v>46175</v>
      </c>
      <c r="C155" s="7">
        <f t="shared" si="65"/>
        <v>6</v>
      </c>
      <c r="D155" s="7">
        <f t="shared" si="66"/>
        <v>2</v>
      </c>
      <c r="E155" s="15">
        <f t="shared" si="67"/>
        <v>3</v>
      </c>
      <c r="F155" s="8" t="str">
        <f t="shared" si="68"/>
        <v/>
      </c>
      <c r="G155" s="58"/>
      <c r="H155" s="12" t="s">
        <v>65</v>
      </c>
      <c r="I155" s="6" t="str">
        <f t="shared" si="69"/>
        <v>주간</v>
      </c>
      <c r="J155" s="6">
        <f t="shared" si="70"/>
        <v>1</v>
      </c>
      <c r="K155" s="6">
        <f>IF(J155="","",COUNT($J$3:J155))</f>
        <v>35</v>
      </c>
      <c r="L155" s="6">
        <f t="shared" si="76"/>
        <v>1</v>
      </c>
      <c r="M155" s="6">
        <f t="shared" si="77"/>
        <v>2</v>
      </c>
      <c r="N155" s="6">
        <f t="shared" si="78"/>
        <v>3</v>
      </c>
      <c r="O155" s="6">
        <f t="shared" si="79"/>
        <v>4</v>
      </c>
      <c r="P155" s="32">
        <f t="shared" si="71"/>
        <v>0</v>
      </c>
      <c r="Q155" s="13" t="str">
        <f t="shared" si="90"/>
        <v>이기수</v>
      </c>
      <c r="R155" s="13" t="str">
        <f t="shared" si="91"/>
        <v>박성현</v>
      </c>
      <c r="S155" s="13" t="str">
        <f t="shared" si="92"/>
        <v>허지웅</v>
      </c>
      <c r="T155" s="13" t="str">
        <f t="shared" si="93"/>
        <v>정윤준</v>
      </c>
      <c r="U155" s="31" t="str">
        <f t="shared" si="72"/>
        <v>장혁진</v>
      </c>
      <c r="V155" s="6" t="str">
        <f t="shared" si="73"/>
        <v/>
      </c>
      <c r="W155" s="6" t="str">
        <f>IF(V155="","",COUNT($V$3:V155))</f>
        <v/>
      </c>
      <c r="X155" s="6" t="str">
        <f t="shared" si="80"/>
        <v/>
      </c>
      <c r="Y155" s="6" t="str">
        <f t="shared" si="81"/>
        <v/>
      </c>
      <c r="Z155" s="6" t="str">
        <f t="shared" si="82"/>
        <v/>
      </c>
      <c r="AA155" s="6" t="str">
        <f t="shared" si="83"/>
        <v/>
      </c>
      <c r="AB155" s="32" t="str">
        <f t="shared" si="74"/>
        <v/>
      </c>
      <c r="AC155" s="13" t="str">
        <f t="shared" si="84"/>
        <v>-</v>
      </c>
      <c r="AD155" s="13" t="str">
        <f t="shared" si="85"/>
        <v>-</v>
      </c>
      <c r="AE155" s="13" t="str">
        <f t="shared" si="86"/>
        <v>-</v>
      </c>
      <c r="AF155" s="13" t="str">
        <f t="shared" si="87"/>
        <v>-</v>
      </c>
      <c r="AG155" s="31" t="str">
        <f t="shared" si="75"/>
        <v>-</v>
      </c>
      <c r="AH155" s="2" t="str">
        <f t="shared" si="88"/>
        <v/>
      </c>
      <c r="AI155" s="2" t="str">
        <f>IF(AH155="","",COUNT($AH$3:AH155))</f>
        <v/>
      </c>
      <c r="AJ155" s="60" t="str">
        <f t="shared" si="89"/>
        <v/>
      </c>
    </row>
    <row r="156" spans="1:36" ht="16.5">
      <c r="A156" s="6">
        <v>154</v>
      </c>
      <c r="B156" s="9">
        <f t="shared" si="64"/>
        <v>46176</v>
      </c>
      <c r="C156" s="7">
        <f t="shared" si="65"/>
        <v>6</v>
      </c>
      <c r="D156" s="7">
        <f t="shared" si="66"/>
        <v>3</v>
      </c>
      <c r="E156" s="15">
        <f t="shared" si="67"/>
        <v>4</v>
      </c>
      <c r="F156" s="8" t="str">
        <f t="shared" si="68"/>
        <v>휴</v>
      </c>
      <c r="G156" s="58" t="s">
        <v>72</v>
      </c>
      <c r="H156" s="12" t="s">
        <v>63</v>
      </c>
      <c r="I156" s="6" t="str">
        <f t="shared" si="69"/>
        <v>당직</v>
      </c>
      <c r="J156" s="6" t="str">
        <f t="shared" si="70"/>
        <v/>
      </c>
      <c r="K156" s="6" t="str">
        <f>IF(J156="","",COUNT($J$3:J156))</f>
        <v/>
      </c>
      <c r="L156" s="6" t="str">
        <f t="shared" si="76"/>
        <v/>
      </c>
      <c r="M156" s="6" t="str">
        <f t="shared" si="77"/>
        <v/>
      </c>
      <c r="N156" s="6" t="str">
        <f t="shared" si="78"/>
        <v/>
      </c>
      <c r="O156" s="6" t="str">
        <f t="shared" si="79"/>
        <v/>
      </c>
      <c r="P156" s="32" t="str">
        <f t="shared" si="71"/>
        <v/>
      </c>
      <c r="Q156" s="13" t="str">
        <f t="shared" si="90"/>
        <v>-</v>
      </c>
      <c r="R156" s="13" t="str">
        <f t="shared" si="91"/>
        <v>-</v>
      </c>
      <c r="S156" s="13" t="str">
        <f t="shared" si="92"/>
        <v>-</v>
      </c>
      <c r="T156" s="13" t="str">
        <f t="shared" si="93"/>
        <v>-</v>
      </c>
      <c r="U156" s="31" t="str">
        <f t="shared" si="72"/>
        <v>-</v>
      </c>
      <c r="V156" s="6">
        <f t="shared" si="73"/>
        <v>1</v>
      </c>
      <c r="W156" s="6">
        <f>IF(V156="","",COUNT($V$3:V156))</f>
        <v>52</v>
      </c>
      <c r="X156" s="6">
        <f t="shared" si="80"/>
        <v>4</v>
      </c>
      <c r="Y156" s="6">
        <f t="shared" si="81"/>
        <v>1</v>
      </c>
      <c r="Z156" s="6">
        <f t="shared" si="82"/>
        <v>2</v>
      </c>
      <c r="AA156" s="6">
        <f t="shared" si="83"/>
        <v>3</v>
      </c>
      <c r="AB156" s="32">
        <f t="shared" si="74"/>
        <v>2</v>
      </c>
      <c r="AC156" s="13" t="str">
        <f t="shared" si="84"/>
        <v>정윤준</v>
      </c>
      <c r="AD156" s="13" t="str">
        <f t="shared" si="85"/>
        <v>이기수</v>
      </c>
      <c r="AE156" s="13" t="str">
        <f t="shared" si="86"/>
        <v>박성현</v>
      </c>
      <c r="AF156" s="13" t="str">
        <f t="shared" si="87"/>
        <v>허지웅</v>
      </c>
      <c r="AG156" s="31" t="str">
        <f t="shared" si="75"/>
        <v>장혁진</v>
      </c>
      <c r="AH156" s="2" t="str">
        <f t="shared" si="88"/>
        <v/>
      </c>
      <c r="AI156" s="2" t="str">
        <f>IF(AH156="","",COUNT($AH$3:AH156))</f>
        <v/>
      </c>
      <c r="AJ156" s="60" t="str">
        <f t="shared" si="89"/>
        <v/>
      </c>
    </row>
    <row r="157" spans="1:36" ht="16.5">
      <c r="A157" s="6">
        <v>155</v>
      </c>
      <c r="B157" s="9">
        <f t="shared" si="64"/>
        <v>46177</v>
      </c>
      <c r="C157" s="7">
        <f t="shared" si="65"/>
        <v>6</v>
      </c>
      <c r="D157" s="7">
        <f t="shared" si="66"/>
        <v>4</v>
      </c>
      <c r="E157" s="15">
        <f t="shared" si="67"/>
        <v>5</v>
      </c>
      <c r="F157" s="8" t="str">
        <f t="shared" si="68"/>
        <v/>
      </c>
      <c r="G157" s="58"/>
      <c r="H157" s="12" t="s">
        <v>64</v>
      </c>
      <c r="I157" s="6" t="str">
        <f t="shared" si="69"/>
        <v>비번</v>
      </c>
      <c r="J157" s="6" t="str">
        <f t="shared" si="70"/>
        <v/>
      </c>
      <c r="K157" s="6" t="str">
        <f>IF(J157="","",COUNT($J$3:J157))</f>
        <v/>
      </c>
      <c r="L157" s="6" t="str">
        <f t="shared" si="76"/>
        <v/>
      </c>
      <c r="M157" s="6" t="str">
        <f t="shared" si="77"/>
        <v/>
      </c>
      <c r="N157" s="6" t="str">
        <f t="shared" si="78"/>
        <v/>
      </c>
      <c r="O157" s="6" t="str">
        <f t="shared" si="79"/>
        <v/>
      </c>
      <c r="P157" s="32" t="str">
        <f t="shared" si="71"/>
        <v/>
      </c>
      <c r="Q157" s="13" t="str">
        <f t="shared" si="90"/>
        <v>-</v>
      </c>
      <c r="R157" s="13" t="str">
        <f t="shared" si="91"/>
        <v>-</v>
      </c>
      <c r="S157" s="13" t="str">
        <f t="shared" si="92"/>
        <v>-</v>
      </c>
      <c r="T157" s="13" t="str">
        <f t="shared" si="93"/>
        <v>-</v>
      </c>
      <c r="U157" s="31" t="str">
        <f t="shared" si="72"/>
        <v>-</v>
      </c>
      <c r="V157" s="6" t="str">
        <f t="shared" si="73"/>
        <v/>
      </c>
      <c r="W157" s="6" t="str">
        <f>IF(V157="","",COUNT($V$3:V157))</f>
        <v/>
      </c>
      <c r="X157" s="6" t="str">
        <f t="shared" si="80"/>
        <v/>
      </c>
      <c r="Y157" s="6" t="str">
        <f t="shared" si="81"/>
        <v/>
      </c>
      <c r="Z157" s="6" t="str">
        <f t="shared" si="82"/>
        <v/>
      </c>
      <c r="AA157" s="6" t="str">
        <f t="shared" si="83"/>
        <v/>
      </c>
      <c r="AB157" s="32" t="str">
        <f t="shared" si="74"/>
        <v/>
      </c>
      <c r="AC157" s="13" t="str">
        <f t="shared" si="84"/>
        <v>-</v>
      </c>
      <c r="AD157" s="13" t="str">
        <f t="shared" si="85"/>
        <v>-</v>
      </c>
      <c r="AE157" s="13" t="str">
        <f t="shared" si="86"/>
        <v>-</v>
      </c>
      <c r="AF157" s="13" t="str">
        <f t="shared" si="87"/>
        <v>-</v>
      </c>
      <c r="AG157" s="31" t="str">
        <f t="shared" si="75"/>
        <v>-</v>
      </c>
      <c r="AH157" s="2" t="str">
        <f t="shared" si="88"/>
        <v/>
      </c>
      <c r="AI157" s="2" t="str">
        <f>IF(AH157="","",COUNT($AH$3:AH157))</f>
        <v/>
      </c>
      <c r="AJ157" s="60" t="str">
        <f t="shared" si="89"/>
        <v/>
      </c>
    </row>
    <row r="158" spans="1:36" ht="16.5">
      <c r="A158" s="6">
        <v>156</v>
      </c>
      <c r="B158" s="9">
        <f t="shared" si="64"/>
        <v>46178</v>
      </c>
      <c r="C158" s="7">
        <f t="shared" si="65"/>
        <v>6</v>
      </c>
      <c r="D158" s="7">
        <f t="shared" si="66"/>
        <v>5</v>
      </c>
      <c r="E158" s="15">
        <f t="shared" si="67"/>
        <v>6</v>
      </c>
      <c r="F158" s="8" t="str">
        <f t="shared" si="68"/>
        <v/>
      </c>
      <c r="G158" s="58"/>
      <c r="H158" s="12" t="s">
        <v>65</v>
      </c>
      <c r="I158" s="6" t="str">
        <f t="shared" si="69"/>
        <v>주간</v>
      </c>
      <c r="J158" s="6">
        <f t="shared" si="70"/>
        <v>1</v>
      </c>
      <c r="K158" s="6">
        <f>IF(J158="","",COUNT($J$3:J158))</f>
        <v>36</v>
      </c>
      <c r="L158" s="6">
        <f t="shared" si="76"/>
        <v>4</v>
      </c>
      <c r="M158" s="6">
        <f t="shared" si="77"/>
        <v>1</v>
      </c>
      <c r="N158" s="6">
        <f t="shared" si="78"/>
        <v>2</v>
      </c>
      <c r="O158" s="6">
        <f t="shared" si="79"/>
        <v>3</v>
      </c>
      <c r="P158" s="32">
        <f t="shared" si="71"/>
        <v>1</v>
      </c>
      <c r="Q158" s="13" t="str">
        <f t="shared" si="90"/>
        <v>정윤준</v>
      </c>
      <c r="R158" s="13" t="str">
        <f t="shared" si="91"/>
        <v>이기수</v>
      </c>
      <c r="S158" s="13" t="str">
        <f t="shared" si="92"/>
        <v>박성현</v>
      </c>
      <c r="T158" s="13" t="str">
        <f t="shared" si="93"/>
        <v>허지웅</v>
      </c>
      <c r="U158" s="31" t="str">
        <f t="shared" si="72"/>
        <v>이기수</v>
      </c>
      <c r="V158" s="6" t="str">
        <f t="shared" si="73"/>
        <v/>
      </c>
      <c r="W158" s="6" t="str">
        <f>IF(V158="","",COUNT($V$3:V158))</f>
        <v/>
      </c>
      <c r="X158" s="6" t="str">
        <f t="shared" si="80"/>
        <v/>
      </c>
      <c r="Y158" s="6" t="str">
        <f t="shared" si="81"/>
        <v/>
      </c>
      <c r="Z158" s="6" t="str">
        <f t="shared" si="82"/>
        <v/>
      </c>
      <c r="AA158" s="6" t="str">
        <f t="shared" si="83"/>
        <v/>
      </c>
      <c r="AB158" s="32" t="str">
        <f t="shared" si="74"/>
        <v/>
      </c>
      <c r="AC158" s="13" t="str">
        <f t="shared" si="84"/>
        <v>-</v>
      </c>
      <c r="AD158" s="13" t="str">
        <f t="shared" si="85"/>
        <v>-</v>
      </c>
      <c r="AE158" s="13" t="str">
        <f t="shared" si="86"/>
        <v>-</v>
      </c>
      <c r="AF158" s="13" t="str">
        <f t="shared" si="87"/>
        <v>-</v>
      </c>
      <c r="AG158" s="31" t="str">
        <f t="shared" si="75"/>
        <v>-</v>
      </c>
      <c r="AH158" s="2" t="str">
        <f t="shared" si="88"/>
        <v/>
      </c>
      <c r="AI158" s="2" t="str">
        <f>IF(AH158="","",COUNT($AH$3:AH158))</f>
        <v/>
      </c>
      <c r="AJ158" s="60" t="str">
        <f t="shared" si="89"/>
        <v/>
      </c>
    </row>
    <row r="159" spans="1:36" ht="16.5">
      <c r="A159" s="6">
        <v>157</v>
      </c>
      <c r="B159" s="9">
        <f t="shared" si="64"/>
        <v>46179</v>
      </c>
      <c r="C159" s="7">
        <f t="shared" si="65"/>
        <v>6</v>
      </c>
      <c r="D159" s="7">
        <f t="shared" si="66"/>
        <v>6</v>
      </c>
      <c r="E159" s="15">
        <f t="shared" si="67"/>
        <v>7</v>
      </c>
      <c r="F159" s="8" t="str">
        <f t="shared" si="68"/>
        <v>휴</v>
      </c>
      <c r="G159" s="58" t="s">
        <v>73</v>
      </c>
      <c r="H159" s="12" t="s">
        <v>63</v>
      </c>
      <c r="I159" s="6" t="str">
        <f t="shared" si="69"/>
        <v>당직</v>
      </c>
      <c r="J159" s="6" t="str">
        <f t="shared" si="70"/>
        <v/>
      </c>
      <c r="K159" s="6" t="str">
        <f>IF(J159="","",COUNT($J$3:J159))</f>
        <v/>
      </c>
      <c r="L159" s="6" t="str">
        <f t="shared" si="76"/>
        <v/>
      </c>
      <c r="M159" s="6" t="str">
        <f t="shared" si="77"/>
        <v/>
      </c>
      <c r="N159" s="6" t="str">
        <f t="shared" si="78"/>
        <v/>
      </c>
      <c r="O159" s="6" t="str">
        <f t="shared" si="79"/>
        <v/>
      </c>
      <c r="P159" s="32" t="str">
        <f t="shared" si="71"/>
        <v/>
      </c>
      <c r="Q159" s="13" t="str">
        <f t="shared" si="90"/>
        <v>-</v>
      </c>
      <c r="R159" s="13" t="str">
        <f t="shared" si="91"/>
        <v>-</v>
      </c>
      <c r="S159" s="13" t="str">
        <f t="shared" si="92"/>
        <v>-</v>
      </c>
      <c r="T159" s="13" t="str">
        <f t="shared" si="93"/>
        <v>-</v>
      </c>
      <c r="U159" s="31" t="str">
        <f t="shared" si="72"/>
        <v>-</v>
      </c>
      <c r="V159" s="6">
        <f t="shared" si="73"/>
        <v>1</v>
      </c>
      <c r="W159" s="6">
        <f>IF(V159="","",COUNT($V$3:V159))</f>
        <v>53</v>
      </c>
      <c r="X159" s="6">
        <f t="shared" si="80"/>
        <v>3</v>
      </c>
      <c r="Y159" s="6">
        <f t="shared" si="81"/>
        <v>4</v>
      </c>
      <c r="Z159" s="6">
        <f t="shared" si="82"/>
        <v>1</v>
      </c>
      <c r="AA159" s="6">
        <f t="shared" si="83"/>
        <v>2</v>
      </c>
      <c r="AB159" s="32">
        <f t="shared" si="74"/>
        <v>3</v>
      </c>
      <c r="AC159" s="13" t="str">
        <f t="shared" si="84"/>
        <v>허지웅</v>
      </c>
      <c r="AD159" s="13" t="str">
        <f t="shared" si="85"/>
        <v>정윤준</v>
      </c>
      <c r="AE159" s="13" t="str">
        <f t="shared" si="86"/>
        <v>이기수</v>
      </c>
      <c r="AF159" s="13" t="str">
        <f t="shared" si="87"/>
        <v>박성현</v>
      </c>
      <c r="AG159" s="31" t="str">
        <f t="shared" si="75"/>
        <v>이기수</v>
      </c>
      <c r="AH159" s="2" t="str">
        <f t="shared" si="88"/>
        <v/>
      </c>
      <c r="AI159" s="2" t="str">
        <f>IF(AH159="","",COUNT($AH$3:AH159))</f>
        <v/>
      </c>
      <c r="AJ159" s="60" t="str">
        <f t="shared" si="89"/>
        <v/>
      </c>
    </row>
    <row r="160" spans="1:36" ht="16.5">
      <c r="A160" s="6">
        <v>158</v>
      </c>
      <c r="B160" s="9">
        <f t="shared" si="64"/>
        <v>46180</v>
      </c>
      <c r="C160" s="7">
        <f t="shared" si="65"/>
        <v>6</v>
      </c>
      <c r="D160" s="7">
        <f t="shared" si="66"/>
        <v>7</v>
      </c>
      <c r="E160" s="15">
        <f t="shared" si="67"/>
        <v>1</v>
      </c>
      <c r="F160" s="8" t="str">
        <f t="shared" si="68"/>
        <v>휴</v>
      </c>
      <c r="G160" s="58"/>
      <c r="H160" s="12" t="s">
        <v>64</v>
      </c>
      <c r="I160" s="6" t="str">
        <f t="shared" si="69"/>
        <v>비번</v>
      </c>
      <c r="J160" s="6" t="str">
        <f t="shared" si="70"/>
        <v/>
      </c>
      <c r="K160" s="6" t="str">
        <f>IF(J160="","",COUNT($J$3:J160))</f>
        <v/>
      </c>
      <c r="L160" s="6" t="str">
        <f t="shared" si="76"/>
        <v/>
      </c>
      <c r="M160" s="6" t="str">
        <f t="shared" si="77"/>
        <v/>
      </c>
      <c r="N160" s="6" t="str">
        <f t="shared" si="78"/>
        <v/>
      </c>
      <c r="O160" s="6" t="str">
        <f t="shared" si="79"/>
        <v/>
      </c>
      <c r="P160" s="32" t="str">
        <f t="shared" si="71"/>
        <v/>
      </c>
      <c r="Q160" s="13" t="str">
        <f t="shared" si="90"/>
        <v>-</v>
      </c>
      <c r="R160" s="13" t="str">
        <f t="shared" si="91"/>
        <v>-</v>
      </c>
      <c r="S160" s="13" t="str">
        <f t="shared" si="92"/>
        <v>-</v>
      </c>
      <c r="T160" s="13" t="str">
        <f t="shared" si="93"/>
        <v>-</v>
      </c>
      <c r="U160" s="31" t="str">
        <f t="shared" si="72"/>
        <v>-</v>
      </c>
      <c r="V160" s="6" t="str">
        <f t="shared" si="73"/>
        <v/>
      </c>
      <c r="W160" s="6" t="str">
        <f>IF(V160="","",COUNT($V$3:V160))</f>
        <v/>
      </c>
      <c r="X160" s="6" t="str">
        <f t="shared" si="80"/>
        <v/>
      </c>
      <c r="Y160" s="6" t="str">
        <f t="shared" si="81"/>
        <v/>
      </c>
      <c r="Z160" s="6" t="str">
        <f t="shared" si="82"/>
        <v/>
      </c>
      <c r="AA160" s="6" t="str">
        <f t="shared" si="83"/>
        <v/>
      </c>
      <c r="AB160" s="32" t="str">
        <f t="shared" si="74"/>
        <v/>
      </c>
      <c r="AC160" s="13" t="str">
        <f t="shared" si="84"/>
        <v>-</v>
      </c>
      <c r="AD160" s="13" t="str">
        <f t="shared" si="85"/>
        <v>-</v>
      </c>
      <c r="AE160" s="13" t="str">
        <f t="shared" si="86"/>
        <v>-</v>
      </c>
      <c r="AF160" s="13" t="str">
        <f t="shared" si="87"/>
        <v>-</v>
      </c>
      <c r="AG160" s="31" t="str">
        <f t="shared" si="75"/>
        <v>-</v>
      </c>
      <c r="AH160" s="2" t="str">
        <f t="shared" si="88"/>
        <v/>
      </c>
      <c r="AI160" s="2" t="str">
        <f>IF(AH160="","",COUNT($AH$3:AH160))</f>
        <v/>
      </c>
      <c r="AJ160" s="60" t="str">
        <f t="shared" si="89"/>
        <v/>
      </c>
    </row>
    <row r="161" spans="1:36" ht="16.5">
      <c r="A161" s="6">
        <v>159</v>
      </c>
      <c r="B161" s="9">
        <f t="shared" si="64"/>
        <v>46181</v>
      </c>
      <c r="C161" s="7">
        <f t="shared" si="65"/>
        <v>6</v>
      </c>
      <c r="D161" s="7">
        <f t="shared" si="66"/>
        <v>8</v>
      </c>
      <c r="E161" s="15">
        <f t="shared" si="67"/>
        <v>2</v>
      </c>
      <c r="F161" s="8" t="str">
        <f t="shared" si="68"/>
        <v/>
      </c>
      <c r="G161" s="58"/>
      <c r="H161" s="12" t="s">
        <v>65</v>
      </c>
      <c r="I161" s="6" t="str">
        <f t="shared" si="69"/>
        <v>주간</v>
      </c>
      <c r="J161" s="6">
        <f t="shared" si="70"/>
        <v>1</v>
      </c>
      <c r="K161" s="6">
        <f>IF(J161="","",COUNT($J$3:J161))</f>
        <v>37</v>
      </c>
      <c r="L161" s="6">
        <f t="shared" si="76"/>
        <v>3</v>
      </c>
      <c r="M161" s="6">
        <f t="shared" si="77"/>
        <v>4</v>
      </c>
      <c r="N161" s="6">
        <f t="shared" si="78"/>
        <v>1</v>
      </c>
      <c r="O161" s="6">
        <f t="shared" si="79"/>
        <v>2</v>
      </c>
      <c r="P161" s="32">
        <f t="shared" si="71"/>
        <v>2</v>
      </c>
      <c r="Q161" s="13" t="str">
        <f t="shared" si="90"/>
        <v>허지웅</v>
      </c>
      <c r="R161" s="13" t="str">
        <f t="shared" si="91"/>
        <v>정윤준</v>
      </c>
      <c r="S161" s="13" t="str">
        <f t="shared" si="92"/>
        <v>이기수</v>
      </c>
      <c r="T161" s="13" t="str">
        <f t="shared" si="93"/>
        <v>박성현</v>
      </c>
      <c r="U161" s="31" t="str">
        <f t="shared" si="72"/>
        <v>정윤준</v>
      </c>
      <c r="V161" s="6" t="str">
        <f t="shared" si="73"/>
        <v/>
      </c>
      <c r="W161" s="6" t="str">
        <f>IF(V161="","",COUNT($V$3:V161))</f>
        <v/>
      </c>
      <c r="X161" s="6" t="str">
        <f t="shared" si="80"/>
        <v/>
      </c>
      <c r="Y161" s="6" t="str">
        <f t="shared" si="81"/>
        <v/>
      </c>
      <c r="Z161" s="6" t="str">
        <f t="shared" si="82"/>
        <v/>
      </c>
      <c r="AA161" s="6" t="str">
        <f t="shared" si="83"/>
        <v/>
      </c>
      <c r="AB161" s="32" t="str">
        <f t="shared" si="74"/>
        <v/>
      </c>
      <c r="AC161" s="13" t="str">
        <f t="shared" si="84"/>
        <v>-</v>
      </c>
      <c r="AD161" s="13" t="str">
        <f t="shared" si="85"/>
        <v>-</v>
      </c>
      <c r="AE161" s="13" t="str">
        <f t="shared" si="86"/>
        <v>-</v>
      </c>
      <c r="AF161" s="13" t="str">
        <f t="shared" si="87"/>
        <v>-</v>
      </c>
      <c r="AG161" s="31" t="str">
        <f t="shared" si="75"/>
        <v>-</v>
      </c>
      <c r="AH161" s="2" t="str">
        <f t="shared" si="88"/>
        <v/>
      </c>
      <c r="AI161" s="2" t="str">
        <f>IF(AH161="","",COUNT($AH$3:AH161))</f>
        <v/>
      </c>
      <c r="AJ161" s="60" t="str">
        <f t="shared" si="89"/>
        <v/>
      </c>
    </row>
    <row r="162" spans="1:36" ht="16.5">
      <c r="A162" s="6">
        <v>160</v>
      </c>
      <c r="B162" s="9">
        <f t="shared" si="64"/>
        <v>46182</v>
      </c>
      <c r="C162" s="7">
        <f t="shared" si="65"/>
        <v>6</v>
      </c>
      <c r="D162" s="7">
        <f t="shared" si="66"/>
        <v>9</v>
      </c>
      <c r="E162" s="15">
        <f t="shared" si="67"/>
        <v>3</v>
      </c>
      <c r="F162" s="8" t="str">
        <f t="shared" si="68"/>
        <v/>
      </c>
      <c r="G162" s="58"/>
      <c r="H162" s="12" t="s">
        <v>63</v>
      </c>
      <c r="I162" s="6" t="str">
        <f t="shared" si="69"/>
        <v>야간</v>
      </c>
      <c r="J162" s="6" t="str">
        <f t="shared" si="70"/>
        <v/>
      </c>
      <c r="K162" s="6" t="str">
        <f>IF(J162="","",COUNT($J$3:J162))</f>
        <v/>
      </c>
      <c r="L162" s="6" t="str">
        <f t="shared" si="76"/>
        <v/>
      </c>
      <c r="M162" s="6" t="str">
        <f t="shared" si="77"/>
        <v/>
      </c>
      <c r="N162" s="6" t="str">
        <f t="shared" si="78"/>
        <v/>
      </c>
      <c r="O162" s="6" t="str">
        <f t="shared" si="79"/>
        <v/>
      </c>
      <c r="P162" s="32" t="str">
        <f t="shared" si="71"/>
        <v/>
      </c>
      <c r="Q162" s="13" t="str">
        <f t="shared" si="90"/>
        <v>-</v>
      </c>
      <c r="R162" s="13" t="str">
        <f t="shared" si="91"/>
        <v>-</v>
      </c>
      <c r="S162" s="13" t="str">
        <f t="shared" si="92"/>
        <v>-</v>
      </c>
      <c r="T162" s="13" t="str">
        <f t="shared" si="93"/>
        <v>-</v>
      </c>
      <c r="U162" s="31" t="str">
        <f t="shared" si="72"/>
        <v>-</v>
      </c>
      <c r="V162" s="6">
        <f t="shared" si="73"/>
        <v>1</v>
      </c>
      <c r="W162" s="6">
        <f>IF(V162="","",COUNT($V$3:V162))</f>
        <v>54</v>
      </c>
      <c r="X162" s="6">
        <f t="shared" si="80"/>
        <v>2</v>
      </c>
      <c r="Y162" s="6">
        <f t="shared" si="81"/>
        <v>3</v>
      </c>
      <c r="Z162" s="6">
        <f t="shared" si="82"/>
        <v>4</v>
      </c>
      <c r="AA162" s="6">
        <f t="shared" si="83"/>
        <v>1</v>
      </c>
      <c r="AB162" s="32">
        <f t="shared" si="74"/>
        <v>4</v>
      </c>
      <c r="AC162" s="13" t="str">
        <f t="shared" si="84"/>
        <v>박성현</v>
      </c>
      <c r="AD162" s="13" t="str">
        <f t="shared" si="85"/>
        <v>허지웅</v>
      </c>
      <c r="AE162" s="13" t="str">
        <f t="shared" si="86"/>
        <v>정윤준</v>
      </c>
      <c r="AF162" s="13" t="str">
        <f t="shared" si="87"/>
        <v>이기수</v>
      </c>
      <c r="AG162" s="31" t="e">
        <f t="shared" si="75"/>
        <v>#VALUE!</v>
      </c>
      <c r="AH162" s="2" t="str">
        <f t="shared" si="88"/>
        <v/>
      </c>
      <c r="AI162" s="2" t="str">
        <f>IF(AH162="","",COUNT($AH$3:AH162))</f>
        <v/>
      </c>
      <c r="AJ162" s="60" t="str">
        <f t="shared" si="89"/>
        <v/>
      </c>
    </row>
    <row r="163" spans="1:36" ht="16.5">
      <c r="A163" s="6">
        <v>161</v>
      </c>
      <c r="B163" s="9">
        <f t="shared" si="64"/>
        <v>46183</v>
      </c>
      <c r="C163" s="7">
        <f t="shared" si="65"/>
        <v>6</v>
      </c>
      <c r="D163" s="7">
        <f t="shared" si="66"/>
        <v>10</v>
      </c>
      <c r="E163" s="15">
        <f t="shared" si="67"/>
        <v>4</v>
      </c>
      <c r="F163" s="8" t="str">
        <f t="shared" si="68"/>
        <v/>
      </c>
      <c r="G163" s="58"/>
      <c r="H163" s="12" t="s">
        <v>64</v>
      </c>
      <c r="I163" s="6" t="str">
        <f t="shared" si="69"/>
        <v>비번</v>
      </c>
      <c r="J163" s="6" t="str">
        <f t="shared" si="70"/>
        <v/>
      </c>
      <c r="K163" s="6" t="str">
        <f>IF(J163="","",COUNT($J$3:J163))</f>
        <v/>
      </c>
      <c r="L163" s="6" t="str">
        <f t="shared" si="76"/>
        <v/>
      </c>
      <c r="M163" s="6" t="str">
        <f t="shared" si="77"/>
        <v/>
      </c>
      <c r="N163" s="6" t="str">
        <f t="shared" si="78"/>
        <v/>
      </c>
      <c r="O163" s="6" t="str">
        <f t="shared" si="79"/>
        <v/>
      </c>
      <c r="P163" s="32" t="str">
        <f t="shared" si="71"/>
        <v/>
      </c>
      <c r="Q163" s="13" t="str">
        <f t="shared" si="90"/>
        <v>-</v>
      </c>
      <c r="R163" s="13" t="str">
        <f t="shared" si="91"/>
        <v>-</v>
      </c>
      <c r="S163" s="13" t="str">
        <f t="shared" si="92"/>
        <v>-</v>
      </c>
      <c r="T163" s="13" t="str">
        <f t="shared" si="93"/>
        <v>-</v>
      </c>
      <c r="U163" s="31" t="str">
        <f t="shared" si="72"/>
        <v>-</v>
      </c>
      <c r="V163" s="6" t="str">
        <f t="shared" si="73"/>
        <v/>
      </c>
      <c r="W163" s="6" t="str">
        <f>IF(V163="","",COUNT($V$3:V163))</f>
        <v/>
      </c>
      <c r="X163" s="6" t="str">
        <f t="shared" si="80"/>
        <v/>
      </c>
      <c r="Y163" s="6" t="str">
        <f t="shared" si="81"/>
        <v/>
      </c>
      <c r="Z163" s="6" t="str">
        <f t="shared" si="82"/>
        <v/>
      </c>
      <c r="AA163" s="6" t="str">
        <f t="shared" si="83"/>
        <v/>
      </c>
      <c r="AB163" s="32" t="str">
        <f t="shared" si="74"/>
        <v/>
      </c>
      <c r="AC163" s="13" t="str">
        <f t="shared" si="84"/>
        <v>-</v>
      </c>
      <c r="AD163" s="13" t="str">
        <f t="shared" si="85"/>
        <v>-</v>
      </c>
      <c r="AE163" s="13" t="str">
        <f t="shared" si="86"/>
        <v>-</v>
      </c>
      <c r="AF163" s="13" t="str">
        <f t="shared" si="87"/>
        <v>-</v>
      </c>
      <c r="AG163" s="31" t="str">
        <f t="shared" si="75"/>
        <v>-</v>
      </c>
      <c r="AH163" s="2" t="str">
        <f t="shared" si="88"/>
        <v/>
      </c>
      <c r="AI163" s="2" t="str">
        <f>IF(AH163="","",COUNT($AH$3:AH163))</f>
        <v/>
      </c>
      <c r="AJ163" s="60" t="str">
        <f t="shared" si="89"/>
        <v/>
      </c>
    </row>
    <row r="164" spans="1:36" ht="16.5">
      <c r="A164" s="6">
        <v>162</v>
      </c>
      <c r="B164" s="9">
        <f t="shared" si="64"/>
        <v>46184</v>
      </c>
      <c r="C164" s="7">
        <f t="shared" si="65"/>
        <v>6</v>
      </c>
      <c r="D164" s="7">
        <f t="shared" si="66"/>
        <v>11</v>
      </c>
      <c r="E164" s="15">
        <f t="shared" si="67"/>
        <v>5</v>
      </c>
      <c r="F164" s="8" t="str">
        <f t="shared" si="68"/>
        <v/>
      </c>
      <c r="G164" s="58"/>
      <c r="H164" s="12" t="s">
        <v>65</v>
      </c>
      <c r="I164" s="6" t="str">
        <f t="shared" si="69"/>
        <v>주간</v>
      </c>
      <c r="J164" s="6">
        <f t="shared" si="70"/>
        <v>1</v>
      </c>
      <c r="K164" s="6">
        <f>IF(J164="","",COUNT($J$3:J164))</f>
        <v>38</v>
      </c>
      <c r="L164" s="6">
        <f t="shared" si="76"/>
        <v>2</v>
      </c>
      <c r="M164" s="6">
        <f t="shared" si="77"/>
        <v>3</v>
      </c>
      <c r="N164" s="6">
        <f t="shared" si="78"/>
        <v>4</v>
      </c>
      <c r="O164" s="6">
        <f t="shared" si="79"/>
        <v>1</v>
      </c>
      <c r="P164" s="32">
        <f t="shared" si="71"/>
        <v>3</v>
      </c>
      <c r="Q164" s="13" t="str">
        <f t="shared" si="90"/>
        <v>박성현</v>
      </c>
      <c r="R164" s="13" t="str">
        <f t="shared" si="91"/>
        <v>허지웅</v>
      </c>
      <c r="S164" s="13" t="str">
        <f t="shared" si="92"/>
        <v>정윤준</v>
      </c>
      <c r="T164" s="13" t="str">
        <f t="shared" si="93"/>
        <v>이기수</v>
      </c>
      <c r="U164" s="31" t="str">
        <f t="shared" si="72"/>
        <v>허지웅</v>
      </c>
      <c r="V164" s="6" t="str">
        <f t="shared" si="73"/>
        <v/>
      </c>
      <c r="W164" s="6" t="str">
        <f>IF(V164="","",COUNT($V$3:V164))</f>
        <v/>
      </c>
      <c r="X164" s="6" t="str">
        <f t="shared" si="80"/>
        <v/>
      </c>
      <c r="Y164" s="6" t="str">
        <f t="shared" si="81"/>
        <v/>
      </c>
      <c r="Z164" s="6" t="str">
        <f t="shared" si="82"/>
        <v/>
      </c>
      <c r="AA164" s="6" t="str">
        <f t="shared" si="83"/>
        <v/>
      </c>
      <c r="AB164" s="32" t="str">
        <f t="shared" si="74"/>
        <v/>
      </c>
      <c r="AC164" s="13" t="str">
        <f t="shared" si="84"/>
        <v>-</v>
      </c>
      <c r="AD164" s="13" t="str">
        <f t="shared" si="85"/>
        <v>-</v>
      </c>
      <c r="AE164" s="13" t="str">
        <f t="shared" si="86"/>
        <v>-</v>
      </c>
      <c r="AF164" s="13" t="str">
        <f t="shared" si="87"/>
        <v>-</v>
      </c>
      <c r="AG164" s="31" t="str">
        <f t="shared" si="75"/>
        <v>-</v>
      </c>
      <c r="AH164" s="2" t="str">
        <f t="shared" si="88"/>
        <v/>
      </c>
      <c r="AI164" s="2" t="str">
        <f>IF(AH164="","",COUNT($AH$3:AH164))</f>
        <v/>
      </c>
      <c r="AJ164" s="60" t="str">
        <f t="shared" si="89"/>
        <v/>
      </c>
    </row>
    <row r="165" spans="1:36" ht="16.5">
      <c r="A165" s="6">
        <v>163</v>
      </c>
      <c r="B165" s="9">
        <f t="shared" si="64"/>
        <v>46185</v>
      </c>
      <c r="C165" s="7">
        <f t="shared" si="65"/>
        <v>6</v>
      </c>
      <c r="D165" s="7">
        <f t="shared" si="66"/>
        <v>12</v>
      </c>
      <c r="E165" s="15">
        <f t="shared" si="67"/>
        <v>6</v>
      </c>
      <c r="F165" s="8" t="str">
        <f t="shared" si="68"/>
        <v/>
      </c>
      <c r="G165" s="58"/>
      <c r="H165" s="12" t="s">
        <v>63</v>
      </c>
      <c r="I165" s="6" t="str">
        <f t="shared" si="69"/>
        <v>야간</v>
      </c>
      <c r="J165" s="6" t="str">
        <f t="shared" si="70"/>
        <v/>
      </c>
      <c r="K165" s="6" t="str">
        <f>IF(J165="","",COUNT($J$3:J165))</f>
        <v/>
      </c>
      <c r="L165" s="6" t="str">
        <f t="shared" si="76"/>
        <v/>
      </c>
      <c r="M165" s="6" t="str">
        <f t="shared" si="77"/>
        <v/>
      </c>
      <c r="N165" s="6" t="str">
        <f t="shared" si="78"/>
        <v/>
      </c>
      <c r="O165" s="6" t="str">
        <f t="shared" si="79"/>
        <v/>
      </c>
      <c r="P165" s="32" t="str">
        <f t="shared" si="71"/>
        <v/>
      </c>
      <c r="Q165" s="13" t="str">
        <f t="shared" si="90"/>
        <v>-</v>
      </c>
      <c r="R165" s="13" t="str">
        <f t="shared" si="91"/>
        <v>-</v>
      </c>
      <c r="S165" s="13" t="str">
        <f t="shared" si="92"/>
        <v>-</v>
      </c>
      <c r="T165" s="13" t="str">
        <f t="shared" si="93"/>
        <v>-</v>
      </c>
      <c r="U165" s="31" t="str">
        <f t="shared" si="72"/>
        <v>-</v>
      </c>
      <c r="V165" s="6">
        <f t="shared" si="73"/>
        <v>1</v>
      </c>
      <c r="W165" s="6">
        <f>IF(V165="","",COUNT($V$3:V165))</f>
        <v>55</v>
      </c>
      <c r="X165" s="6">
        <f t="shared" si="80"/>
        <v>1</v>
      </c>
      <c r="Y165" s="6">
        <f t="shared" si="81"/>
        <v>2</v>
      </c>
      <c r="Z165" s="6">
        <f t="shared" si="82"/>
        <v>3</v>
      </c>
      <c r="AA165" s="6">
        <f t="shared" si="83"/>
        <v>4</v>
      </c>
      <c r="AB165" s="32">
        <f t="shared" si="74"/>
        <v>0</v>
      </c>
      <c r="AC165" s="13" t="str">
        <f t="shared" si="84"/>
        <v>이기수</v>
      </c>
      <c r="AD165" s="13" t="str">
        <f t="shared" si="85"/>
        <v>박성현</v>
      </c>
      <c r="AE165" s="13" t="str">
        <f t="shared" si="86"/>
        <v>허지웅</v>
      </c>
      <c r="AF165" s="13" t="str">
        <f t="shared" si="87"/>
        <v>정윤준</v>
      </c>
      <c r="AG165" s="31" t="str">
        <f t="shared" si="75"/>
        <v>정윤준</v>
      </c>
      <c r="AH165" s="2">
        <f t="shared" si="88"/>
        <v>1</v>
      </c>
      <c r="AI165" s="2">
        <f>IF(AH165="","",COUNT($AH$3:AH165))</f>
        <v>14</v>
      </c>
      <c r="AJ165" s="60" t="str">
        <f t="shared" si="89"/>
        <v>허지웅</v>
      </c>
    </row>
    <row r="166" spans="1:36" ht="16.5">
      <c r="A166" s="6">
        <v>164</v>
      </c>
      <c r="B166" s="9">
        <f t="shared" si="64"/>
        <v>46186</v>
      </c>
      <c r="C166" s="7">
        <f t="shared" si="65"/>
        <v>6</v>
      </c>
      <c r="D166" s="7">
        <f t="shared" si="66"/>
        <v>13</v>
      </c>
      <c r="E166" s="15">
        <f t="shared" si="67"/>
        <v>7</v>
      </c>
      <c r="F166" s="8" t="str">
        <f t="shared" si="68"/>
        <v>휴</v>
      </c>
      <c r="G166" s="58"/>
      <c r="H166" s="12" t="s">
        <v>64</v>
      </c>
      <c r="I166" s="6" t="str">
        <f t="shared" si="69"/>
        <v>비번</v>
      </c>
      <c r="J166" s="6" t="str">
        <f t="shared" si="70"/>
        <v/>
      </c>
      <c r="K166" s="6" t="str">
        <f>IF(J166="","",COUNT($J$3:J166))</f>
        <v/>
      </c>
      <c r="L166" s="6" t="str">
        <f t="shared" si="76"/>
        <v/>
      </c>
      <c r="M166" s="6" t="str">
        <f t="shared" si="77"/>
        <v/>
      </c>
      <c r="N166" s="6" t="str">
        <f t="shared" si="78"/>
        <v/>
      </c>
      <c r="O166" s="6" t="str">
        <f t="shared" si="79"/>
        <v/>
      </c>
      <c r="P166" s="32" t="str">
        <f t="shared" si="71"/>
        <v/>
      </c>
      <c r="Q166" s="13" t="str">
        <f t="shared" si="90"/>
        <v>-</v>
      </c>
      <c r="R166" s="13" t="str">
        <f t="shared" si="91"/>
        <v>-</v>
      </c>
      <c r="S166" s="13" t="str">
        <f t="shared" si="92"/>
        <v>-</v>
      </c>
      <c r="T166" s="13" t="str">
        <f t="shared" si="93"/>
        <v>-</v>
      </c>
      <c r="U166" s="31" t="str">
        <f t="shared" si="72"/>
        <v>-</v>
      </c>
      <c r="V166" s="6" t="str">
        <f t="shared" si="73"/>
        <v/>
      </c>
      <c r="W166" s="6" t="str">
        <f>IF(V166="","",COUNT($V$3:V166))</f>
        <v/>
      </c>
      <c r="X166" s="6" t="str">
        <f t="shared" si="80"/>
        <v/>
      </c>
      <c r="Y166" s="6" t="str">
        <f t="shared" si="81"/>
        <v/>
      </c>
      <c r="Z166" s="6" t="str">
        <f t="shared" si="82"/>
        <v/>
      </c>
      <c r="AA166" s="6" t="str">
        <f t="shared" si="83"/>
        <v/>
      </c>
      <c r="AB166" s="32" t="str">
        <f t="shared" si="74"/>
        <v/>
      </c>
      <c r="AC166" s="13" t="str">
        <f t="shared" si="84"/>
        <v>-</v>
      </c>
      <c r="AD166" s="13" t="str">
        <f t="shared" si="85"/>
        <v>-</v>
      </c>
      <c r="AE166" s="13" t="str">
        <f t="shared" si="86"/>
        <v>-</v>
      </c>
      <c r="AF166" s="13" t="str">
        <f t="shared" si="87"/>
        <v>-</v>
      </c>
      <c r="AG166" s="31" t="str">
        <f t="shared" si="75"/>
        <v>-</v>
      </c>
      <c r="AH166" s="2" t="str">
        <f t="shared" si="88"/>
        <v/>
      </c>
      <c r="AI166" s="2" t="str">
        <f>IF(AH166="","",COUNT($AH$3:AH166))</f>
        <v/>
      </c>
      <c r="AJ166" s="60" t="str">
        <f t="shared" si="89"/>
        <v/>
      </c>
    </row>
    <row r="167" spans="1:36" ht="16.5">
      <c r="A167" s="6">
        <v>165</v>
      </c>
      <c r="B167" s="9">
        <f t="shared" si="64"/>
        <v>46187</v>
      </c>
      <c r="C167" s="7">
        <f t="shared" si="65"/>
        <v>6</v>
      </c>
      <c r="D167" s="7">
        <f t="shared" si="66"/>
        <v>14</v>
      </c>
      <c r="E167" s="15">
        <f t="shared" si="67"/>
        <v>1</v>
      </c>
      <c r="F167" s="8" t="str">
        <f t="shared" si="68"/>
        <v>휴</v>
      </c>
      <c r="G167" s="58"/>
      <c r="H167" s="12" t="s">
        <v>65</v>
      </c>
      <c r="I167" s="6" t="str">
        <f t="shared" si="69"/>
        <v>휴무</v>
      </c>
      <c r="J167" s="6" t="str">
        <f t="shared" si="70"/>
        <v/>
      </c>
      <c r="K167" s="6" t="str">
        <f>IF(J167="","",COUNT($J$3:J167))</f>
        <v/>
      </c>
      <c r="L167" s="6" t="str">
        <f t="shared" si="76"/>
        <v/>
      </c>
      <c r="M167" s="6" t="str">
        <f t="shared" si="77"/>
        <v/>
      </c>
      <c r="N167" s="6" t="str">
        <f t="shared" si="78"/>
        <v/>
      </c>
      <c r="O167" s="6" t="str">
        <f t="shared" si="79"/>
        <v/>
      </c>
      <c r="P167" s="32" t="str">
        <f t="shared" si="71"/>
        <v/>
      </c>
      <c r="Q167" s="13" t="str">
        <f t="shared" si="90"/>
        <v>-</v>
      </c>
      <c r="R167" s="13" t="str">
        <f t="shared" si="91"/>
        <v>-</v>
      </c>
      <c r="S167" s="13" t="str">
        <f t="shared" si="92"/>
        <v>-</v>
      </c>
      <c r="T167" s="13" t="str">
        <f t="shared" si="93"/>
        <v>-</v>
      </c>
      <c r="U167" s="31" t="str">
        <f t="shared" si="72"/>
        <v>-</v>
      </c>
      <c r="V167" s="6" t="str">
        <f t="shared" si="73"/>
        <v/>
      </c>
      <c r="W167" s="6" t="str">
        <f>IF(V167="","",COUNT($V$3:V167))</f>
        <v/>
      </c>
      <c r="X167" s="6" t="str">
        <f t="shared" si="80"/>
        <v/>
      </c>
      <c r="Y167" s="6" t="str">
        <f t="shared" si="81"/>
        <v/>
      </c>
      <c r="Z167" s="6" t="str">
        <f t="shared" si="82"/>
        <v/>
      </c>
      <c r="AA167" s="6" t="str">
        <f t="shared" si="83"/>
        <v/>
      </c>
      <c r="AB167" s="32" t="str">
        <f t="shared" si="74"/>
        <v/>
      </c>
      <c r="AC167" s="13" t="str">
        <f t="shared" si="84"/>
        <v>-</v>
      </c>
      <c r="AD167" s="13" t="str">
        <f t="shared" si="85"/>
        <v>-</v>
      </c>
      <c r="AE167" s="13" t="str">
        <f t="shared" si="86"/>
        <v>-</v>
      </c>
      <c r="AF167" s="13" t="str">
        <f t="shared" si="87"/>
        <v>-</v>
      </c>
      <c r="AG167" s="31" t="str">
        <f t="shared" si="75"/>
        <v>-</v>
      </c>
      <c r="AH167" s="2" t="str">
        <f t="shared" si="88"/>
        <v/>
      </c>
      <c r="AI167" s="2" t="str">
        <f>IF(AH167="","",COUNT($AH$3:AH167))</f>
        <v/>
      </c>
      <c r="AJ167" s="60" t="str">
        <f t="shared" si="89"/>
        <v/>
      </c>
    </row>
    <row r="168" spans="1:36" ht="16.5">
      <c r="A168" s="6">
        <v>166</v>
      </c>
      <c r="B168" s="9">
        <f t="shared" si="64"/>
        <v>46188</v>
      </c>
      <c r="C168" s="7">
        <f t="shared" si="65"/>
        <v>6</v>
      </c>
      <c r="D168" s="7">
        <f t="shared" si="66"/>
        <v>15</v>
      </c>
      <c r="E168" s="15">
        <f t="shared" si="67"/>
        <v>2</v>
      </c>
      <c r="F168" s="8" t="str">
        <f t="shared" si="68"/>
        <v/>
      </c>
      <c r="G168" s="58"/>
      <c r="H168" s="12" t="s">
        <v>63</v>
      </c>
      <c r="I168" s="6" t="str">
        <f t="shared" si="69"/>
        <v>야간</v>
      </c>
      <c r="J168" s="6" t="str">
        <f t="shared" si="70"/>
        <v/>
      </c>
      <c r="K168" s="6" t="str">
        <f>IF(J168="","",COUNT($J$3:J168))</f>
        <v/>
      </c>
      <c r="L168" s="6" t="str">
        <f t="shared" si="76"/>
        <v/>
      </c>
      <c r="M168" s="6" t="str">
        <f t="shared" si="77"/>
        <v/>
      </c>
      <c r="N168" s="6" t="str">
        <f t="shared" si="78"/>
        <v/>
      </c>
      <c r="O168" s="6" t="str">
        <f t="shared" si="79"/>
        <v/>
      </c>
      <c r="P168" s="32" t="str">
        <f t="shared" si="71"/>
        <v/>
      </c>
      <c r="Q168" s="13" t="str">
        <f t="shared" si="90"/>
        <v>-</v>
      </c>
      <c r="R168" s="13" t="str">
        <f t="shared" si="91"/>
        <v>-</v>
      </c>
      <c r="S168" s="13" t="str">
        <f t="shared" si="92"/>
        <v>-</v>
      </c>
      <c r="T168" s="13" t="str">
        <f t="shared" si="93"/>
        <v>-</v>
      </c>
      <c r="U168" s="31" t="str">
        <f t="shared" si="72"/>
        <v>-</v>
      </c>
      <c r="V168" s="6">
        <f t="shared" si="73"/>
        <v>1</v>
      </c>
      <c r="W168" s="6">
        <f>IF(V168="","",COUNT($V$3:V168))</f>
        <v>56</v>
      </c>
      <c r="X168" s="6">
        <f t="shared" si="80"/>
        <v>4</v>
      </c>
      <c r="Y168" s="6">
        <f t="shared" si="81"/>
        <v>1</v>
      </c>
      <c r="Z168" s="6">
        <f t="shared" si="82"/>
        <v>2</v>
      </c>
      <c r="AA168" s="6">
        <f t="shared" si="83"/>
        <v>3</v>
      </c>
      <c r="AB168" s="32">
        <f t="shared" si="74"/>
        <v>1</v>
      </c>
      <c r="AC168" s="13" t="str">
        <f t="shared" si="84"/>
        <v>정윤준</v>
      </c>
      <c r="AD168" s="13" t="str">
        <f t="shared" si="85"/>
        <v>이기수</v>
      </c>
      <c r="AE168" s="13" t="str">
        <f t="shared" si="86"/>
        <v>박성현</v>
      </c>
      <c r="AF168" s="13" t="str">
        <f t="shared" si="87"/>
        <v>허지웅</v>
      </c>
      <c r="AG168" s="31" t="str">
        <f t="shared" si="75"/>
        <v>허지웅</v>
      </c>
      <c r="AH168" s="2" t="str">
        <f t="shared" si="88"/>
        <v/>
      </c>
      <c r="AI168" s="2" t="str">
        <f>IF(AH168="","",COUNT($AH$3:AH168))</f>
        <v/>
      </c>
      <c r="AJ168" s="60" t="str">
        <f t="shared" si="89"/>
        <v/>
      </c>
    </row>
    <row r="169" spans="1:36" ht="16.5">
      <c r="A169" s="6">
        <v>167</v>
      </c>
      <c r="B169" s="9">
        <f t="shared" si="64"/>
        <v>46189</v>
      </c>
      <c r="C169" s="7">
        <f t="shared" si="65"/>
        <v>6</v>
      </c>
      <c r="D169" s="7">
        <f t="shared" si="66"/>
        <v>16</v>
      </c>
      <c r="E169" s="15">
        <f t="shared" si="67"/>
        <v>3</v>
      </c>
      <c r="F169" s="8" t="str">
        <f t="shared" si="68"/>
        <v/>
      </c>
      <c r="G169" s="58"/>
      <c r="H169" s="12" t="s">
        <v>64</v>
      </c>
      <c r="I169" s="6" t="str">
        <f t="shared" si="69"/>
        <v>비번</v>
      </c>
      <c r="J169" s="6" t="str">
        <f t="shared" si="70"/>
        <v/>
      </c>
      <c r="K169" s="6" t="str">
        <f>IF(J169="","",COUNT($J$3:J169))</f>
        <v/>
      </c>
      <c r="L169" s="6" t="str">
        <f t="shared" si="76"/>
        <v/>
      </c>
      <c r="M169" s="6" t="str">
        <f t="shared" si="77"/>
        <v/>
      </c>
      <c r="N169" s="6" t="str">
        <f t="shared" si="78"/>
        <v/>
      </c>
      <c r="O169" s="6" t="str">
        <f t="shared" si="79"/>
        <v/>
      </c>
      <c r="P169" s="32" t="str">
        <f t="shared" si="71"/>
        <v/>
      </c>
      <c r="Q169" s="13" t="str">
        <f t="shared" si="90"/>
        <v>-</v>
      </c>
      <c r="R169" s="13" t="str">
        <f t="shared" si="91"/>
        <v>-</v>
      </c>
      <c r="S169" s="13" t="str">
        <f t="shared" si="92"/>
        <v>-</v>
      </c>
      <c r="T169" s="13" t="str">
        <f t="shared" si="93"/>
        <v>-</v>
      </c>
      <c r="U169" s="31" t="str">
        <f t="shared" si="72"/>
        <v>-</v>
      </c>
      <c r="V169" s="6" t="str">
        <f t="shared" si="73"/>
        <v/>
      </c>
      <c r="W169" s="6" t="str">
        <f>IF(V169="","",COUNT($V$3:V169))</f>
        <v/>
      </c>
      <c r="X169" s="6" t="str">
        <f t="shared" si="80"/>
        <v/>
      </c>
      <c r="Y169" s="6" t="str">
        <f t="shared" si="81"/>
        <v/>
      </c>
      <c r="Z169" s="6" t="str">
        <f t="shared" si="82"/>
        <v/>
      </c>
      <c r="AA169" s="6" t="str">
        <f t="shared" si="83"/>
        <v/>
      </c>
      <c r="AB169" s="32" t="str">
        <f t="shared" si="74"/>
        <v/>
      </c>
      <c r="AC169" s="13" t="str">
        <f t="shared" si="84"/>
        <v>-</v>
      </c>
      <c r="AD169" s="13" t="str">
        <f t="shared" si="85"/>
        <v>-</v>
      </c>
      <c r="AE169" s="13" t="str">
        <f t="shared" si="86"/>
        <v>-</v>
      </c>
      <c r="AF169" s="13" t="str">
        <f t="shared" si="87"/>
        <v>-</v>
      </c>
      <c r="AG169" s="31" t="str">
        <f t="shared" si="75"/>
        <v>-</v>
      </c>
      <c r="AH169" s="2" t="str">
        <f t="shared" si="88"/>
        <v/>
      </c>
      <c r="AI169" s="2" t="str">
        <f>IF(AH169="","",COUNT($AH$3:AH169))</f>
        <v/>
      </c>
      <c r="AJ169" s="60" t="str">
        <f t="shared" si="89"/>
        <v/>
      </c>
    </row>
    <row r="170" spans="1:36" ht="16.5">
      <c r="A170" s="6">
        <v>168</v>
      </c>
      <c r="B170" s="9">
        <f t="shared" si="64"/>
        <v>46190</v>
      </c>
      <c r="C170" s="7">
        <f t="shared" si="65"/>
        <v>6</v>
      </c>
      <c r="D170" s="7">
        <f t="shared" si="66"/>
        <v>17</v>
      </c>
      <c r="E170" s="15">
        <f t="shared" si="67"/>
        <v>4</v>
      </c>
      <c r="F170" s="8" t="str">
        <f t="shared" si="68"/>
        <v/>
      </c>
      <c r="G170" s="58"/>
      <c r="H170" s="12" t="s">
        <v>65</v>
      </c>
      <c r="I170" s="6" t="str">
        <f t="shared" si="69"/>
        <v>주간</v>
      </c>
      <c r="J170" s="6">
        <f t="shared" si="70"/>
        <v>1</v>
      </c>
      <c r="K170" s="6">
        <f>IF(J170="","",COUNT($J$3:J170))</f>
        <v>39</v>
      </c>
      <c r="L170" s="6">
        <f t="shared" si="76"/>
        <v>1</v>
      </c>
      <c r="M170" s="6">
        <f t="shared" si="77"/>
        <v>2</v>
      </c>
      <c r="N170" s="6">
        <f t="shared" si="78"/>
        <v>3</v>
      </c>
      <c r="O170" s="6">
        <f t="shared" si="79"/>
        <v>4</v>
      </c>
      <c r="P170" s="32">
        <f t="shared" si="71"/>
        <v>4</v>
      </c>
      <c r="Q170" s="13" t="str">
        <f t="shared" si="90"/>
        <v>이기수</v>
      </c>
      <c r="R170" s="13" t="str">
        <f t="shared" si="91"/>
        <v>박성현</v>
      </c>
      <c r="S170" s="13" t="str">
        <f t="shared" si="92"/>
        <v>허지웅</v>
      </c>
      <c r="T170" s="13" t="str">
        <f t="shared" si="93"/>
        <v>정윤준</v>
      </c>
      <c r="U170" s="31" t="e">
        <f t="shared" si="72"/>
        <v>#VALUE!</v>
      </c>
      <c r="V170" s="6" t="str">
        <f t="shared" si="73"/>
        <v/>
      </c>
      <c r="W170" s="6" t="str">
        <f>IF(V170="","",COUNT($V$3:V170))</f>
        <v/>
      </c>
      <c r="X170" s="6" t="str">
        <f t="shared" si="80"/>
        <v/>
      </c>
      <c r="Y170" s="6" t="str">
        <f t="shared" si="81"/>
        <v/>
      </c>
      <c r="Z170" s="6" t="str">
        <f t="shared" si="82"/>
        <v/>
      </c>
      <c r="AA170" s="6" t="str">
        <f t="shared" si="83"/>
        <v/>
      </c>
      <c r="AB170" s="32" t="str">
        <f t="shared" si="74"/>
        <v/>
      </c>
      <c r="AC170" s="13" t="str">
        <f t="shared" si="84"/>
        <v>-</v>
      </c>
      <c r="AD170" s="13" t="str">
        <f t="shared" si="85"/>
        <v>-</v>
      </c>
      <c r="AE170" s="13" t="str">
        <f t="shared" si="86"/>
        <v>-</v>
      </c>
      <c r="AF170" s="13" t="str">
        <f t="shared" si="87"/>
        <v>-</v>
      </c>
      <c r="AG170" s="31" t="str">
        <f t="shared" si="75"/>
        <v>-</v>
      </c>
      <c r="AH170" s="2" t="str">
        <f t="shared" si="88"/>
        <v/>
      </c>
      <c r="AI170" s="2" t="str">
        <f>IF(AH170="","",COUNT($AH$3:AH170))</f>
        <v/>
      </c>
      <c r="AJ170" s="60" t="str">
        <f t="shared" si="89"/>
        <v/>
      </c>
    </row>
    <row r="171" spans="1:36" ht="16.5">
      <c r="A171" s="6">
        <v>169</v>
      </c>
      <c r="B171" s="9">
        <f t="shared" si="64"/>
        <v>46191</v>
      </c>
      <c r="C171" s="7">
        <f t="shared" si="65"/>
        <v>6</v>
      </c>
      <c r="D171" s="7">
        <f t="shared" si="66"/>
        <v>18</v>
      </c>
      <c r="E171" s="15">
        <f t="shared" si="67"/>
        <v>5</v>
      </c>
      <c r="F171" s="8" t="str">
        <f t="shared" si="68"/>
        <v/>
      </c>
      <c r="G171" s="58"/>
      <c r="H171" s="12" t="s">
        <v>63</v>
      </c>
      <c r="I171" s="6" t="str">
        <f t="shared" si="69"/>
        <v>야간</v>
      </c>
      <c r="J171" s="6" t="str">
        <f t="shared" si="70"/>
        <v/>
      </c>
      <c r="K171" s="6" t="str">
        <f>IF(J171="","",COUNT($J$3:J171))</f>
        <v/>
      </c>
      <c r="L171" s="6" t="str">
        <f t="shared" si="76"/>
        <v/>
      </c>
      <c r="M171" s="6" t="str">
        <f t="shared" si="77"/>
        <v/>
      </c>
      <c r="N171" s="6" t="str">
        <f t="shared" si="78"/>
        <v/>
      </c>
      <c r="O171" s="6" t="str">
        <f t="shared" si="79"/>
        <v/>
      </c>
      <c r="P171" s="32" t="str">
        <f t="shared" si="71"/>
        <v/>
      </c>
      <c r="Q171" s="13" t="str">
        <f t="shared" si="90"/>
        <v>-</v>
      </c>
      <c r="R171" s="13" t="str">
        <f t="shared" si="91"/>
        <v>-</v>
      </c>
      <c r="S171" s="13" t="str">
        <f t="shared" si="92"/>
        <v>-</v>
      </c>
      <c r="T171" s="13" t="str">
        <f t="shared" si="93"/>
        <v>-</v>
      </c>
      <c r="U171" s="31" t="str">
        <f t="shared" si="72"/>
        <v>-</v>
      </c>
      <c r="V171" s="6">
        <f t="shared" si="73"/>
        <v>1</v>
      </c>
      <c r="W171" s="6">
        <f>IF(V171="","",COUNT($V$3:V171))</f>
        <v>57</v>
      </c>
      <c r="X171" s="6">
        <f t="shared" si="80"/>
        <v>3</v>
      </c>
      <c r="Y171" s="6">
        <f t="shared" si="81"/>
        <v>4</v>
      </c>
      <c r="Z171" s="6">
        <f t="shared" si="82"/>
        <v>1</v>
      </c>
      <c r="AA171" s="6">
        <f t="shared" si="83"/>
        <v>2</v>
      </c>
      <c r="AB171" s="32">
        <f t="shared" si="74"/>
        <v>2</v>
      </c>
      <c r="AC171" s="13" t="str">
        <f t="shared" si="84"/>
        <v>허지웅</v>
      </c>
      <c r="AD171" s="13" t="str">
        <f t="shared" si="85"/>
        <v>정윤준</v>
      </c>
      <c r="AE171" s="13" t="str">
        <f t="shared" si="86"/>
        <v>이기수</v>
      </c>
      <c r="AF171" s="13" t="str">
        <f t="shared" si="87"/>
        <v>박성현</v>
      </c>
      <c r="AG171" s="31" t="str">
        <f t="shared" si="75"/>
        <v>장혁진</v>
      </c>
      <c r="AH171" s="2" t="str">
        <f t="shared" si="88"/>
        <v/>
      </c>
      <c r="AI171" s="2" t="str">
        <f>IF(AH171="","",COUNT($AH$3:AH171))</f>
        <v/>
      </c>
      <c r="AJ171" s="60" t="str">
        <f t="shared" si="89"/>
        <v/>
      </c>
    </row>
    <row r="172" spans="1:36" ht="16.5">
      <c r="A172" s="6">
        <v>170</v>
      </c>
      <c r="B172" s="9">
        <f t="shared" si="64"/>
        <v>46192</v>
      </c>
      <c r="C172" s="7">
        <f t="shared" si="65"/>
        <v>6</v>
      </c>
      <c r="D172" s="7">
        <f t="shared" si="66"/>
        <v>19</v>
      </c>
      <c r="E172" s="15">
        <f t="shared" si="67"/>
        <v>6</v>
      </c>
      <c r="F172" s="8" t="str">
        <f t="shared" si="68"/>
        <v/>
      </c>
      <c r="G172" s="58"/>
      <c r="H172" s="12" t="s">
        <v>64</v>
      </c>
      <c r="I172" s="6" t="str">
        <f t="shared" si="69"/>
        <v>비번</v>
      </c>
      <c r="J172" s="6" t="str">
        <f t="shared" si="70"/>
        <v/>
      </c>
      <c r="K172" s="6" t="str">
        <f>IF(J172="","",COUNT($J$3:J172))</f>
        <v/>
      </c>
      <c r="L172" s="6" t="str">
        <f t="shared" si="76"/>
        <v/>
      </c>
      <c r="M172" s="6" t="str">
        <f t="shared" si="77"/>
        <v/>
      </c>
      <c r="N172" s="6" t="str">
        <f t="shared" si="78"/>
        <v/>
      </c>
      <c r="O172" s="6" t="str">
        <f t="shared" si="79"/>
        <v/>
      </c>
      <c r="P172" s="32" t="str">
        <f t="shared" si="71"/>
        <v/>
      </c>
      <c r="Q172" s="13" t="str">
        <f t="shared" si="90"/>
        <v>-</v>
      </c>
      <c r="R172" s="13" t="str">
        <f t="shared" si="91"/>
        <v>-</v>
      </c>
      <c r="S172" s="13" t="str">
        <f t="shared" si="92"/>
        <v>-</v>
      </c>
      <c r="T172" s="13" t="str">
        <f t="shared" si="93"/>
        <v>-</v>
      </c>
      <c r="U172" s="31" t="str">
        <f t="shared" si="72"/>
        <v>-</v>
      </c>
      <c r="V172" s="6" t="str">
        <f t="shared" si="73"/>
        <v/>
      </c>
      <c r="W172" s="6" t="str">
        <f>IF(V172="","",COUNT($V$3:V172))</f>
        <v/>
      </c>
      <c r="X172" s="6" t="str">
        <f t="shared" si="80"/>
        <v/>
      </c>
      <c r="Y172" s="6" t="str">
        <f t="shared" si="81"/>
        <v/>
      </c>
      <c r="Z172" s="6" t="str">
        <f t="shared" si="82"/>
        <v/>
      </c>
      <c r="AA172" s="6" t="str">
        <f t="shared" si="83"/>
        <v/>
      </c>
      <c r="AB172" s="32" t="str">
        <f t="shared" si="74"/>
        <v/>
      </c>
      <c r="AC172" s="13" t="str">
        <f t="shared" si="84"/>
        <v>-</v>
      </c>
      <c r="AD172" s="13" t="str">
        <f t="shared" si="85"/>
        <v>-</v>
      </c>
      <c r="AE172" s="13" t="str">
        <f t="shared" si="86"/>
        <v>-</v>
      </c>
      <c r="AF172" s="13" t="str">
        <f t="shared" si="87"/>
        <v>-</v>
      </c>
      <c r="AG172" s="31" t="str">
        <f t="shared" si="75"/>
        <v>-</v>
      </c>
      <c r="AH172" s="2" t="str">
        <f t="shared" si="88"/>
        <v/>
      </c>
      <c r="AI172" s="2" t="str">
        <f>IF(AH172="","",COUNT($AH$3:AH172))</f>
        <v/>
      </c>
      <c r="AJ172" s="60" t="str">
        <f t="shared" si="89"/>
        <v/>
      </c>
    </row>
    <row r="173" spans="1:36" ht="16.5">
      <c r="A173" s="6">
        <v>171</v>
      </c>
      <c r="B173" s="9">
        <f t="shared" si="64"/>
        <v>46193</v>
      </c>
      <c r="C173" s="7">
        <f t="shared" si="65"/>
        <v>6</v>
      </c>
      <c r="D173" s="7">
        <f t="shared" si="66"/>
        <v>20</v>
      </c>
      <c r="E173" s="15">
        <f t="shared" si="67"/>
        <v>7</v>
      </c>
      <c r="F173" s="8" t="str">
        <f t="shared" si="68"/>
        <v>휴</v>
      </c>
      <c r="G173" s="58"/>
      <c r="H173" s="12" t="s">
        <v>65</v>
      </c>
      <c r="I173" s="6" t="str">
        <f t="shared" si="69"/>
        <v>휴무</v>
      </c>
      <c r="J173" s="6" t="str">
        <f t="shared" si="70"/>
        <v/>
      </c>
      <c r="K173" s="6" t="str">
        <f>IF(J173="","",COUNT($J$3:J173))</f>
        <v/>
      </c>
      <c r="L173" s="6" t="str">
        <f t="shared" si="76"/>
        <v/>
      </c>
      <c r="M173" s="6" t="str">
        <f t="shared" si="77"/>
        <v/>
      </c>
      <c r="N173" s="6" t="str">
        <f t="shared" si="78"/>
        <v/>
      </c>
      <c r="O173" s="6" t="str">
        <f t="shared" si="79"/>
        <v/>
      </c>
      <c r="P173" s="32" t="str">
        <f t="shared" si="71"/>
        <v/>
      </c>
      <c r="Q173" s="13" t="str">
        <f t="shared" si="90"/>
        <v>-</v>
      </c>
      <c r="R173" s="13" t="str">
        <f t="shared" si="91"/>
        <v>-</v>
      </c>
      <c r="S173" s="13" t="str">
        <f t="shared" si="92"/>
        <v>-</v>
      </c>
      <c r="T173" s="13" t="str">
        <f t="shared" si="93"/>
        <v>-</v>
      </c>
      <c r="U173" s="31" t="str">
        <f t="shared" si="72"/>
        <v>-</v>
      </c>
      <c r="V173" s="6" t="str">
        <f t="shared" si="73"/>
        <v/>
      </c>
      <c r="W173" s="6" t="str">
        <f>IF(V173="","",COUNT($V$3:V173))</f>
        <v/>
      </c>
      <c r="X173" s="6" t="str">
        <f t="shared" si="80"/>
        <v/>
      </c>
      <c r="Y173" s="6" t="str">
        <f t="shared" si="81"/>
        <v/>
      </c>
      <c r="Z173" s="6" t="str">
        <f t="shared" si="82"/>
        <v/>
      </c>
      <c r="AA173" s="6" t="str">
        <f t="shared" si="83"/>
        <v/>
      </c>
      <c r="AB173" s="32" t="str">
        <f t="shared" si="74"/>
        <v/>
      </c>
      <c r="AC173" s="13" t="str">
        <f t="shared" si="84"/>
        <v>-</v>
      </c>
      <c r="AD173" s="13" t="str">
        <f t="shared" si="85"/>
        <v>-</v>
      </c>
      <c r="AE173" s="13" t="str">
        <f t="shared" si="86"/>
        <v>-</v>
      </c>
      <c r="AF173" s="13" t="str">
        <f t="shared" si="87"/>
        <v>-</v>
      </c>
      <c r="AG173" s="31" t="str">
        <f t="shared" si="75"/>
        <v>-</v>
      </c>
      <c r="AH173" s="2" t="str">
        <f t="shared" si="88"/>
        <v/>
      </c>
      <c r="AI173" s="2" t="str">
        <f>IF(AH173="","",COUNT($AH$3:AH173))</f>
        <v/>
      </c>
      <c r="AJ173" s="60" t="str">
        <f t="shared" si="89"/>
        <v/>
      </c>
    </row>
    <row r="174" spans="1:36" ht="16.5">
      <c r="A174" s="6">
        <v>172</v>
      </c>
      <c r="B174" s="9">
        <f t="shared" si="64"/>
        <v>46194</v>
      </c>
      <c r="C174" s="7">
        <f t="shared" si="65"/>
        <v>6</v>
      </c>
      <c r="D174" s="7">
        <f t="shared" si="66"/>
        <v>21</v>
      </c>
      <c r="E174" s="15">
        <f t="shared" si="67"/>
        <v>1</v>
      </c>
      <c r="F174" s="8" t="str">
        <f t="shared" si="68"/>
        <v>휴</v>
      </c>
      <c r="G174" s="58"/>
      <c r="H174" s="12" t="s">
        <v>63</v>
      </c>
      <c r="I174" s="6" t="str">
        <f t="shared" si="69"/>
        <v>당직</v>
      </c>
      <c r="J174" s="6" t="str">
        <f t="shared" si="70"/>
        <v/>
      </c>
      <c r="K174" s="6" t="str">
        <f>IF(J174="","",COUNT($J$3:J174))</f>
        <v/>
      </c>
      <c r="L174" s="6" t="str">
        <f t="shared" si="76"/>
        <v/>
      </c>
      <c r="M174" s="6" t="str">
        <f t="shared" si="77"/>
        <v/>
      </c>
      <c r="N174" s="6" t="str">
        <f t="shared" si="78"/>
        <v/>
      </c>
      <c r="O174" s="6" t="str">
        <f t="shared" si="79"/>
        <v/>
      </c>
      <c r="P174" s="32" t="str">
        <f t="shared" si="71"/>
        <v/>
      </c>
      <c r="Q174" s="13" t="str">
        <f t="shared" si="90"/>
        <v>-</v>
      </c>
      <c r="R174" s="13" t="str">
        <f t="shared" si="91"/>
        <v>-</v>
      </c>
      <c r="S174" s="13" t="str">
        <f t="shared" si="92"/>
        <v>-</v>
      </c>
      <c r="T174" s="13" t="str">
        <f t="shared" si="93"/>
        <v>-</v>
      </c>
      <c r="U174" s="31" t="str">
        <f t="shared" si="72"/>
        <v>-</v>
      </c>
      <c r="V174" s="6">
        <f t="shared" si="73"/>
        <v>1</v>
      </c>
      <c r="W174" s="6">
        <f>IF(V174="","",COUNT($V$3:V174))</f>
        <v>58</v>
      </c>
      <c r="X174" s="6">
        <f t="shared" si="80"/>
        <v>2</v>
      </c>
      <c r="Y174" s="6">
        <f t="shared" si="81"/>
        <v>3</v>
      </c>
      <c r="Z174" s="6">
        <f t="shared" si="82"/>
        <v>4</v>
      </c>
      <c r="AA174" s="6">
        <f t="shared" si="83"/>
        <v>1</v>
      </c>
      <c r="AB174" s="32">
        <f t="shared" si="74"/>
        <v>3</v>
      </c>
      <c r="AC174" s="13" t="str">
        <f t="shared" si="84"/>
        <v>박성현</v>
      </c>
      <c r="AD174" s="13" t="str">
        <f t="shared" si="85"/>
        <v>허지웅</v>
      </c>
      <c r="AE174" s="13" t="str">
        <f t="shared" si="86"/>
        <v>정윤준</v>
      </c>
      <c r="AF174" s="13" t="str">
        <f t="shared" si="87"/>
        <v>이기수</v>
      </c>
      <c r="AG174" s="31" t="str">
        <f t="shared" si="75"/>
        <v>이기수</v>
      </c>
      <c r="AH174" s="2" t="str">
        <f t="shared" si="88"/>
        <v/>
      </c>
      <c r="AI174" s="2" t="str">
        <f>IF(AH174="","",COUNT($AH$3:AH174))</f>
        <v/>
      </c>
      <c r="AJ174" s="60" t="str">
        <f t="shared" si="89"/>
        <v/>
      </c>
    </row>
    <row r="175" spans="1:36" ht="16.5">
      <c r="A175" s="6">
        <v>173</v>
      </c>
      <c r="B175" s="9">
        <f t="shared" si="64"/>
        <v>46195</v>
      </c>
      <c r="C175" s="7">
        <f t="shared" si="65"/>
        <v>6</v>
      </c>
      <c r="D175" s="7">
        <f t="shared" si="66"/>
        <v>22</v>
      </c>
      <c r="E175" s="15">
        <f t="shared" si="67"/>
        <v>2</v>
      </c>
      <c r="F175" s="8" t="str">
        <f t="shared" si="68"/>
        <v/>
      </c>
      <c r="G175" s="58"/>
      <c r="H175" s="12" t="s">
        <v>64</v>
      </c>
      <c r="I175" s="6" t="str">
        <f t="shared" si="69"/>
        <v>비번</v>
      </c>
      <c r="J175" s="6" t="str">
        <f t="shared" si="70"/>
        <v/>
      </c>
      <c r="K175" s="6" t="str">
        <f>IF(J175="","",COUNT($J$3:J175))</f>
        <v/>
      </c>
      <c r="L175" s="6" t="str">
        <f t="shared" si="76"/>
        <v/>
      </c>
      <c r="M175" s="6" t="str">
        <f t="shared" si="77"/>
        <v/>
      </c>
      <c r="N175" s="6" t="str">
        <f t="shared" si="78"/>
        <v/>
      </c>
      <c r="O175" s="6" t="str">
        <f t="shared" si="79"/>
        <v/>
      </c>
      <c r="P175" s="32" t="str">
        <f t="shared" si="71"/>
        <v/>
      </c>
      <c r="Q175" s="13" t="str">
        <f t="shared" si="90"/>
        <v>-</v>
      </c>
      <c r="R175" s="13" t="str">
        <f t="shared" si="91"/>
        <v>-</v>
      </c>
      <c r="S175" s="13" t="str">
        <f t="shared" si="92"/>
        <v>-</v>
      </c>
      <c r="T175" s="13" t="str">
        <f t="shared" si="93"/>
        <v>-</v>
      </c>
      <c r="U175" s="31" t="str">
        <f t="shared" si="72"/>
        <v>-</v>
      </c>
      <c r="V175" s="6" t="str">
        <f t="shared" si="73"/>
        <v/>
      </c>
      <c r="W175" s="6" t="str">
        <f>IF(V175="","",COUNT($V$3:V175))</f>
        <v/>
      </c>
      <c r="X175" s="6" t="str">
        <f t="shared" si="80"/>
        <v/>
      </c>
      <c r="Y175" s="6" t="str">
        <f t="shared" si="81"/>
        <v/>
      </c>
      <c r="Z175" s="6" t="str">
        <f t="shared" si="82"/>
        <v/>
      </c>
      <c r="AA175" s="6" t="str">
        <f t="shared" si="83"/>
        <v/>
      </c>
      <c r="AB175" s="32" t="str">
        <f t="shared" si="74"/>
        <v/>
      </c>
      <c r="AC175" s="13" t="str">
        <f t="shared" si="84"/>
        <v>-</v>
      </c>
      <c r="AD175" s="13" t="str">
        <f t="shared" si="85"/>
        <v>-</v>
      </c>
      <c r="AE175" s="13" t="str">
        <f t="shared" si="86"/>
        <v>-</v>
      </c>
      <c r="AF175" s="13" t="str">
        <f t="shared" si="87"/>
        <v>-</v>
      </c>
      <c r="AG175" s="31" t="str">
        <f t="shared" si="75"/>
        <v>-</v>
      </c>
      <c r="AH175" s="2" t="str">
        <f t="shared" si="88"/>
        <v/>
      </c>
      <c r="AI175" s="2" t="str">
        <f>IF(AH175="","",COUNT($AH$3:AH175))</f>
        <v/>
      </c>
      <c r="AJ175" s="60" t="str">
        <f t="shared" si="89"/>
        <v/>
      </c>
    </row>
    <row r="176" spans="1:36" ht="16.5">
      <c r="A176" s="6">
        <v>174</v>
      </c>
      <c r="B176" s="9">
        <f t="shared" si="64"/>
        <v>46196</v>
      </c>
      <c r="C176" s="7">
        <f t="shared" si="65"/>
        <v>6</v>
      </c>
      <c r="D176" s="7">
        <f t="shared" si="66"/>
        <v>23</v>
      </c>
      <c r="E176" s="15">
        <f t="shared" si="67"/>
        <v>3</v>
      </c>
      <c r="F176" s="8" t="str">
        <f t="shared" si="68"/>
        <v/>
      </c>
      <c r="G176" s="58"/>
      <c r="H176" s="12" t="s">
        <v>65</v>
      </c>
      <c r="I176" s="6" t="str">
        <f t="shared" si="69"/>
        <v>주간</v>
      </c>
      <c r="J176" s="6">
        <f t="shared" si="70"/>
        <v>1</v>
      </c>
      <c r="K176" s="6">
        <f>IF(J176="","",COUNT($J$3:J176))</f>
        <v>40</v>
      </c>
      <c r="L176" s="6">
        <f t="shared" si="76"/>
        <v>4</v>
      </c>
      <c r="M176" s="6">
        <f t="shared" si="77"/>
        <v>1</v>
      </c>
      <c r="N176" s="6">
        <f t="shared" si="78"/>
        <v>2</v>
      </c>
      <c r="O176" s="6">
        <f t="shared" si="79"/>
        <v>3</v>
      </c>
      <c r="P176" s="32">
        <f t="shared" si="71"/>
        <v>0</v>
      </c>
      <c r="Q176" s="13" t="str">
        <f t="shared" si="90"/>
        <v>정윤준</v>
      </c>
      <c r="R176" s="13" t="str">
        <f t="shared" si="91"/>
        <v>이기수</v>
      </c>
      <c r="S176" s="13" t="str">
        <f t="shared" si="92"/>
        <v>박성현</v>
      </c>
      <c r="T176" s="13" t="str">
        <f t="shared" si="93"/>
        <v>허지웅</v>
      </c>
      <c r="U176" s="31" t="str">
        <f t="shared" si="72"/>
        <v>장혁진</v>
      </c>
      <c r="V176" s="6" t="str">
        <f t="shared" si="73"/>
        <v/>
      </c>
      <c r="W176" s="6" t="str">
        <f>IF(V176="","",COUNT($V$3:V176))</f>
        <v/>
      </c>
      <c r="X176" s="6" t="str">
        <f t="shared" si="80"/>
        <v/>
      </c>
      <c r="Y176" s="6" t="str">
        <f t="shared" si="81"/>
        <v/>
      </c>
      <c r="Z176" s="6" t="str">
        <f t="shared" si="82"/>
        <v/>
      </c>
      <c r="AA176" s="6" t="str">
        <f t="shared" si="83"/>
        <v/>
      </c>
      <c r="AB176" s="32" t="str">
        <f t="shared" si="74"/>
        <v/>
      </c>
      <c r="AC176" s="13" t="str">
        <f t="shared" si="84"/>
        <v>-</v>
      </c>
      <c r="AD176" s="13" t="str">
        <f t="shared" si="85"/>
        <v>-</v>
      </c>
      <c r="AE176" s="13" t="str">
        <f t="shared" si="86"/>
        <v>-</v>
      </c>
      <c r="AF176" s="13" t="str">
        <f t="shared" si="87"/>
        <v>-</v>
      </c>
      <c r="AG176" s="31" t="str">
        <f t="shared" si="75"/>
        <v>-</v>
      </c>
      <c r="AH176" s="2" t="str">
        <f t="shared" si="88"/>
        <v/>
      </c>
      <c r="AI176" s="2" t="str">
        <f>IF(AH176="","",COUNT($AH$3:AH176))</f>
        <v/>
      </c>
      <c r="AJ176" s="60" t="str">
        <f t="shared" si="89"/>
        <v/>
      </c>
    </row>
    <row r="177" spans="1:36" ht="16.5">
      <c r="A177" s="6">
        <v>175</v>
      </c>
      <c r="B177" s="9">
        <f t="shared" si="64"/>
        <v>46197</v>
      </c>
      <c r="C177" s="7">
        <f t="shared" si="65"/>
        <v>6</v>
      </c>
      <c r="D177" s="7">
        <f t="shared" si="66"/>
        <v>24</v>
      </c>
      <c r="E177" s="15">
        <f t="shared" si="67"/>
        <v>4</v>
      </c>
      <c r="F177" s="8" t="str">
        <f t="shared" si="68"/>
        <v/>
      </c>
      <c r="G177" s="58"/>
      <c r="H177" s="12" t="s">
        <v>63</v>
      </c>
      <c r="I177" s="6" t="str">
        <f t="shared" si="69"/>
        <v>야간</v>
      </c>
      <c r="J177" s="6" t="str">
        <f t="shared" si="70"/>
        <v/>
      </c>
      <c r="K177" s="6" t="str">
        <f>IF(J177="","",COUNT($J$3:J177))</f>
        <v/>
      </c>
      <c r="L177" s="6" t="str">
        <f t="shared" si="76"/>
        <v/>
      </c>
      <c r="M177" s="6" t="str">
        <f t="shared" si="77"/>
        <v/>
      </c>
      <c r="N177" s="6" t="str">
        <f t="shared" si="78"/>
        <v/>
      </c>
      <c r="O177" s="6" t="str">
        <f t="shared" si="79"/>
        <v/>
      </c>
      <c r="P177" s="32" t="str">
        <f t="shared" si="71"/>
        <v/>
      </c>
      <c r="Q177" s="13" t="str">
        <f t="shared" si="90"/>
        <v>-</v>
      </c>
      <c r="R177" s="13" t="str">
        <f t="shared" si="91"/>
        <v>-</v>
      </c>
      <c r="S177" s="13" t="str">
        <f t="shared" si="92"/>
        <v>-</v>
      </c>
      <c r="T177" s="13" t="str">
        <f t="shared" si="93"/>
        <v>-</v>
      </c>
      <c r="U177" s="31" t="str">
        <f t="shared" si="72"/>
        <v>-</v>
      </c>
      <c r="V177" s="6">
        <f t="shared" si="73"/>
        <v>1</v>
      </c>
      <c r="W177" s="6">
        <f>IF(V177="","",COUNT($V$3:V177))</f>
        <v>59</v>
      </c>
      <c r="X177" s="6">
        <f t="shared" si="80"/>
        <v>1</v>
      </c>
      <c r="Y177" s="6">
        <f t="shared" si="81"/>
        <v>2</v>
      </c>
      <c r="Z177" s="6">
        <f t="shared" si="82"/>
        <v>3</v>
      </c>
      <c r="AA177" s="6">
        <f t="shared" si="83"/>
        <v>4</v>
      </c>
      <c r="AB177" s="32">
        <f t="shared" si="74"/>
        <v>4</v>
      </c>
      <c r="AC177" s="13" t="str">
        <f t="shared" si="84"/>
        <v>이기수</v>
      </c>
      <c r="AD177" s="13" t="str">
        <f t="shared" si="85"/>
        <v>박성현</v>
      </c>
      <c r="AE177" s="13" t="str">
        <f t="shared" si="86"/>
        <v>허지웅</v>
      </c>
      <c r="AF177" s="13" t="str">
        <f t="shared" si="87"/>
        <v>정윤준</v>
      </c>
      <c r="AG177" s="31" t="e">
        <f t="shared" si="75"/>
        <v>#VALUE!</v>
      </c>
      <c r="AH177" s="2">
        <f t="shared" si="88"/>
        <v>1</v>
      </c>
      <c r="AI177" s="2">
        <f>IF(AH177="","",COUNT($AH$3:AH177))</f>
        <v>15</v>
      </c>
      <c r="AJ177" s="60" t="str">
        <f t="shared" si="89"/>
        <v>정윤준</v>
      </c>
    </row>
    <row r="178" spans="1:36" ht="16.5">
      <c r="A178" s="6">
        <v>176</v>
      </c>
      <c r="B178" s="9">
        <f t="shared" si="64"/>
        <v>46198</v>
      </c>
      <c r="C178" s="7">
        <f t="shared" si="65"/>
        <v>6</v>
      </c>
      <c r="D178" s="7">
        <f t="shared" si="66"/>
        <v>25</v>
      </c>
      <c r="E178" s="15">
        <f t="shared" si="67"/>
        <v>5</v>
      </c>
      <c r="F178" s="8" t="str">
        <f t="shared" si="68"/>
        <v/>
      </c>
      <c r="G178" s="58"/>
      <c r="H178" s="12" t="s">
        <v>64</v>
      </c>
      <c r="I178" s="6" t="str">
        <f t="shared" si="69"/>
        <v>비번</v>
      </c>
      <c r="J178" s="6" t="str">
        <f t="shared" si="70"/>
        <v/>
      </c>
      <c r="K178" s="6" t="str">
        <f>IF(J178="","",COUNT($J$3:J178))</f>
        <v/>
      </c>
      <c r="L178" s="6" t="str">
        <f t="shared" si="76"/>
        <v/>
      </c>
      <c r="M178" s="6" t="str">
        <f t="shared" si="77"/>
        <v/>
      </c>
      <c r="N178" s="6" t="str">
        <f t="shared" si="78"/>
        <v/>
      </c>
      <c r="O178" s="6" t="str">
        <f t="shared" si="79"/>
        <v/>
      </c>
      <c r="P178" s="32" t="str">
        <f t="shared" si="71"/>
        <v/>
      </c>
      <c r="Q178" s="13" t="str">
        <f t="shared" si="90"/>
        <v>-</v>
      </c>
      <c r="R178" s="13" t="str">
        <f t="shared" si="91"/>
        <v>-</v>
      </c>
      <c r="S178" s="13" t="str">
        <f t="shared" si="92"/>
        <v>-</v>
      </c>
      <c r="T178" s="13" t="str">
        <f t="shared" si="93"/>
        <v>-</v>
      </c>
      <c r="U178" s="31" t="str">
        <f t="shared" si="72"/>
        <v>-</v>
      </c>
      <c r="V178" s="6" t="str">
        <f t="shared" si="73"/>
        <v/>
      </c>
      <c r="W178" s="6" t="str">
        <f>IF(V178="","",COUNT($V$3:V178))</f>
        <v/>
      </c>
      <c r="X178" s="6" t="str">
        <f t="shared" si="80"/>
        <v/>
      </c>
      <c r="Y178" s="6" t="str">
        <f t="shared" si="81"/>
        <v/>
      </c>
      <c r="Z178" s="6" t="str">
        <f t="shared" si="82"/>
        <v/>
      </c>
      <c r="AA178" s="6" t="str">
        <f t="shared" si="83"/>
        <v/>
      </c>
      <c r="AB178" s="32" t="str">
        <f t="shared" si="74"/>
        <v/>
      </c>
      <c r="AC178" s="13" t="str">
        <f t="shared" si="84"/>
        <v>-</v>
      </c>
      <c r="AD178" s="13" t="str">
        <f t="shared" si="85"/>
        <v>-</v>
      </c>
      <c r="AE178" s="13" t="str">
        <f t="shared" si="86"/>
        <v>-</v>
      </c>
      <c r="AF178" s="13" t="str">
        <f t="shared" si="87"/>
        <v>-</v>
      </c>
      <c r="AG178" s="31" t="str">
        <f t="shared" si="75"/>
        <v>-</v>
      </c>
      <c r="AH178" s="2" t="str">
        <f t="shared" si="88"/>
        <v/>
      </c>
      <c r="AI178" s="2" t="str">
        <f>IF(AH178="","",COUNT($AH$3:AH178))</f>
        <v/>
      </c>
      <c r="AJ178" s="60" t="str">
        <f t="shared" si="89"/>
        <v/>
      </c>
    </row>
    <row r="179" spans="1:36" ht="16.5">
      <c r="A179" s="6">
        <v>177</v>
      </c>
      <c r="B179" s="9">
        <f t="shared" si="64"/>
        <v>46199</v>
      </c>
      <c r="C179" s="7">
        <f t="shared" si="65"/>
        <v>6</v>
      </c>
      <c r="D179" s="7">
        <f t="shared" si="66"/>
        <v>26</v>
      </c>
      <c r="E179" s="15">
        <f t="shared" si="67"/>
        <v>6</v>
      </c>
      <c r="F179" s="8" t="str">
        <f t="shared" si="68"/>
        <v/>
      </c>
      <c r="G179" s="58"/>
      <c r="H179" s="12" t="s">
        <v>65</v>
      </c>
      <c r="I179" s="6" t="str">
        <f t="shared" si="69"/>
        <v>주간</v>
      </c>
      <c r="J179" s="6">
        <f t="shared" si="70"/>
        <v>1</v>
      </c>
      <c r="K179" s="6">
        <f>IF(J179="","",COUNT($J$3:J179))</f>
        <v>41</v>
      </c>
      <c r="L179" s="6">
        <f t="shared" si="76"/>
        <v>3</v>
      </c>
      <c r="M179" s="6">
        <f t="shared" si="77"/>
        <v>4</v>
      </c>
      <c r="N179" s="6">
        <f t="shared" si="78"/>
        <v>1</v>
      </c>
      <c r="O179" s="6">
        <f t="shared" si="79"/>
        <v>2</v>
      </c>
      <c r="P179" s="32">
        <f t="shared" si="71"/>
        <v>1</v>
      </c>
      <c r="Q179" s="13" t="str">
        <f t="shared" si="90"/>
        <v>허지웅</v>
      </c>
      <c r="R179" s="13" t="str">
        <f t="shared" si="91"/>
        <v>정윤준</v>
      </c>
      <c r="S179" s="13" t="str">
        <f t="shared" si="92"/>
        <v>이기수</v>
      </c>
      <c r="T179" s="13" t="str">
        <f t="shared" si="93"/>
        <v>박성현</v>
      </c>
      <c r="U179" s="31" t="str">
        <f t="shared" si="72"/>
        <v>이기수</v>
      </c>
      <c r="V179" s="6" t="str">
        <f t="shared" si="73"/>
        <v/>
      </c>
      <c r="W179" s="6" t="str">
        <f>IF(V179="","",COUNT($V$3:V179))</f>
        <v/>
      </c>
      <c r="X179" s="6" t="str">
        <f t="shared" si="80"/>
        <v/>
      </c>
      <c r="Y179" s="6" t="str">
        <f t="shared" si="81"/>
        <v/>
      </c>
      <c r="Z179" s="6" t="str">
        <f t="shared" si="82"/>
        <v/>
      </c>
      <c r="AA179" s="6" t="str">
        <f t="shared" si="83"/>
        <v/>
      </c>
      <c r="AB179" s="32" t="str">
        <f t="shared" si="74"/>
        <v/>
      </c>
      <c r="AC179" s="13" t="str">
        <f t="shared" si="84"/>
        <v>-</v>
      </c>
      <c r="AD179" s="13" t="str">
        <f t="shared" si="85"/>
        <v>-</v>
      </c>
      <c r="AE179" s="13" t="str">
        <f t="shared" si="86"/>
        <v>-</v>
      </c>
      <c r="AF179" s="13" t="str">
        <f t="shared" si="87"/>
        <v>-</v>
      </c>
      <c r="AG179" s="31" t="str">
        <f t="shared" si="75"/>
        <v>-</v>
      </c>
      <c r="AH179" s="2" t="str">
        <f t="shared" si="88"/>
        <v/>
      </c>
      <c r="AI179" s="2" t="str">
        <f>IF(AH179="","",COUNT($AH$3:AH179))</f>
        <v/>
      </c>
      <c r="AJ179" s="60" t="str">
        <f t="shared" si="89"/>
        <v/>
      </c>
    </row>
    <row r="180" spans="1:36" ht="16.5">
      <c r="A180" s="6">
        <v>178</v>
      </c>
      <c r="B180" s="9">
        <f t="shared" si="64"/>
        <v>46200</v>
      </c>
      <c r="C180" s="7">
        <f t="shared" si="65"/>
        <v>6</v>
      </c>
      <c r="D180" s="7">
        <f t="shared" si="66"/>
        <v>27</v>
      </c>
      <c r="E180" s="15">
        <f t="shared" si="67"/>
        <v>7</v>
      </c>
      <c r="F180" s="8" t="str">
        <f t="shared" si="68"/>
        <v>휴</v>
      </c>
      <c r="G180" s="58"/>
      <c r="H180" s="12" t="s">
        <v>63</v>
      </c>
      <c r="I180" s="6" t="str">
        <f t="shared" si="69"/>
        <v>당직</v>
      </c>
      <c r="J180" s="6" t="str">
        <f t="shared" si="70"/>
        <v/>
      </c>
      <c r="K180" s="6" t="str">
        <f>IF(J180="","",COUNT($J$3:J180))</f>
        <v/>
      </c>
      <c r="L180" s="6" t="str">
        <f t="shared" si="76"/>
        <v/>
      </c>
      <c r="M180" s="6" t="str">
        <f t="shared" si="77"/>
        <v/>
      </c>
      <c r="N180" s="6" t="str">
        <f t="shared" si="78"/>
        <v/>
      </c>
      <c r="O180" s="6" t="str">
        <f t="shared" si="79"/>
        <v/>
      </c>
      <c r="P180" s="32" t="str">
        <f t="shared" si="71"/>
        <v/>
      </c>
      <c r="Q180" s="13" t="str">
        <f t="shared" si="90"/>
        <v>-</v>
      </c>
      <c r="R180" s="13" t="str">
        <f t="shared" si="91"/>
        <v>-</v>
      </c>
      <c r="S180" s="13" t="str">
        <f t="shared" si="92"/>
        <v>-</v>
      </c>
      <c r="T180" s="13" t="str">
        <f t="shared" si="93"/>
        <v>-</v>
      </c>
      <c r="U180" s="31" t="str">
        <f t="shared" si="72"/>
        <v>-</v>
      </c>
      <c r="V180" s="6">
        <f t="shared" si="73"/>
        <v>1</v>
      </c>
      <c r="W180" s="6">
        <f>IF(V180="","",COUNT($V$3:V180))</f>
        <v>60</v>
      </c>
      <c r="X180" s="6">
        <f t="shared" si="80"/>
        <v>4</v>
      </c>
      <c r="Y180" s="6">
        <f t="shared" si="81"/>
        <v>1</v>
      </c>
      <c r="Z180" s="6">
        <f t="shared" si="82"/>
        <v>2</v>
      </c>
      <c r="AA180" s="6">
        <f t="shared" si="83"/>
        <v>3</v>
      </c>
      <c r="AB180" s="32">
        <f t="shared" si="74"/>
        <v>0</v>
      </c>
      <c r="AC180" s="13" t="str">
        <f t="shared" si="84"/>
        <v>정윤준</v>
      </c>
      <c r="AD180" s="13" t="str">
        <f t="shared" si="85"/>
        <v>이기수</v>
      </c>
      <c r="AE180" s="13" t="str">
        <f t="shared" si="86"/>
        <v>박성현</v>
      </c>
      <c r="AF180" s="13" t="str">
        <f t="shared" si="87"/>
        <v>허지웅</v>
      </c>
      <c r="AG180" s="31" t="str">
        <f t="shared" si="75"/>
        <v>정윤준</v>
      </c>
      <c r="AH180" s="2" t="str">
        <f t="shared" si="88"/>
        <v/>
      </c>
      <c r="AI180" s="2" t="str">
        <f>IF(AH180="","",COUNT($AH$3:AH180))</f>
        <v/>
      </c>
      <c r="AJ180" s="60" t="str">
        <f t="shared" si="89"/>
        <v/>
      </c>
    </row>
    <row r="181" spans="1:36" ht="16.5">
      <c r="A181" s="6">
        <v>179</v>
      </c>
      <c r="B181" s="9">
        <f t="shared" si="64"/>
        <v>46201</v>
      </c>
      <c r="C181" s="7">
        <f t="shared" si="65"/>
        <v>6</v>
      </c>
      <c r="D181" s="7">
        <f t="shared" si="66"/>
        <v>28</v>
      </c>
      <c r="E181" s="15">
        <f t="shared" si="67"/>
        <v>1</v>
      </c>
      <c r="F181" s="8" t="str">
        <f t="shared" si="68"/>
        <v>휴</v>
      </c>
      <c r="G181" s="58"/>
      <c r="H181" s="12" t="s">
        <v>64</v>
      </c>
      <c r="I181" s="6" t="str">
        <f t="shared" si="69"/>
        <v>비번</v>
      </c>
      <c r="J181" s="6" t="str">
        <f t="shared" si="70"/>
        <v/>
      </c>
      <c r="K181" s="6" t="str">
        <f>IF(J181="","",COUNT($J$3:J181))</f>
        <v/>
      </c>
      <c r="L181" s="6" t="str">
        <f t="shared" si="76"/>
        <v/>
      </c>
      <c r="M181" s="6" t="str">
        <f t="shared" si="77"/>
        <v/>
      </c>
      <c r="N181" s="6" t="str">
        <f t="shared" si="78"/>
        <v/>
      </c>
      <c r="O181" s="6" t="str">
        <f t="shared" si="79"/>
        <v/>
      </c>
      <c r="P181" s="32" t="str">
        <f t="shared" si="71"/>
        <v/>
      </c>
      <c r="Q181" s="13" t="str">
        <f t="shared" si="90"/>
        <v>-</v>
      </c>
      <c r="R181" s="13" t="str">
        <f t="shared" si="91"/>
        <v>-</v>
      </c>
      <c r="S181" s="13" t="str">
        <f t="shared" si="92"/>
        <v>-</v>
      </c>
      <c r="T181" s="13" t="str">
        <f t="shared" si="93"/>
        <v>-</v>
      </c>
      <c r="U181" s="31" t="str">
        <f t="shared" si="72"/>
        <v>-</v>
      </c>
      <c r="V181" s="6" t="str">
        <f t="shared" si="73"/>
        <v/>
      </c>
      <c r="W181" s="6" t="str">
        <f>IF(V181="","",COUNT($V$3:V181))</f>
        <v/>
      </c>
      <c r="X181" s="6" t="str">
        <f t="shared" si="80"/>
        <v/>
      </c>
      <c r="Y181" s="6" t="str">
        <f t="shared" si="81"/>
        <v/>
      </c>
      <c r="Z181" s="6" t="str">
        <f t="shared" si="82"/>
        <v/>
      </c>
      <c r="AA181" s="6" t="str">
        <f t="shared" si="83"/>
        <v/>
      </c>
      <c r="AB181" s="32" t="str">
        <f t="shared" si="74"/>
        <v/>
      </c>
      <c r="AC181" s="13" t="str">
        <f t="shared" si="84"/>
        <v>-</v>
      </c>
      <c r="AD181" s="13" t="str">
        <f t="shared" si="85"/>
        <v>-</v>
      </c>
      <c r="AE181" s="13" t="str">
        <f t="shared" si="86"/>
        <v>-</v>
      </c>
      <c r="AF181" s="13" t="str">
        <f t="shared" si="87"/>
        <v>-</v>
      </c>
      <c r="AG181" s="31" t="str">
        <f t="shared" si="75"/>
        <v>-</v>
      </c>
      <c r="AH181" s="2" t="str">
        <f t="shared" si="88"/>
        <v/>
      </c>
      <c r="AI181" s="2" t="str">
        <f>IF(AH181="","",COUNT($AH$3:AH181))</f>
        <v/>
      </c>
      <c r="AJ181" s="60" t="str">
        <f t="shared" si="89"/>
        <v/>
      </c>
    </row>
    <row r="182" spans="1:36" ht="16.5">
      <c r="A182" s="6">
        <v>180</v>
      </c>
      <c r="B182" s="9">
        <f t="shared" si="64"/>
        <v>46202</v>
      </c>
      <c r="C182" s="7">
        <f t="shared" si="65"/>
        <v>6</v>
      </c>
      <c r="D182" s="7">
        <f t="shared" si="66"/>
        <v>29</v>
      </c>
      <c r="E182" s="15">
        <f t="shared" si="67"/>
        <v>2</v>
      </c>
      <c r="F182" s="8" t="str">
        <f t="shared" si="68"/>
        <v/>
      </c>
      <c r="G182" s="58"/>
      <c r="H182" s="12" t="s">
        <v>65</v>
      </c>
      <c r="I182" s="6" t="str">
        <f t="shared" si="69"/>
        <v>주간</v>
      </c>
      <c r="J182" s="6">
        <f t="shared" si="70"/>
        <v>1</v>
      </c>
      <c r="K182" s="6">
        <f>IF(J182="","",COUNT($J$3:J182))</f>
        <v>42</v>
      </c>
      <c r="L182" s="6">
        <f t="shared" si="76"/>
        <v>2</v>
      </c>
      <c r="M182" s="6">
        <f t="shared" si="77"/>
        <v>3</v>
      </c>
      <c r="N182" s="6">
        <f t="shared" si="78"/>
        <v>4</v>
      </c>
      <c r="O182" s="6">
        <f t="shared" si="79"/>
        <v>1</v>
      </c>
      <c r="P182" s="32">
        <f t="shared" si="71"/>
        <v>2</v>
      </c>
      <c r="Q182" s="13" t="str">
        <f t="shared" si="90"/>
        <v>박성현</v>
      </c>
      <c r="R182" s="13" t="str">
        <f t="shared" si="91"/>
        <v>허지웅</v>
      </c>
      <c r="S182" s="13" t="str">
        <f t="shared" si="92"/>
        <v>정윤준</v>
      </c>
      <c r="T182" s="13" t="str">
        <f t="shared" si="93"/>
        <v>이기수</v>
      </c>
      <c r="U182" s="31" t="str">
        <f t="shared" si="72"/>
        <v>정윤준</v>
      </c>
      <c r="V182" s="6" t="str">
        <f t="shared" si="73"/>
        <v/>
      </c>
      <c r="W182" s="6" t="str">
        <f>IF(V182="","",COUNT($V$3:V182))</f>
        <v/>
      </c>
      <c r="X182" s="6" t="str">
        <f t="shared" si="80"/>
        <v/>
      </c>
      <c r="Y182" s="6" t="str">
        <f t="shared" si="81"/>
        <v/>
      </c>
      <c r="Z182" s="6" t="str">
        <f t="shared" si="82"/>
        <v/>
      </c>
      <c r="AA182" s="6" t="str">
        <f t="shared" si="83"/>
        <v/>
      </c>
      <c r="AB182" s="32" t="str">
        <f t="shared" si="74"/>
        <v/>
      </c>
      <c r="AC182" s="13" t="str">
        <f t="shared" si="84"/>
        <v>-</v>
      </c>
      <c r="AD182" s="13" t="str">
        <f t="shared" si="85"/>
        <v>-</v>
      </c>
      <c r="AE182" s="13" t="str">
        <f t="shared" si="86"/>
        <v>-</v>
      </c>
      <c r="AF182" s="13" t="str">
        <f t="shared" si="87"/>
        <v>-</v>
      </c>
      <c r="AG182" s="31" t="str">
        <f t="shared" si="75"/>
        <v>-</v>
      </c>
      <c r="AH182" s="2" t="str">
        <f t="shared" si="88"/>
        <v/>
      </c>
      <c r="AI182" s="2" t="str">
        <f>IF(AH182="","",COUNT($AH$3:AH182))</f>
        <v/>
      </c>
      <c r="AJ182" s="60" t="str">
        <f t="shared" si="89"/>
        <v/>
      </c>
    </row>
    <row r="183" spans="1:36" ht="16.5">
      <c r="A183" s="6">
        <v>181</v>
      </c>
      <c r="B183" s="9">
        <f t="shared" si="64"/>
        <v>46203</v>
      </c>
      <c r="C183" s="7">
        <f t="shared" si="65"/>
        <v>6</v>
      </c>
      <c r="D183" s="7">
        <f t="shared" si="66"/>
        <v>30</v>
      </c>
      <c r="E183" s="15">
        <f t="shared" si="67"/>
        <v>3</v>
      </c>
      <c r="F183" s="8" t="str">
        <f t="shared" si="68"/>
        <v/>
      </c>
      <c r="G183" s="58"/>
      <c r="H183" s="12" t="s">
        <v>63</v>
      </c>
      <c r="I183" s="6" t="str">
        <f t="shared" si="69"/>
        <v>야간</v>
      </c>
      <c r="J183" s="6" t="str">
        <f t="shared" si="70"/>
        <v/>
      </c>
      <c r="K183" s="6" t="str">
        <f>IF(J183="","",COUNT($J$3:J183))</f>
        <v/>
      </c>
      <c r="L183" s="6" t="str">
        <f t="shared" si="76"/>
        <v/>
      </c>
      <c r="M183" s="6" t="str">
        <f t="shared" si="77"/>
        <v/>
      </c>
      <c r="N183" s="6" t="str">
        <f t="shared" si="78"/>
        <v/>
      </c>
      <c r="O183" s="6" t="str">
        <f t="shared" si="79"/>
        <v/>
      </c>
      <c r="P183" s="32" t="str">
        <f t="shared" si="71"/>
        <v/>
      </c>
      <c r="Q183" s="13" t="str">
        <f t="shared" si="90"/>
        <v>-</v>
      </c>
      <c r="R183" s="13" t="str">
        <f t="shared" si="91"/>
        <v>-</v>
      </c>
      <c r="S183" s="13" t="str">
        <f t="shared" si="92"/>
        <v>-</v>
      </c>
      <c r="T183" s="13" t="str">
        <f t="shared" si="93"/>
        <v>-</v>
      </c>
      <c r="U183" s="31" t="str">
        <f t="shared" si="72"/>
        <v>-</v>
      </c>
      <c r="V183" s="6">
        <f t="shared" si="73"/>
        <v>1</v>
      </c>
      <c r="W183" s="6">
        <f>IF(V183="","",COUNT($V$3:V183))</f>
        <v>61</v>
      </c>
      <c r="X183" s="6">
        <f t="shared" si="80"/>
        <v>3</v>
      </c>
      <c r="Y183" s="6">
        <f t="shared" si="81"/>
        <v>4</v>
      </c>
      <c r="Z183" s="6">
        <f t="shared" si="82"/>
        <v>1</v>
      </c>
      <c r="AA183" s="6">
        <f t="shared" si="83"/>
        <v>2</v>
      </c>
      <c r="AB183" s="32">
        <f t="shared" si="74"/>
        <v>1</v>
      </c>
      <c r="AC183" s="13" t="str">
        <f t="shared" si="84"/>
        <v>허지웅</v>
      </c>
      <c r="AD183" s="13" t="str">
        <f t="shared" si="85"/>
        <v>정윤준</v>
      </c>
      <c r="AE183" s="13" t="str">
        <f t="shared" si="86"/>
        <v>이기수</v>
      </c>
      <c r="AF183" s="13" t="str">
        <f t="shared" si="87"/>
        <v>박성현</v>
      </c>
      <c r="AG183" s="31" t="str">
        <f t="shared" si="75"/>
        <v>허지웅</v>
      </c>
      <c r="AH183" s="2" t="str">
        <f t="shared" si="88"/>
        <v/>
      </c>
      <c r="AI183" s="2" t="str">
        <f>IF(AH183="","",COUNT($AH$3:AH183))</f>
        <v/>
      </c>
      <c r="AJ183" s="60" t="str">
        <f t="shared" si="89"/>
        <v/>
      </c>
    </row>
    <row r="184" spans="1:36" ht="16.5">
      <c r="A184" s="6">
        <v>182</v>
      </c>
      <c r="B184" s="9">
        <f t="shared" si="64"/>
        <v>46204</v>
      </c>
      <c r="C184" s="7">
        <f t="shared" si="65"/>
        <v>7</v>
      </c>
      <c r="D184" s="7">
        <f t="shared" si="66"/>
        <v>1</v>
      </c>
      <c r="E184" s="15">
        <f t="shared" si="67"/>
        <v>4</v>
      </c>
      <c r="F184" s="8" t="str">
        <f t="shared" si="68"/>
        <v/>
      </c>
      <c r="G184" s="58"/>
      <c r="H184" s="12" t="s">
        <v>64</v>
      </c>
      <c r="I184" s="6" t="str">
        <f t="shared" si="69"/>
        <v>비번</v>
      </c>
      <c r="J184" s="6" t="str">
        <f t="shared" si="70"/>
        <v/>
      </c>
      <c r="K184" s="6" t="str">
        <f>IF(J184="","",COUNT($J$3:J184))</f>
        <v/>
      </c>
      <c r="L184" s="6" t="str">
        <f t="shared" si="76"/>
        <v/>
      </c>
      <c r="M184" s="6" t="str">
        <f t="shared" si="77"/>
        <v/>
      </c>
      <c r="N184" s="6" t="str">
        <f t="shared" si="78"/>
        <v/>
      </c>
      <c r="O184" s="6" t="str">
        <f t="shared" si="79"/>
        <v/>
      </c>
      <c r="P184" s="32" t="str">
        <f t="shared" si="71"/>
        <v/>
      </c>
      <c r="Q184" s="13" t="str">
        <f t="shared" si="90"/>
        <v>-</v>
      </c>
      <c r="R184" s="13" t="str">
        <f t="shared" si="91"/>
        <v>-</v>
      </c>
      <c r="S184" s="13" t="str">
        <f t="shared" si="92"/>
        <v>-</v>
      </c>
      <c r="T184" s="13" t="str">
        <f t="shared" si="93"/>
        <v>-</v>
      </c>
      <c r="U184" s="31" t="str">
        <f t="shared" si="72"/>
        <v>-</v>
      </c>
      <c r="V184" s="6" t="str">
        <f t="shared" si="73"/>
        <v/>
      </c>
      <c r="W184" s="6" t="str">
        <f>IF(V184="","",COUNT($V$3:V184))</f>
        <v/>
      </c>
      <c r="X184" s="6" t="str">
        <f t="shared" si="80"/>
        <v/>
      </c>
      <c r="Y184" s="6" t="str">
        <f t="shared" si="81"/>
        <v/>
      </c>
      <c r="Z184" s="6" t="str">
        <f t="shared" si="82"/>
        <v/>
      </c>
      <c r="AA184" s="6" t="str">
        <f t="shared" si="83"/>
        <v/>
      </c>
      <c r="AB184" s="32" t="str">
        <f t="shared" si="74"/>
        <v/>
      </c>
      <c r="AC184" s="13" t="str">
        <f t="shared" si="84"/>
        <v>-</v>
      </c>
      <c r="AD184" s="13" t="str">
        <f t="shared" si="85"/>
        <v>-</v>
      </c>
      <c r="AE184" s="13" t="str">
        <f t="shared" si="86"/>
        <v>-</v>
      </c>
      <c r="AF184" s="13" t="str">
        <f t="shared" si="87"/>
        <v>-</v>
      </c>
      <c r="AG184" s="31" t="str">
        <f t="shared" si="75"/>
        <v>-</v>
      </c>
      <c r="AH184" s="2" t="str">
        <f t="shared" si="88"/>
        <v/>
      </c>
      <c r="AI184" s="2" t="str">
        <f>IF(AH184="","",COUNT($AH$3:AH184))</f>
        <v/>
      </c>
      <c r="AJ184" s="60" t="str">
        <f t="shared" si="89"/>
        <v/>
      </c>
    </row>
    <row r="185" spans="1:36" ht="16.5">
      <c r="A185" s="6">
        <v>183</v>
      </c>
      <c r="B185" s="9">
        <f t="shared" si="64"/>
        <v>46205</v>
      </c>
      <c r="C185" s="7">
        <f t="shared" si="65"/>
        <v>7</v>
      </c>
      <c r="D185" s="7">
        <f t="shared" si="66"/>
        <v>2</v>
      </c>
      <c r="E185" s="15">
        <f t="shared" si="67"/>
        <v>5</v>
      </c>
      <c r="F185" s="8" t="str">
        <f t="shared" si="68"/>
        <v/>
      </c>
      <c r="G185" s="58"/>
      <c r="H185" s="12" t="s">
        <v>65</v>
      </c>
      <c r="I185" s="6" t="str">
        <f t="shared" si="69"/>
        <v>주간</v>
      </c>
      <c r="J185" s="6">
        <f t="shared" si="70"/>
        <v>1</v>
      </c>
      <c r="K185" s="6">
        <f>IF(J185="","",COUNT($J$3:J185))</f>
        <v>43</v>
      </c>
      <c r="L185" s="6">
        <f t="shared" si="76"/>
        <v>1</v>
      </c>
      <c r="M185" s="6">
        <f t="shared" si="77"/>
        <v>2</v>
      </c>
      <c r="N185" s="6">
        <f t="shared" si="78"/>
        <v>3</v>
      </c>
      <c r="O185" s="6">
        <f t="shared" si="79"/>
        <v>4</v>
      </c>
      <c r="P185" s="32">
        <f t="shared" si="71"/>
        <v>3</v>
      </c>
      <c r="Q185" s="13" t="str">
        <f t="shared" si="90"/>
        <v>이기수</v>
      </c>
      <c r="R185" s="13" t="str">
        <f t="shared" si="91"/>
        <v>박성현</v>
      </c>
      <c r="S185" s="13" t="str">
        <f t="shared" si="92"/>
        <v>허지웅</v>
      </c>
      <c r="T185" s="13" t="str">
        <f t="shared" si="93"/>
        <v>정윤준</v>
      </c>
      <c r="U185" s="31" t="str">
        <f t="shared" si="72"/>
        <v>허지웅</v>
      </c>
      <c r="V185" s="6" t="str">
        <f t="shared" si="73"/>
        <v/>
      </c>
      <c r="W185" s="6" t="str">
        <f>IF(V185="","",COUNT($V$3:V185))</f>
        <v/>
      </c>
      <c r="X185" s="6" t="str">
        <f t="shared" si="80"/>
        <v/>
      </c>
      <c r="Y185" s="6" t="str">
        <f t="shared" si="81"/>
        <v/>
      </c>
      <c r="Z185" s="6" t="str">
        <f t="shared" si="82"/>
        <v/>
      </c>
      <c r="AA185" s="6" t="str">
        <f t="shared" si="83"/>
        <v/>
      </c>
      <c r="AB185" s="32" t="str">
        <f t="shared" si="74"/>
        <v/>
      </c>
      <c r="AC185" s="13" t="str">
        <f t="shared" si="84"/>
        <v>-</v>
      </c>
      <c r="AD185" s="13" t="str">
        <f t="shared" si="85"/>
        <v>-</v>
      </c>
      <c r="AE185" s="13" t="str">
        <f t="shared" si="86"/>
        <v>-</v>
      </c>
      <c r="AF185" s="13" t="str">
        <f t="shared" si="87"/>
        <v>-</v>
      </c>
      <c r="AG185" s="31" t="str">
        <f t="shared" si="75"/>
        <v>-</v>
      </c>
      <c r="AH185" s="2" t="str">
        <f t="shared" si="88"/>
        <v/>
      </c>
      <c r="AI185" s="2" t="str">
        <f>IF(AH185="","",COUNT($AH$3:AH185))</f>
        <v/>
      </c>
      <c r="AJ185" s="60" t="str">
        <f t="shared" si="89"/>
        <v/>
      </c>
    </row>
    <row r="186" spans="1:36" ht="16.5">
      <c r="A186" s="6">
        <v>184</v>
      </c>
      <c r="B186" s="9">
        <f t="shared" si="64"/>
        <v>46206</v>
      </c>
      <c r="C186" s="7">
        <f t="shared" si="65"/>
        <v>7</v>
      </c>
      <c r="D186" s="7">
        <f t="shared" si="66"/>
        <v>3</v>
      </c>
      <c r="E186" s="15">
        <f t="shared" si="67"/>
        <v>6</v>
      </c>
      <c r="F186" s="8" t="str">
        <f t="shared" si="68"/>
        <v/>
      </c>
      <c r="G186" s="58"/>
      <c r="H186" s="12" t="s">
        <v>63</v>
      </c>
      <c r="I186" s="6" t="str">
        <f t="shared" si="69"/>
        <v>야간</v>
      </c>
      <c r="J186" s="6" t="str">
        <f t="shared" si="70"/>
        <v/>
      </c>
      <c r="K186" s="6" t="str">
        <f>IF(J186="","",COUNT($J$3:J186))</f>
        <v/>
      </c>
      <c r="L186" s="6" t="str">
        <f t="shared" si="76"/>
        <v/>
      </c>
      <c r="M186" s="6" t="str">
        <f t="shared" si="77"/>
        <v/>
      </c>
      <c r="N186" s="6" t="str">
        <f t="shared" si="78"/>
        <v/>
      </c>
      <c r="O186" s="6" t="str">
        <f t="shared" si="79"/>
        <v/>
      </c>
      <c r="P186" s="32" t="str">
        <f t="shared" si="71"/>
        <v/>
      </c>
      <c r="Q186" s="13" t="str">
        <f t="shared" si="90"/>
        <v>-</v>
      </c>
      <c r="R186" s="13" t="str">
        <f t="shared" si="91"/>
        <v>-</v>
      </c>
      <c r="S186" s="13" t="str">
        <f t="shared" si="92"/>
        <v>-</v>
      </c>
      <c r="T186" s="13" t="str">
        <f t="shared" si="93"/>
        <v>-</v>
      </c>
      <c r="U186" s="31" t="str">
        <f t="shared" si="72"/>
        <v>-</v>
      </c>
      <c r="V186" s="6">
        <f t="shared" si="73"/>
        <v>1</v>
      </c>
      <c r="W186" s="6">
        <f>IF(V186="","",COUNT($V$3:V186))</f>
        <v>62</v>
      </c>
      <c r="X186" s="6">
        <f t="shared" si="80"/>
        <v>2</v>
      </c>
      <c r="Y186" s="6">
        <f t="shared" si="81"/>
        <v>3</v>
      </c>
      <c r="Z186" s="6">
        <f t="shared" si="82"/>
        <v>4</v>
      </c>
      <c r="AA186" s="6">
        <f t="shared" si="83"/>
        <v>1</v>
      </c>
      <c r="AB186" s="32">
        <f t="shared" si="74"/>
        <v>2</v>
      </c>
      <c r="AC186" s="13" t="str">
        <f t="shared" si="84"/>
        <v>박성현</v>
      </c>
      <c r="AD186" s="13" t="str">
        <f t="shared" si="85"/>
        <v>허지웅</v>
      </c>
      <c r="AE186" s="13" t="str">
        <f t="shared" si="86"/>
        <v>정윤준</v>
      </c>
      <c r="AF186" s="13" t="str">
        <f t="shared" si="87"/>
        <v>이기수</v>
      </c>
      <c r="AG186" s="31" t="str">
        <f t="shared" si="75"/>
        <v>장혁진</v>
      </c>
      <c r="AH186" s="2" t="str">
        <f t="shared" si="88"/>
        <v/>
      </c>
      <c r="AI186" s="2" t="str">
        <f>IF(AH186="","",COUNT($AH$3:AH186))</f>
        <v/>
      </c>
      <c r="AJ186" s="60" t="str">
        <f t="shared" si="89"/>
        <v/>
      </c>
    </row>
    <row r="187" spans="1:36" ht="16.5">
      <c r="A187" s="6">
        <v>185</v>
      </c>
      <c r="B187" s="9">
        <f t="shared" si="64"/>
        <v>46207</v>
      </c>
      <c r="C187" s="7">
        <f t="shared" si="65"/>
        <v>7</v>
      </c>
      <c r="D187" s="7">
        <f t="shared" si="66"/>
        <v>4</v>
      </c>
      <c r="E187" s="15">
        <f t="shared" si="67"/>
        <v>7</v>
      </c>
      <c r="F187" s="8" t="str">
        <f t="shared" si="68"/>
        <v>휴</v>
      </c>
      <c r="G187" s="58"/>
      <c r="H187" s="12" t="s">
        <v>64</v>
      </c>
      <c r="I187" s="6" t="str">
        <f t="shared" si="69"/>
        <v>비번</v>
      </c>
      <c r="J187" s="6" t="str">
        <f t="shared" si="70"/>
        <v/>
      </c>
      <c r="K187" s="6" t="str">
        <f>IF(J187="","",COUNT($J$3:J187))</f>
        <v/>
      </c>
      <c r="L187" s="6" t="str">
        <f t="shared" si="76"/>
        <v/>
      </c>
      <c r="M187" s="6" t="str">
        <f t="shared" si="77"/>
        <v/>
      </c>
      <c r="N187" s="6" t="str">
        <f t="shared" si="78"/>
        <v/>
      </c>
      <c r="O187" s="6" t="str">
        <f t="shared" si="79"/>
        <v/>
      </c>
      <c r="P187" s="32" t="str">
        <f t="shared" si="71"/>
        <v/>
      </c>
      <c r="Q187" s="13" t="str">
        <f t="shared" si="90"/>
        <v>-</v>
      </c>
      <c r="R187" s="13" t="str">
        <f t="shared" si="91"/>
        <v>-</v>
      </c>
      <c r="S187" s="13" t="str">
        <f t="shared" si="92"/>
        <v>-</v>
      </c>
      <c r="T187" s="13" t="str">
        <f t="shared" si="93"/>
        <v>-</v>
      </c>
      <c r="U187" s="31" t="str">
        <f t="shared" si="72"/>
        <v>-</v>
      </c>
      <c r="V187" s="6" t="str">
        <f t="shared" si="73"/>
        <v/>
      </c>
      <c r="W187" s="6" t="str">
        <f>IF(V187="","",COUNT($V$3:V187))</f>
        <v/>
      </c>
      <c r="X187" s="6" t="str">
        <f t="shared" si="80"/>
        <v/>
      </c>
      <c r="Y187" s="6" t="str">
        <f t="shared" si="81"/>
        <v/>
      </c>
      <c r="Z187" s="6" t="str">
        <f t="shared" si="82"/>
        <v/>
      </c>
      <c r="AA187" s="6" t="str">
        <f t="shared" si="83"/>
        <v/>
      </c>
      <c r="AB187" s="32" t="str">
        <f t="shared" si="74"/>
        <v/>
      </c>
      <c r="AC187" s="13" t="str">
        <f t="shared" si="84"/>
        <v>-</v>
      </c>
      <c r="AD187" s="13" t="str">
        <f t="shared" si="85"/>
        <v>-</v>
      </c>
      <c r="AE187" s="13" t="str">
        <f t="shared" si="86"/>
        <v>-</v>
      </c>
      <c r="AF187" s="13" t="str">
        <f t="shared" si="87"/>
        <v>-</v>
      </c>
      <c r="AG187" s="31" t="str">
        <f t="shared" si="75"/>
        <v>-</v>
      </c>
      <c r="AH187" s="2" t="str">
        <f t="shared" si="88"/>
        <v/>
      </c>
      <c r="AI187" s="2" t="str">
        <f>IF(AH187="","",COUNT($AH$3:AH187))</f>
        <v/>
      </c>
      <c r="AJ187" s="60" t="str">
        <f t="shared" si="89"/>
        <v/>
      </c>
    </row>
    <row r="188" spans="1:36" ht="16.5">
      <c r="A188" s="6">
        <v>186</v>
      </c>
      <c r="B188" s="9">
        <f t="shared" si="64"/>
        <v>46208</v>
      </c>
      <c r="C188" s="7">
        <f t="shared" si="65"/>
        <v>7</v>
      </c>
      <c r="D188" s="7">
        <f t="shared" si="66"/>
        <v>5</v>
      </c>
      <c r="E188" s="15">
        <f t="shared" si="67"/>
        <v>1</v>
      </c>
      <c r="F188" s="8" t="str">
        <f t="shared" si="68"/>
        <v>휴</v>
      </c>
      <c r="G188" s="58"/>
      <c r="H188" s="12" t="s">
        <v>65</v>
      </c>
      <c r="I188" s="6" t="str">
        <f t="shared" si="69"/>
        <v>휴무</v>
      </c>
      <c r="J188" s="6" t="str">
        <f t="shared" si="70"/>
        <v/>
      </c>
      <c r="K188" s="6" t="str">
        <f>IF(J188="","",COUNT($J$3:J188))</f>
        <v/>
      </c>
      <c r="L188" s="6" t="str">
        <f t="shared" si="76"/>
        <v/>
      </c>
      <c r="M188" s="6" t="str">
        <f t="shared" si="77"/>
        <v/>
      </c>
      <c r="N188" s="6" t="str">
        <f t="shared" si="78"/>
        <v/>
      </c>
      <c r="O188" s="6" t="str">
        <f t="shared" si="79"/>
        <v/>
      </c>
      <c r="P188" s="32" t="str">
        <f t="shared" si="71"/>
        <v/>
      </c>
      <c r="Q188" s="13" t="str">
        <f t="shared" si="90"/>
        <v>-</v>
      </c>
      <c r="R188" s="13" t="str">
        <f t="shared" si="91"/>
        <v>-</v>
      </c>
      <c r="S188" s="13" t="str">
        <f t="shared" si="92"/>
        <v>-</v>
      </c>
      <c r="T188" s="13" t="str">
        <f t="shared" si="93"/>
        <v>-</v>
      </c>
      <c r="U188" s="31" t="str">
        <f t="shared" si="72"/>
        <v>-</v>
      </c>
      <c r="V188" s="6" t="str">
        <f t="shared" si="73"/>
        <v/>
      </c>
      <c r="W188" s="6" t="str">
        <f>IF(V188="","",COUNT($V$3:V188))</f>
        <v/>
      </c>
      <c r="X188" s="6" t="str">
        <f t="shared" si="80"/>
        <v/>
      </c>
      <c r="Y188" s="6" t="str">
        <f t="shared" si="81"/>
        <v/>
      </c>
      <c r="Z188" s="6" t="str">
        <f t="shared" si="82"/>
        <v/>
      </c>
      <c r="AA188" s="6" t="str">
        <f t="shared" si="83"/>
        <v/>
      </c>
      <c r="AB188" s="32" t="str">
        <f t="shared" si="74"/>
        <v/>
      </c>
      <c r="AC188" s="13" t="str">
        <f t="shared" si="84"/>
        <v>-</v>
      </c>
      <c r="AD188" s="13" t="str">
        <f t="shared" si="85"/>
        <v>-</v>
      </c>
      <c r="AE188" s="13" t="str">
        <f t="shared" si="86"/>
        <v>-</v>
      </c>
      <c r="AF188" s="13" t="str">
        <f t="shared" si="87"/>
        <v>-</v>
      </c>
      <c r="AG188" s="31" t="str">
        <f t="shared" si="75"/>
        <v>-</v>
      </c>
      <c r="AH188" s="2" t="str">
        <f t="shared" si="88"/>
        <v/>
      </c>
      <c r="AI188" s="2" t="str">
        <f>IF(AH188="","",COUNT($AH$3:AH188))</f>
        <v/>
      </c>
      <c r="AJ188" s="60" t="str">
        <f t="shared" si="89"/>
        <v/>
      </c>
    </row>
    <row r="189" spans="1:36" ht="16.5">
      <c r="A189" s="6">
        <v>187</v>
      </c>
      <c r="B189" s="9">
        <f t="shared" si="64"/>
        <v>46209</v>
      </c>
      <c r="C189" s="7">
        <f t="shared" si="65"/>
        <v>7</v>
      </c>
      <c r="D189" s="7">
        <f t="shared" si="66"/>
        <v>6</v>
      </c>
      <c r="E189" s="15">
        <f t="shared" si="67"/>
        <v>2</v>
      </c>
      <c r="F189" s="8" t="str">
        <f t="shared" si="68"/>
        <v/>
      </c>
      <c r="G189" s="58"/>
      <c r="H189" s="12" t="s">
        <v>63</v>
      </c>
      <c r="I189" s="6" t="str">
        <f t="shared" si="69"/>
        <v>야간</v>
      </c>
      <c r="J189" s="6" t="str">
        <f t="shared" si="70"/>
        <v/>
      </c>
      <c r="K189" s="6" t="str">
        <f>IF(J189="","",COUNT($J$3:J189))</f>
        <v/>
      </c>
      <c r="L189" s="6" t="str">
        <f t="shared" si="76"/>
        <v/>
      </c>
      <c r="M189" s="6" t="str">
        <f t="shared" si="77"/>
        <v/>
      </c>
      <c r="N189" s="6" t="str">
        <f t="shared" si="78"/>
        <v/>
      </c>
      <c r="O189" s="6" t="str">
        <f t="shared" si="79"/>
        <v/>
      </c>
      <c r="P189" s="32" t="str">
        <f t="shared" si="71"/>
        <v/>
      </c>
      <c r="Q189" s="13" t="str">
        <f t="shared" si="90"/>
        <v>-</v>
      </c>
      <c r="R189" s="13" t="str">
        <f t="shared" si="91"/>
        <v>-</v>
      </c>
      <c r="S189" s="13" t="str">
        <f t="shared" si="92"/>
        <v>-</v>
      </c>
      <c r="T189" s="13" t="str">
        <f t="shared" si="93"/>
        <v>-</v>
      </c>
      <c r="U189" s="31" t="str">
        <f t="shared" si="72"/>
        <v>-</v>
      </c>
      <c r="V189" s="6">
        <f t="shared" si="73"/>
        <v>1</v>
      </c>
      <c r="W189" s="6">
        <f>IF(V189="","",COUNT($V$3:V189))</f>
        <v>63</v>
      </c>
      <c r="X189" s="6">
        <f t="shared" si="80"/>
        <v>1</v>
      </c>
      <c r="Y189" s="6">
        <f t="shared" si="81"/>
        <v>2</v>
      </c>
      <c r="Z189" s="6">
        <f t="shared" si="82"/>
        <v>3</v>
      </c>
      <c r="AA189" s="6">
        <f t="shared" si="83"/>
        <v>4</v>
      </c>
      <c r="AB189" s="32">
        <f t="shared" si="74"/>
        <v>3</v>
      </c>
      <c r="AC189" s="13" t="str">
        <f t="shared" si="84"/>
        <v>이기수</v>
      </c>
      <c r="AD189" s="13" t="str">
        <f t="shared" si="85"/>
        <v>박성현</v>
      </c>
      <c r="AE189" s="13" t="str">
        <f t="shared" si="86"/>
        <v>허지웅</v>
      </c>
      <c r="AF189" s="13" t="str">
        <f t="shared" si="87"/>
        <v>정윤준</v>
      </c>
      <c r="AG189" s="31" t="str">
        <f t="shared" si="75"/>
        <v>이기수</v>
      </c>
      <c r="AH189" s="2">
        <f t="shared" si="88"/>
        <v>1</v>
      </c>
      <c r="AI189" s="2">
        <f>IF(AH189="","",COUNT($AH$3:AH189))</f>
        <v>16</v>
      </c>
      <c r="AJ189" s="60" t="str">
        <f t="shared" si="89"/>
        <v>허지웅</v>
      </c>
    </row>
    <row r="190" spans="1:36" ht="16.5">
      <c r="A190" s="6">
        <v>188</v>
      </c>
      <c r="B190" s="9">
        <f t="shared" si="64"/>
        <v>46210</v>
      </c>
      <c r="C190" s="7">
        <f t="shared" si="65"/>
        <v>7</v>
      </c>
      <c r="D190" s="7">
        <f t="shared" si="66"/>
        <v>7</v>
      </c>
      <c r="E190" s="15">
        <f t="shared" si="67"/>
        <v>3</v>
      </c>
      <c r="F190" s="8" t="str">
        <f t="shared" si="68"/>
        <v/>
      </c>
      <c r="G190" s="58"/>
      <c r="H190" s="12" t="s">
        <v>64</v>
      </c>
      <c r="I190" s="6" t="str">
        <f t="shared" si="69"/>
        <v>비번</v>
      </c>
      <c r="J190" s="6" t="str">
        <f t="shared" si="70"/>
        <v/>
      </c>
      <c r="K190" s="6" t="str">
        <f>IF(J190="","",COUNT($J$3:J190))</f>
        <v/>
      </c>
      <c r="L190" s="6" t="str">
        <f t="shared" si="76"/>
        <v/>
      </c>
      <c r="M190" s="6" t="str">
        <f t="shared" si="77"/>
        <v/>
      </c>
      <c r="N190" s="6" t="str">
        <f t="shared" si="78"/>
        <v/>
      </c>
      <c r="O190" s="6" t="str">
        <f t="shared" si="79"/>
        <v/>
      </c>
      <c r="P190" s="32" t="str">
        <f t="shared" si="71"/>
        <v/>
      </c>
      <c r="Q190" s="13" t="str">
        <f t="shared" si="90"/>
        <v>-</v>
      </c>
      <c r="R190" s="13" t="str">
        <f t="shared" si="91"/>
        <v>-</v>
      </c>
      <c r="S190" s="13" t="str">
        <f t="shared" si="92"/>
        <v>-</v>
      </c>
      <c r="T190" s="13" t="str">
        <f t="shared" si="93"/>
        <v>-</v>
      </c>
      <c r="U190" s="31" t="str">
        <f t="shared" si="72"/>
        <v>-</v>
      </c>
      <c r="V190" s="6" t="str">
        <f t="shared" si="73"/>
        <v/>
      </c>
      <c r="W190" s="6" t="str">
        <f>IF(V190="","",COUNT($V$3:V190))</f>
        <v/>
      </c>
      <c r="X190" s="6" t="str">
        <f t="shared" si="80"/>
        <v/>
      </c>
      <c r="Y190" s="6" t="str">
        <f t="shared" si="81"/>
        <v/>
      </c>
      <c r="Z190" s="6" t="str">
        <f t="shared" si="82"/>
        <v/>
      </c>
      <c r="AA190" s="6" t="str">
        <f t="shared" si="83"/>
        <v/>
      </c>
      <c r="AB190" s="32" t="str">
        <f t="shared" si="74"/>
        <v/>
      </c>
      <c r="AC190" s="13" t="str">
        <f t="shared" si="84"/>
        <v>-</v>
      </c>
      <c r="AD190" s="13" t="str">
        <f t="shared" si="85"/>
        <v>-</v>
      </c>
      <c r="AE190" s="13" t="str">
        <f t="shared" si="86"/>
        <v>-</v>
      </c>
      <c r="AF190" s="13" t="str">
        <f t="shared" si="87"/>
        <v>-</v>
      </c>
      <c r="AG190" s="31" t="str">
        <f t="shared" si="75"/>
        <v>-</v>
      </c>
      <c r="AH190" s="2" t="str">
        <f t="shared" si="88"/>
        <v/>
      </c>
      <c r="AI190" s="2" t="str">
        <f>IF(AH190="","",COUNT($AH$3:AH190))</f>
        <v/>
      </c>
      <c r="AJ190" s="60" t="str">
        <f t="shared" si="89"/>
        <v/>
      </c>
    </row>
    <row r="191" spans="1:36" ht="16.5">
      <c r="A191" s="6">
        <v>189</v>
      </c>
      <c r="B191" s="9">
        <f t="shared" si="64"/>
        <v>46211</v>
      </c>
      <c r="C191" s="7">
        <f t="shared" si="65"/>
        <v>7</v>
      </c>
      <c r="D191" s="7">
        <f t="shared" si="66"/>
        <v>8</v>
      </c>
      <c r="E191" s="15">
        <f t="shared" si="67"/>
        <v>4</v>
      </c>
      <c r="F191" s="8" t="str">
        <f t="shared" si="68"/>
        <v/>
      </c>
      <c r="G191" s="58"/>
      <c r="H191" s="12" t="s">
        <v>65</v>
      </c>
      <c r="I191" s="6" t="str">
        <f t="shared" si="69"/>
        <v>주간</v>
      </c>
      <c r="J191" s="6">
        <f t="shared" si="70"/>
        <v>1</v>
      </c>
      <c r="K191" s="6">
        <f>IF(J191="","",COUNT($J$3:J191))</f>
        <v>44</v>
      </c>
      <c r="L191" s="6">
        <f t="shared" si="76"/>
        <v>4</v>
      </c>
      <c r="M191" s="6">
        <f t="shared" si="77"/>
        <v>1</v>
      </c>
      <c r="N191" s="6">
        <f t="shared" si="78"/>
        <v>2</v>
      </c>
      <c r="O191" s="6">
        <f t="shared" si="79"/>
        <v>3</v>
      </c>
      <c r="P191" s="32">
        <f t="shared" si="71"/>
        <v>4</v>
      </c>
      <c r="Q191" s="13" t="str">
        <f t="shared" si="90"/>
        <v>정윤준</v>
      </c>
      <c r="R191" s="13" t="str">
        <f t="shared" si="91"/>
        <v>이기수</v>
      </c>
      <c r="S191" s="13" t="str">
        <f t="shared" si="92"/>
        <v>박성현</v>
      </c>
      <c r="T191" s="13" t="str">
        <f t="shared" si="93"/>
        <v>허지웅</v>
      </c>
      <c r="U191" s="31" t="e">
        <f t="shared" si="72"/>
        <v>#VALUE!</v>
      </c>
      <c r="V191" s="6" t="str">
        <f t="shared" si="73"/>
        <v/>
      </c>
      <c r="W191" s="6" t="str">
        <f>IF(V191="","",COUNT($V$3:V191))</f>
        <v/>
      </c>
      <c r="X191" s="6" t="str">
        <f t="shared" si="80"/>
        <v/>
      </c>
      <c r="Y191" s="6" t="str">
        <f t="shared" si="81"/>
        <v/>
      </c>
      <c r="Z191" s="6" t="str">
        <f t="shared" si="82"/>
        <v/>
      </c>
      <c r="AA191" s="6" t="str">
        <f t="shared" si="83"/>
        <v/>
      </c>
      <c r="AB191" s="32" t="str">
        <f t="shared" si="74"/>
        <v/>
      </c>
      <c r="AC191" s="13" t="str">
        <f t="shared" si="84"/>
        <v>-</v>
      </c>
      <c r="AD191" s="13" t="str">
        <f t="shared" si="85"/>
        <v>-</v>
      </c>
      <c r="AE191" s="13" t="str">
        <f t="shared" si="86"/>
        <v>-</v>
      </c>
      <c r="AF191" s="13" t="str">
        <f t="shared" si="87"/>
        <v>-</v>
      </c>
      <c r="AG191" s="31" t="str">
        <f t="shared" si="75"/>
        <v>-</v>
      </c>
      <c r="AH191" s="2" t="str">
        <f t="shared" si="88"/>
        <v/>
      </c>
      <c r="AI191" s="2" t="str">
        <f>IF(AH191="","",COUNT($AH$3:AH191))</f>
        <v/>
      </c>
      <c r="AJ191" s="60" t="str">
        <f t="shared" si="89"/>
        <v/>
      </c>
    </row>
    <row r="192" spans="1:36" ht="16.5">
      <c r="A192" s="6">
        <v>190</v>
      </c>
      <c r="B192" s="9">
        <f t="shared" si="64"/>
        <v>46212</v>
      </c>
      <c r="C192" s="7">
        <f t="shared" si="65"/>
        <v>7</v>
      </c>
      <c r="D192" s="7">
        <f t="shared" si="66"/>
        <v>9</v>
      </c>
      <c r="E192" s="15">
        <f t="shared" si="67"/>
        <v>5</v>
      </c>
      <c r="F192" s="8" t="str">
        <f t="shared" si="68"/>
        <v/>
      </c>
      <c r="G192" s="58"/>
      <c r="H192" s="12" t="s">
        <v>63</v>
      </c>
      <c r="I192" s="6" t="str">
        <f t="shared" si="69"/>
        <v>야간</v>
      </c>
      <c r="J192" s="6" t="str">
        <f t="shared" si="70"/>
        <v/>
      </c>
      <c r="K192" s="6" t="str">
        <f>IF(J192="","",COUNT($J$3:J192))</f>
        <v/>
      </c>
      <c r="L192" s="6" t="str">
        <f t="shared" si="76"/>
        <v/>
      </c>
      <c r="M192" s="6" t="str">
        <f t="shared" si="77"/>
        <v/>
      </c>
      <c r="N192" s="6" t="str">
        <f t="shared" si="78"/>
        <v/>
      </c>
      <c r="O192" s="6" t="str">
        <f t="shared" si="79"/>
        <v/>
      </c>
      <c r="P192" s="32" t="str">
        <f t="shared" si="71"/>
        <v/>
      </c>
      <c r="Q192" s="13" t="str">
        <f t="shared" si="90"/>
        <v>-</v>
      </c>
      <c r="R192" s="13" t="str">
        <f t="shared" si="91"/>
        <v>-</v>
      </c>
      <c r="S192" s="13" t="str">
        <f t="shared" si="92"/>
        <v>-</v>
      </c>
      <c r="T192" s="13" t="str">
        <f t="shared" si="93"/>
        <v>-</v>
      </c>
      <c r="U192" s="31" t="str">
        <f t="shared" si="72"/>
        <v>-</v>
      </c>
      <c r="V192" s="6">
        <f t="shared" si="73"/>
        <v>1</v>
      </c>
      <c r="W192" s="6">
        <f>IF(V192="","",COUNT($V$3:V192))</f>
        <v>64</v>
      </c>
      <c r="X192" s="6">
        <f t="shared" si="80"/>
        <v>4</v>
      </c>
      <c r="Y192" s="6">
        <f t="shared" si="81"/>
        <v>1</v>
      </c>
      <c r="Z192" s="6">
        <f t="shared" si="82"/>
        <v>2</v>
      </c>
      <c r="AA192" s="6">
        <f t="shared" si="83"/>
        <v>3</v>
      </c>
      <c r="AB192" s="32">
        <f t="shared" si="74"/>
        <v>4</v>
      </c>
      <c r="AC192" s="13" t="str">
        <f t="shared" si="84"/>
        <v>정윤준</v>
      </c>
      <c r="AD192" s="13" t="str">
        <f t="shared" si="85"/>
        <v>이기수</v>
      </c>
      <c r="AE192" s="13" t="str">
        <f t="shared" si="86"/>
        <v>박성현</v>
      </c>
      <c r="AF192" s="13" t="str">
        <f t="shared" si="87"/>
        <v>허지웅</v>
      </c>
      <c r="AG192" s="31" t="e">
        <f t="shared" si="75"/>
        <v>#VALUE!</v>
      </c>
      <c r="AH192" s="2" t="str">
        <f t="shared" si="88"/>
        <v/>
      </c>
      <c r="AI192" s="2" t="str">
        <f>IF(AH192="","",COUNT($AH$3:AH192))</f>
        <v/>
      </c>
      <c r="AJ192" s="60" t="str">
        <f t="shared" si="89"/>
        <v/>
      </c>
    </row>
    <row r="193" spans="1:36" ht="16.5">
      <c r="A193" s="6">
        <v>191</v>
      </c>
      <c r="B193" s="9">
        <f t="shared" si="64"/>
        <v>46213</v>
      </c>
      <c r="C193" s="7">
        <f t="shared" si="65"/>
        <v>7</v>
      </c>
      <c r="D193" s="7">
        <f t="shared" si="66"/>
        <v>10</v>
      </c>
      <c r="E193" s="15">
        <f t="shared" si="67"/>
        <v>6</v>
      </c>
      <c r="F193" s="8" t="str">
        <f t="shared" si="68"/>
        <v/>
      </c>
      <c r="G193" s="58"/>
      <c r="H193" s="12" t="s">
        <v>64</v>
      </c>
      <c r="I193" s="6" t="str">
        <f t="shared" si="69"/>
        <v>비번</v>
      </c>
      <c r="J193" s="6" t="str">
        <f t="shared" si="70"/>
        <v/>
      </c>
      <c r="K193" s="6" t="str">
        <f>IF(J193="","",COUNT($J$3:J193))</f>
        <v/>
      </c>
      <c r="L193" s="6" t="str">
        <f t="shared" si="76"/>
        <v/>
      </c>
      <c r="M193" s="6" t="str">
        <f t="shared" si="77"/>
        <v/>
      </c>
      <c r="N193" s="6" t="str">
        <f t="shared" si="78"/>
        <v/>
      </c>
      <c r="O193" s="6" t="str">
        <f t="shared" si="79"/>
        <v/>
      </c>
      <c r="P193" s="32" t="str">
        <f t="shared" si="71"/>
        <v/>
      </c>
      <c r="Q193" s="13" t="str">
        <f t="shared" si="90"/>
        <v>-</v>
      </c>
      <c r="R193" s="13" t="str">
        <f t="shared" si="91"/>
        <v>-</v>
      </c>
      <c r="S193" s="13" t="str">
        <f t="shared" si="92"/>
        <v>-</v>
      </c>
      <c r="T193" s="13" t="str">
        <f t="shared" si="93"/>
        <v>-</v>
      </c>
      <c r="U193" s="31" t="str">
        <f t="shared" si="72"/>
        <v>-</v>
      </c>
      <c r="V193" s="6" t="str">
        <f t="shared" si="73"/>
        <v/>
      </c>
      <c r="W193" s="6" t="str">
        <f>IF(V193="","",COUNT($V$3:V193))</f>
        <v/>
      </c>
      <c r="X193" s="6" t="str">
        <f t="shared" si="80"/>
        <v/>
      </c>
      <c r="Y193" s="6" t="str">
        <f t="shared" si="81"/>
        <v/>
      </c>
      <c r="Z193" s="6" t="str">
        <f t="shared" si="82"/>
        <v/>
      </c>
      <c r="AA193" s="6" t="str">
        <f t="shared" si="83"/>
        <v/>
      </c>
      <c r="AB193" s="32" t="str">
        <f t="shared" si="74"/>
        <v/>
      </c>
      <c r="AC193" s="13" t="str">
        <f t="shared" si="84"/>
        <v>-</v>
      </c>
      <c r="AD193" s="13" t="str">
        <f t="shared" si="85"/>
        <v>-</v>
      </c>
      <c r="AE193" s="13" t="str">
        <f t="shared" si="86"/>
        <v>-</v>
      </c>
      <c r="AF193" s="13" t="str">
        <f t="shared" si="87"/>
        <v>-</v>
      </c>
      <c r="AG193" s="31" t="str">
        <f t="shared" si="75"/>
        <v>-</v>
      </c>
      <c r="AH193" s="2" t="str">
        <f t="shared" si="88"/>
        <v/>
      </c>
      <c r="AI193" s="2" t="str">
        <f>IF(AH193="","",COUNT($AH$3:AH193))</f>
        <v/>
      </c>
      <c r="AJ193" s="60" t="str">
        <f t="shared" si="89"/>
        <v/>
      </c>
    </row>
    <row r="194" spans="1:36" ht="16.5">
      <c r="A194" s="6">
        <v>192</v>
      </c>
      <c r="B194" s="9">
        <f t="shared" si="64"/>
        <v>46214</v>
      </c>
      <c r="C194" s="7">
        <f t="shared" si="65"/>
        <v>7</v>
      </c>
      <c r="D194" s="7">
        <f t="shared" si="66"/>
        <v>11</v>
      </c>
      <c r="E194" s="15">
        <f t="shared" si="67"/>
        <v>7</v>
      </c>
      <c r="F194" s="8" t="str">
        <f t="shared" si="68"/>
        <v>휴</v>
      </c>
      <c r="G194" s="58"/>
      <c r="H194" s="12" t="s">
        <v>65</v>
      </c>
      <c r="I194" s="6" t="str">
        <f t="shared" si="69"/>
        <v>휴무</v>
      </c>
      <c r="J194" s="6" t="str">
        <f t="shared" si="70"/>
        <v/>
      </c>
      <c r="K194" s="6" t="str">
        <f>IF(J194="","",COUNT($J$3:J194))</f>
        <v/>
      </c>
      <c r="L194" s="6" t="str">
        <f t="shared" si="76"/>
        <v/>
      </c>
      <c r="M194" s="6" t="str">
        <f t="shared" si="77"/>
        <v/>
      </c>
      <c r="N194" s="6" t="str">
        <f t="shared" si="78"/>
        <v/>
      </c>
      <c r="O194" s="6" t="str">
        <f t="shared" si="79"/>
        <v/>
      </c>
      <c r="P194" s="32" t="str">
        <f t="shared" si="71"/>
        <v/>
      </c>
      <c r="Q194" s="13" t="str">
        <f t="shared" si="90"/>
        <v>-</v>
      </c>
      <c r="R194" s="13" t="str">
        <f t="shared" si="91"/>
        <v>-</v>
      </c>
      <c r="S194" s="13" t="str">
        <f t="shared" si="92"/>
        <v>-</v>
      </c>
      <c r="T194" s="13" t="str">
        <f t="shared" si="93"/>
        <v>-</v>
      </c>
      <c r="U194" s="31" t="str">
        <f t="shared" si="72"/>
        <v>-</v>
      </c>
      <c r="V194" s="6" t="str">
        <f t="shared" si="73"/>
        <v/>
      </c>
      <c r="W194" s="6" t="str">
        <f>IF(V194="","",COUNT($V$3:V194))</f>
        <v/>
      </c>
      <c r="X194" s="6" t="str">
        <f t="shared" si="80"/>
        <v/>
      </c>
      <c r="Y194" s="6" t="str">
        <f t="shared" si="81"/>
        <v/>
      </c>
      <c r="Z194" s="6" t="str">
        <f t="shared" si="82"/>
        <v/>
      </c>
      <c r="AA194" s="6" t="str">
        <f t="shared" si="83"/>
        <v/>
      </c>
      <c r="AB194" s="32" t="str">
        <f t="shared" si="74"/>
        <v/>
      </c>
      <c r="AC194" s="13" t="str">
        <f t="shared" si="84"/>
        <v>-</v>
      </c>
      <c r="AD194" s="13" t="str">
        <f t="shared" si="85"/>
        <v>-</v>
      </c>
      <c r="AE194" s="13" t="str">
        <f t="shared" si="86"/>
        <v>-</v>
      </c>
      <c r="AF194" s="13" t="str">
        <f t="shared" si="87"/>
        <v>-</v>
      </c>
      <c r="AG194" s="31" t="str">
        <f t="shared" si="75"/>
        <v>-</v>
      </c>
      <c r="AH194" s="2" t="str">
        <f t="shared" si="88"/>
        <v/>
      </c>
      <c r="AI194" s="2" t="str">
        <f>IF(AH194="","",COUNT($AH$3:AH194))</f>
        <v/>
      </c>
      <c r="AJ194" s="60" t="str">
        <f t="shared" si="89"/>
        <v/>
      </c>
    </row>
    <row r="195" spans="1:36" ht="16.5">
      <c r="A195" s="6">
        <v>193</v>
      </c>
      <c r="B195" s="9">
        <f t="shared" ref="B195:B258" si="94">B194+1</f>
        <v>46215</v>
      </c>
      <c r="C195" s="7">
        <f t="shared" ref="C195:C258" si="95">MONTH(B195)</f>
        <v>7</v>
      </c>
      <c r="D195" s="7">
        <f t="shared" ref="D195:D258" si="96">DAY(B195)</f>
        <v>12</v>
      </c>
      <c r="E195" s="15">
        <f t="shared" ref="E195:E258" si="97">WEEKDAY(B195)</f>
        <v>1</v>
      </c>
      <c r="F195" s="8" t="str">
        <f t="shared" ref="F195:F258" si="98">IF(OR(TEXT(E195,"aaa")="토",TEXT(E195,"aaa")="일",NOT(ISBLANK(G195))),"휴","")</f>
        <v>휴</v>
      </c>
      <c r="G195" s="58"/>
      <c r="H195" s="12" t="s">
        <v>63</v>
      </c>
      <c r="I195" s="6" t="str">
        <f t="shared" ref="I195:I258" si="99">IF(AND(F195="휴",H195="주간"),"휴무",
  IF(AND(F195="휴",H195="야간"),"당직",
  H195
))</f>
        <v>당직</v>
      </c>
      <c r="J195" s="6" t="str">
        <f t="shared" ref="J195:J258" si="100">IF(OR(I195="주간"),1,"")</f>
        <v/>
      </c>
      <c r="K195" s="6" t="str">
        <f>IF(J195="","",COUNT($J$3:J195))</f>
        <v/>
      </c>
      <c r="L195" s="6" t="str">
        <f t="shared" si="76"/>
        <v/>
      </c>
      <c r="M195" s="6" t="str">
        <f t="shared" si="77"/>
        <v/>
      </c>
      <c r="N195" s="6" t="str">
        <f t="shared" si="78"/>
        <v/>
      </c>
      <c r="O195" s="6" t="str">
        <f t="shared" si="79"/>
        <v/>
      </c>
      <c r="P195" s="32" t="str">
        <f t="shared" ref="P195:P258" si="101">IF(ISERR(MOD($K195,5)),"",MOD($K195,5))</f>
        <v/>
      </c>
      <c r="Q195" s="13" t="str">
        <f t="shared" si="90"/>
        <v>-</v>
      </c>
      <c r="R195" s="13" t="str">
        <f t="shared" si="91"/>
        <v>-</v>
      </c>
      <c r="S195" s="13" t="str">
        <f t="shared" si="92"/>
        <v>-</v>
      </c>
      <c r="T195" s="13" t="str">
        <f t="shared" si="93"/>
        <v>-</v>
      </c>
      <c r="U195" s="31" t="str">
        <f t="shared" ref="U195:U258" si="102">IF(P195="","-",CHOOSE(P195+1,"장혁진","이기수","정윤준","허지웅"))</f>
        <v>-</v>
      </c>
      <c r="V195" s="6">
        <f t="shared" ref="V195:V258" si="103">IF(OR(I195="당직",I195="야간"),1,"")</f>
        <v>1</v>
      </c>
      <c r="W195" s="6">
        <f>IF(V195="","",COUNT($V$3:V195))</f>
        <v>65</v>
      </c>
      <c r="X195" s="6">
        <f t="shared" si="80"/>
        <v>3</v>
      </c>
      <c r="Y195" s="6">
        <f t="shared" si="81"/>
        <v>4</v>
      </c>
      <c r="Z195" s="6">
        <f t="shared" si="82"/>
        <v>1</v>
      </c>
      <c r="AA195" s="6">
        <f t="shared" si="83"/>
        <v>2</v>
      </c>
      <c r="AB195" s="32">
        <f t="shared" ref="AB195:AB258" si="104">IF(ISERR(MOD($W195,5)),"",MOD($W195,5))</f>
        <v>0</v>
      </c>
      <c r="AC195" s="13" t="str">
        <f t="shared" si="84"/>
        <v>허지웅</v>
      </c>
      <c r="AD195" s="13" t="str">
        <f t="shared" si="85"/>
        <v>정윤준</v>
      </c>
      <c r="AE195" s="13" t="str">
        <f t="shared" si="86"/>
        <v>이기수</v>
      </c>
      <c r="AF195" s="13" t="str">
        <f t="shared" si="87"/>
        <v>박성현</v>
      </c>
      <c r="AG195" s="31" t="str">
        <f t="shared" ref="AG195:AG258" si="105">IF(AB195="","-",CHOOSE(AB195+1,"정윤준","허지웅","장혁진","이기수"))</f>
        <v>정윤준</v>
      </c>
      <c r="AH195" s="2" t="str">
        <f t="shared" si="88"/>
        <v/>
      </c>
      <c r="AI195" s="2" t="str">
        <f>IF(AH195="","",COUNT($AH$3:AH195))</f>
        <v/>
      </c>
      <c r="AJ195" s="60" t="str">
        <f t="shared" si="89"/>
        <v/>
      </c>
    </row>
    <row r="196" spans="1:36" ht="16.5">
      <c r="A196" s="6">
        <v>194</v>
      </c>
      <c r="B196" s="9">
        <f t="shared" si="94"/>
        <v>46216</v>
      </c>
      <c r="C196" s="7">
        <f t="shared" si="95"/>
        <v>7</v>
      </c>
      <c r="D196" s="7">
        <f t="shared" si="96"/>
        <v>13</v>
      </c>
      <c r="E196" s="15">
        <f t="shared" si="97"/>
        <v>2</v>
      </c>
      <c r="F196" s="8" t="str">
        <f t="shared" si="98"/>
        <v/>
      </c>
      <c r="G196" s="58"/>
      <c r="H196" s="12" t="s">
        <v>64</v>
      </c>
      <c r="I196" s="6" t="str">
        <f t="shared" si="99"/>
        <v>비번</v>
      </c>
      <c r="J196" s="6" t="str">
        <f t="shared" si="100"/>
        <v/>
      </c>
      <c r="K196" s="6" t="str">
        <f>IF(J196="","",COUNT($J$3:J196))</f>
        <v/>
      </c>
      <c r="L196" s="6" t="str">
        <f t="shared" ref="L196:L259" si="106">IF(ISERR(4-MOD($K196,4)),"",4-MOD($K196,4))</f>
        <v/>
      </c>
      <c r="M196" s="6" t="str">
        <f t="shared" ref="M196:M259" si="107">IF(ISERR(4-MOD($K196-1,4)),"",4-MOD($K196-1,4))</f>
        <v/>
      </c>
      <c r="N196" s="6" t="str">
        <f t="shared" ref="N196:N259" si="108">IF(ISERR(4-MOD($K196-2,4)),"",4-MOD($K196-2,4))</f>
        <v/>
      </c>
      <c r="O196" s="6" t="str">
        <f t="shared" ref="O196:O259" si="109">IF(ISERR(4-MOD($K196-3,4)),"",4-MOD($K196-3,4))</f>
        <v/>
      </c>
      <c r="P196" s="32" t="str">
        <f t="shared" si="101"/>
        <v/>
      </c>
      <c r="Q196" s="13" t="str">
        <f t="shared" si="90"/>
        <v>-</v>
      </c>
      <c r="R196" s="13" t="str">
        <f t="shared" si="91"/>
        <v>-</v>
      </c>
      <c r="S196" s="13" t="str">
        <f t="shared" si="92"/>
        <v>-</v>
      </c>
      <c r="T196" s="13" t="str">
        <f t="shared" si="93"/>
        <v>-</v>
      </c>
      <c r="U196" s="31" t="str">
        <f t="shared" si="102"/>
        <v>-</v>
      </c>
      <c r="V196" s="6" t="str">
        <f t="shared" si="103"/>
        <v/>
      </c>
      <c r="W196" s="6" t="str">
        <f>IF(V196="","",COUNT($V$3:V196))</f>
        <v/>
      </c>
      <c r="X196" s="6" t="str">
        <f t="shared" ref="X196:X259" si="110">IF(ISERR(4-MOD($W196,4)),"",4-MOD($W196,4))</f>
        <v/>
      </c>
      <c r="Y196" s="6" t="str">
        <f t="shared" ref="Y196:Y259" si="111">IF(ISERR(4-MOD($W196-1,4)),"",4-MOD($W196-1,4))</f>
        <v/>
      </c>
      <c r="Z196" s="6" t="str">
        <f t="shared" ref="Z196:Z259" si="112">IF(ISERR(4-MOD($W196-2,4)),"",4-MOD($W196-2,4))</f>
        <v/>
      </c>
      <c r="AA196" s="6" t="str">
        <f t="shared" ref="AA196:AA259" si="113">IF(ISERR(4-MOD($W196-3,4)),"",4-MOD($W196-3,4))</f>
        <v/>
      </c>
      <c r="AB196" s="32" t="str">
        <f t="shared" si="104"/>
        <v/>
      </c>
      <c r="AC196" s="13" t="str">
        <f t="shared" ref="AC196:AC259" si="114">IF(X196="","-",CHOOSE(MOD(X196+$AD$1,4)+1,$X$1,$Y$1,$Z$1,$AA$1))</f>
        <v>-</v>
      </c>
      <c r="AD196" s="13" t="str">
        <f t="shared" ref="AD196:AD259" si="115">IF(Y196="","-",CHOOSE(MOD(Y196+$AD$1,4)+1,$X$1,$Y$1,$Z$1,$AA$1))</f>
        <v>-</v>
      </c>
      <c r="AE196" s="13" t="str">
        <f t="shared" ref="AE196:AE259" si="116">IF(Z196="","-",CHOOSE(MOD(Z196+$AD$1,4)+1,$X$1,$Y$1,$Z$1,$AA$1))</f>
        <v>-</v>
      </c>
      <c r="AF196" s="13" t="str">
        <f t="shared" ref="AF196:AF259" si="117">IF(AA196="","-",CHOOSE(MOD(AA196+$AD$1,4)+1,$X$1,$Y$1,$Z$1,$AA$1))</f>
        <v>-</v>
      </c>
      <c r="AG196" s="31" t="str">
        <f t="shared" si="105"/>
        <v>-</v>
      </c>
      <c r="AH196" s="2" t="str">
        <f t="shared" ref="AH196:AH259" si="118">IF(OR(AE196&amp;AF196="허지웅정윤준", AE196&amp;AF196="정윤준허지웅"),1,"")</f>
        <v/>
      </c>
      <c r="AI196" s="2" t="str">
        <f>IF(AH196="","",COUNT($AH$3:AH196))</f>
        <v/>
      </c>
      <c r="AJ196" s="60" t="str">
        <f t="shared" ref="AJ196:AJ259" si="119">IF(AI196&lt;&gt;"", CHOOSE(MOD(AI196, 2) + 1, $X$1, $Y$1), "")</f>
        <v/>
      </c>
    </row>
    <row r="197" spans="1:36" ht="16.5">
      <c r="A197" s="6">
        <v>195</v>
      </c>
      <c r="B197" s="9">
        <f t="shared" si="94"/>
        <v>46217</v>
      </c>
      <c r="C197" s="7">
        <f t="shared" si="95"/>
        <v>7</v>
      </c>
      <c r="D197" s="7">
        <f t="shared" si="96"/>
        <v>14</v>
      </c>
      <c r="E197" s="15">
        <f t="shared" si="97"/>
        <v>3</v>
      </c>
      <c r="F197" s="8" t="str">
        <f t="shared" si="98"/>
        <v/>
      </c>
      <c r="G197" s="58"/>
      <c r="H197" s="12" t="s">
        <v>65</v>
      </c>
      <c r="I197" s="6" t="str">
        <f t="shared" si="99"/>
        <v>주간</v>
      </c>
      <c r="J197" s="6">
        <f t="shared" si="100"/>
        <v>1</v>
      </c>
      <c r="K197" s="6">
        <f>IF(J197="","",COUNT($J$3:J197))</f>
        <v>45</v>
      </c>
      <c r="L197" s="6">
        <f t="shared" si="106"/>
        <v>3</v>
      </c>
      <c r="M197" s="6">
        <f t="shared" si="107"/>
        <v>4</v>
      </c>
      <c r="N197" s="6">
        <f t="shared" si="108"/>
        <v>1</v>
      </c>
      <c r="O197" s="6">
        <f t="shared" si="109"/>
        <v>2</v>
      </c>
      <c r="P197" s="32">
        <f t="shared" si="101"/>
        <v>0</v>
      </c>
      <c r="Q197" s="13" t="str">
        <f t="shared" si="90"/>
        <v>허지웅</v>
      </c>
      <c r="R197" s="13" t="str">
        <f t="shared" si="91"/>
        <v>정윤준</v>
      </c>
      <c r="S197" s="13" t="str">
        <f t="shared" si="92"/>
        <v>이기수</v>
      </c>
      <c r="T197" s="13" t="str">
        <f t="shared" si="93"/>
        <v>박성현</v>
      </c>
      <c r="U197" s="31" t="str">
        <f t="shared" si="102"/>
        <v>장혁진</v>
      </c>
      <c r="V197" s="6" t="str">
        <f t="shared" si="103"/>
        <v/>
      </c>
      <c r="W197" s="6" t="str">
        <f>IF(V197="","",COUNT($V$3:V197))</f>
        <v/>
      </c>
      <c r="X197" s="6" t="str">
        <f t="shared" si="110"/>
        <v/>
      </c>
      <c r="Y197" s="6" t="str">
        <f t="shared" si="111"/>
        <v/>
      </c>
      <c r="Z197" s="6" t="str">
        <f t="shared" si="112"/>
        <v/>
      </c>
      <c r="AA197" s="6" t="str">
        <f t="shared" si="113"/>
        <v/>
      </c>
      <c r="AB197" s="32" t="str">
        <f t="shared" si="104"/>
        <v/>
      </c>
      <c r="AC197" s="13" t="str">
        <f t="shared" si="114"/>
        <v>-</v>
      </c>
      <c r="AD197" s="13" t="str">
        <f t="shared" si="115"/>
        <v>-</v>
      </c>
      <c r="AE197" s="13" t="str">
        <f t="shared" si="116"/>
        <v>-</v>
      </c>
      <c r="AF197" s="13" t="str">
        <f t="shared" si="117"/>
        <v>-</v>
      </c>
      <c r="AG197" s="31" t="str">
        <f t="shared" si="105"/>
        <v>-</v>
      </c>
      <c r="AH197" s="2" t="str">
        <f t="shared" si="118"/>
        <v/>
      </c>
      <c r="AI197" s="2" t="str">
        <f>IF(AH197="","",COUNT($AH$3:AH197))</f>
        <v/>
      </c>
      <c r="AJ197" s="60" t="str">
        <f t="shared" si="119"/>
        <v/>
      </c>
    </row>
    <row r="198" spans="1:36" ht="16.5">
      <c r="A198" s="6">
        <v>196</v>
      </c>
      <c r="B198" s="9">
        <f t="shared" si="94"/>
        <v>46218</v>
      </c>
      <c r="C198" s="7">
        <f t="shared" si="95"/>
        <v>7</v>
      </c>
      <c r="D198" s="7">
        <f t="shared" si="96"/>
        <v>15</v>
      </c>
      <c r="E198" s="15">
        <f t="shared" si="97"/>
        <v>4</v>
      </c>
      <c r="F198" s="8" t="str">
        <f t="shared" si="98"/>
        <v/>
      </c>
      <c r="G198" s="58"/>
      <c r="H198" s="12" t="s">
        <v>63</v>
      </c>
      <c r="I198" s="6" t="str">
        <f t="shared" si="99"/>
        <v>야간</v>
      </c>
      <c r="J198" s="6" t="str">
        <f t="shared" si="100"/>
        <v/>
      </c>
      <c r="K198" s="6" t="str">
        <f>IF(J198="","",COUNT($J$3:J198))</f>
        <v/>
      </c>
      <c r="L198" s="6" t="str">
        <f t="shared" si="106"/>
        <v/>
      </c>
      <c r="M198" s="6" t="str">
        <f t="shared" si="107"/>
        <v/>
      </c>
      <c r="N198" s="6" t="str">
        <f t="shared" si="108"/>
        <v/>
      </c>
      <c r="O198" s="6" t="str">
        <f t="shared" si="109"/>
        <v/>
      </c>
      <c r="P198" s="32" t="str">
        <f t="shared" si="101"/>
        <v/>
      </c>
      <c r="Q198" s="13" t="str">
        <f t="shared" si="90"/>
        <v>-</v>
      </c>
      <c r="R198" s="13" t="str">
        <f t="shared" si="91"/>
        <v>-</v>
      </c>
      <c r="S198" s="13" t="str">
        <f t="shared" si="92"/>
        <v>-</v>
      </c>
      <c r="T198" s="13" t="str">
        <f t="shared" si="93"/>
        <v>-</v>
      </c>
      <c r="U198" s="31" t="str">
        <f t="shared" si="102"/>
        <v>-</v>
      </c>
      <c r="V198" s="6">
        <f t="shared" si="103"/>
        <v>1</v>
      </c>
      <c r="W198" s="6">
        <f>IF(V198="","",COUNT($V$3:V198))</f>
        <v>66</v>
      </c>
      <c r="X198" s="6">
        <f t="shared" si="110"/>
        <v>2</v>
      </c>
      <c r="Y198" s="6">
        <f t="shared" si="111"/>
        <v>3</v>
      </c>
      <c r="Z198" s="6">
        <f t="shared" si="112"/>
        <v>4</v>
      </c>
      <c r="AA198" s="6">
        <f t="shared" si="113"/>
        <v>1</v>
      </c>
      <c r="AB198" s="32">
        <f t="shared" si="104"/>
        <v>1</v>
      </c>
      <c r="AC198" s="13" t="str">
        <f t="shared" si="114"/>
        <v>박성현</v>
      </c>
      <c r="AD198" s="13" t="str">
        <f t="shared" si="115"/>
        <v>허지웅</v>
      </c>
      <c r="AE198" s="13" t="str">
        <f t="shared" si="116"/>
        <v>정윤준</v>
      </c>
      <c r="AF198" s="13" t="str">
        <f t="shared" si="117"/>
        <v>이기수</v>
      </c>
      <c r="AG198" s="31" t="str">
        <f t="shared" si="105"/>
        <v>허지웅</v>
      </c>
      <c r="AH198" s="2" t="str">
        <f t="shared" si="118"/>
        <v/>
      </c>
      <c r="AI198" s="2" t="str">
        <f>IF(AH198="","",COUNT($AH$3:AH198))</f>
        <v/>
      </c>
      <c r="AJ198" s="60" t="str">
        <f t="shared" si="119"/>
        <v/>
      </c>
    </row>
    <row r="199" spans="1:36" ht="16.5">
      <c r="A199" s="6">
        <v>197</v>
      </c>
      <c r="B199" s="9">
        <f t="shared" si="94"/>
        <v>46219</v>
      </c>
      <c r="C199" s="7">
        <f t="shared" si="95"/>
        <v>7</v>
      </c>
      <c r="D199" s="7">
        <f t="shared" si="96"/>
        <v>16</v>
      </c>
      <c r="E199" s="15">
        <f t="shared" si="97"/>
        <v>5</v>
      </c>
      <c r="F199" s="8" t="str">
        <f t="shared" si="98"/>
        <v/>
      </c>
      <c r="G199" s="58"/>
      <c r="H199" s="12" t="s">
        <v>64</v>
      </c>
      <c r="I199" s="6" t="str">
        <f t="shared" si="99"/>
        <v>비번</v>
      </c>
      <c r="J199" s="6" t="str">
        <f t="shared" si="100"/>
        <v/>
      </c>
      <c r="K199" s="6" t="str">
        <f>IF(J199="","",COUNT($J$3:J199))</f>
        <v/>
      </c>
      <c r="L199" s="6" t="str">
        <f t="shared" si="106"/>
        <v/>
      </c>
      <c r="M199" s="6" t="str">
        <f t="shared" si="107"/>
        <v/>
      </c>
      <c r="N199" s="6" t="str">
        <f t="shared" si="108"/>
        <v/>
      </c>
      <c r="O199" s="6" t="str">
        <f t="shared" si="109"/>
        <v/>
      </c>
      <c r="P199" s="32" t="str">
        <f t="shared" si="101"/>
        <v/>
      </c>
      <c r="Q199" s="13" t="str">
        <f t="shared" si="90"/>
        <v>-</v>
      </c>
      <c r="R199" s="13" t="str">
        <f t="shared" si="91"/>
        <v>-</v>
      </c>
      <c r="S199" s="13" t="str">
        <f t="shared" si="92"/>
        <v>-</v>
      </c>
      <c r="T199" s="13" t="str">
        <f t="shared" si="93"/>
        <v>-</v>
      </c>
      <c r="U199" s="31" t="str">
        <f t="shared" si="102"/>
        <v>-</v>
      </c>
      <c r="V199" s="6" t="str">
        <f t="shared" si="103"/>
        <v/>
      </c>
      <c r="W199" s="6" t="str">
        <f>IF(V199="","",COUNT($V$3:V199))</f>
        <v/>
      </c>
      <c r="X199" s="6" t="str">
        <f t="shared" si="110"/>
        <v/>
      </c>
      <c r="Y199" s="6" t="str">
        <f t="shared" si="111"/>
        <v/>
      </c>
      <c r="Z199" s="6" t="str">
        <f t="shared" si="112"/>
        <v/>
      </c>
      <c r="AA199" s="6" t="str">
        <f t="shared" si="113"/>
        <v/>
      </c>
      <c r="AB199" s="32" t="str">
        <f t="shared" si="104"/>
        <v/>
      </c>
      <c r="AC199" s="13" t="str">
        <f t="shared" si="114"/>
        <v>-</v>
      </c>
      <c r="AD199" s="13" t="str">
        <f t="shared" si="115"/>
        <v>-</v>
      </c>
      <c r="AE199" s="13" t="str">
        <f t="shared" si="116"/>
        <v>-</v>
      </c>
      <c r="AF199" s="13" t="str">
        <f t="shared" si="117"/>
        <v>-</v>
      </c>
      <c r="AG199" s="31" t="str">
        <f t="shared" si="105"/>
        <v>-</v>
      </c>
      <c r="AH199" s="2" t="str">
        <f t="shared" si="118"/>
        <v/>
      </c>
      <c r="AI199" s="2" t="str">
        <f>IF(AH199="","",COUNT($AH$3:AH199))</f>
        <v/>
      </c>
      <c r="AJ199" s="60" t="str">
        <f t="shared" si="119"/>
        <v/>
      </c>
    </row>
    <row r="200" spans="1:36" ht="16.5">
      <c r="A200" s="6">
        <v>198</v>
      </c>
      <c r="B200" s="9">
        <f t="shared" si="94"/>
        <v>46220</v>
      </c>
      <c r="C200" s="7">
        <f t="shared" si="95"/>
        <v>7</v>
      </c>
      <c r="D200" s="7">
        <f t="shared" si="96"/>
        <v>17</v>
      </c>
      <c r="E200" s="15">
        <f t="shared" si="97"/>
        <v>6</v>
      </c>
      <c r="F200" s="8" t="str">
        <f t="shared" si="98"/>
        <v>휴</v>
      </c>
      <c r="G200" s="58" t="s">
        <v>74</v>
      </c>
      <c r="H200" s="12" t="s">
        <v>65</v>
      </c>
      <c r="I200" s="6" t="str">
        <f t="shared" si="99"/>
        <v>휴무</v>
      </c>
      <c r="J200" s="6" t="str">
        <f t="shared" si="100"/>
        <v/>
      </c>
      <c r="K200" s="6" t="str">
        <f>IF(J200="","",COUNT($J$3:J200))</f>
        <v/>
      </c>
      <c r="L200" s="6" t="str">
        <f t="shared" si="106"/>
        <v/>
      </c>
      <c r="M200" s="6" t="str">
        <f t="shared" si="107"/>
        <v/>
      </c>
      <c r="N200" s="6" t="str">
        <f t="shared" si="108"/>
        <v/>
      </c>
      <c r="O200" s="6" t="str">
        <f t="shared" si="109"/>
        <v/>
      </c>
      <c r="P200" s="32" t="str">
        <f t="shared" si="101"/>
        <v/>
      </c>
      <c r="Q200" s="13" t="str">
        <f t="shared" si="90"/>
        <v>-</v>
      </c>
      <c r="R200" s="13" t="str">
        <f t="shared" si="91"/>
        <v>-</v>
      </c>
      <c r="S200" s="13" t="str">
        <f t="shared" si="92"/>
        <v>-</v>
      </c>
      <c r="T200" s="13" t="str">
        <f t="shared" si="93"/>
        <v>-</v>
      </c>
      <c r="U200" s="31" t="str">
        <f t="shared" si="102"/>
        <v>-</v>
      </c>
      <c r="V200" s="6" t="str">
        <f t="shared" si="103"/>
        <v/>
      </c>
      <c r="W200" s="6" t="str">
        <f>IF(V200="","",COUNT($V$3:V200))</f>
        <v/>
      </c>
      <c r="X200" s="6" t="str">
        <f t="shared" si="110"/>
        <v/>
      </c>
      <c r="Y200" s="6" t="str">
        <f t="shared" si="111"/>
        <v/>
      </c>
      <c r="Z200" s="6" t="str">
        <f t="shared" si="112"/>
        <v/>
      </c>
      <c r="AA200" s="6" t="str">
        <f t="shared" si="113"/>
        <v/>
      </c>
      <c r="AB200" s="32" t="str">
        <f t="shared" si="104"/>
        <v/>
      </c>
      <c r="AC200" s="13" t="str">
        <f t="shared" si="114"/>
        <v>-</v>
      </c>
      <c r="AD200" s="13" t="str">
        <f t="shared" si="115"/>
        <v>-</v>
      </c>
      <c r="AE200" s="13" t="str">
        <f t="shared" si="116"/>
        <v>-</v>
      </c>
      <c r="AF200" s="13" t="str">
        <f t="shared" si="117"/>
        <v>-</v>
      </c>
      <c r="AG200" s="31" t="str">
        <f t="shared" si="105"/>
        <v>-</v>
      </c>
      <c r="AH200" s="2" t="str">
        <f t="shared" si="118"/>
        <v/>
      </c>
      <c r="AI200" s="2" t="str">
        <f>IF(AH200="","",COUNT($AH$3:AH200))</f>
        <v/>
      </c>
      <c r="AJ200" s="60" t="str">
        <f t="shared" si="119"/>
        <v/>
      </c>
    </row>
    <row r="201" spans="1:36" ht="16.5">
      <c r="A201" s="6">
        <v>199</v>
      </c>
      <c r="B201" s="9">
        <f t="shared" si="94"/>
        <v>46221</v>
      </c>
      <c r="C201" s="7">
        <f t="shared" si="95"/>
        <v>7</v>
      </c>
      <c r="D201" s="7">
        <f t="shared" si="96"/>
        <v>18</v>
      </c>
      <c r="E201" s="15">
        <f t="shared" si="97"/>
        <v>7</v>
      </c>
      <c r="F201" s="8" t="str">
        <f t="shared" si="98"/>
        <v>휴</v>
      </c>
      <c r="G201" s="58"/>
      <c r="H201" s="12" t="s">
        <v>63</v>
      </c>
      <c r="I201" s="6" t="str">
        <f t="shared" si="99"/>
        <v>당직</v>
      </c>
      <c r="J201" s="6" t="str">
        <f t="shared" si="100"/>
        <v/>
      </c>
      <c r="K201" s="6" t="str">
        <f>IF(J201="","",COUNT($J$3:J201))</f>
        <v/>
      </c>
      <c r="L201" s="6" t="str">
        <f t="shared" si="106"/>
        <v/>
      </c>
      <c r="M201" s="6" t="str">
        <f t="shared" si="107"/>
        <v/>
      </c>
      <c r="N201" s="6" t="str">
        <f t="shared" si="108"/>
        <v/>
      </c>
      <c r="O201" s="6" t="str">
        <f t="shared" si="109"/>
        <v/>
      </c>
      <c r="P201" s="32" t="str">
        <f t="shared" si="101"/>
        <v/>
      </c>
      <c r="Q201" s="13" t="str">
        <f t="shared" ref="Q201:Q264" si="120">IF(L201="","-",CHOOSE(MOD(L201+$R$1,4)+1,$L$1,$M$1,$N$1,$O$1))</f>
        <v>-</v>
      </c>
      <c r="R201" s="13" t="str">
        <f t="shared" ref="R201:R264" si="121">IF(M201="","-",CHOOSE(MOD(M201+$R$1,4)+1,$L$1,$M$1,$N$1,$O$1))</f>
        <v>-</v>
      </c>
      <c r="S201" s="13" t="str">
        <f t="shared" ref="S201:S264" si="122">IF(N201="","-",CHOOSE(MOD(N201+$R$1,4)+1,$L$1,$M$1,$N$1,$O$1))</f>
        <v>-</v>
      </c>
      <c r="T201" s="13" t="str">
        <f t="shared" ref="T201:T264" si="123">IF(O201="","-",CHOOSE(MOD(O201+$R$1,4)+1,$L$1,$M$1,$N$1,$O$1))</f>
        <v>-</v>
      </c>
      <c r="U201" s="31" t="str">
        <f t="shared" si="102"/>
        <v>-</v>
      </c>
      <c r="V201" s="6">
        <f t="shared" si="103"/>
        <v>1</v>
      </c>
      <c r="W201" s="6">
        <f>IF(V201="","",COUNT($V$3:V201))</f>
        <v>67</v>
      </c>
      <c r="X201" s="6">
        <f t="shared" si="110"/>
        <v>1</v>
      </c>
      <c r="Y201" s="6">
        <f t="shared" si="111"/>
        <v>2</v>
      </c>
      <c r="Z201" s="6">
        <f t="shared" si="112"/>
        <v>3</v>
      </c>
      <c r="AA201" s="6">
        <f t="shared" si="113"/>
        <v>4</v>
      </c>
      <c r="AB201" s="32">
        <f t="shared" si="104"/>
        <v>2</v>
      </c>
      <c r="AC201" s="13" t="str">
        <f t="shared" si="114"/>
        <v>이기수</v>
      </c>
      <c r="AD201" s="13" t="str">
        <f t="shared" si="115"/>
        <v>박성현</v>
      </c>
      <c r="AE201" s="13" t="str">
        <f t="shared" si="116"/>
        <v>허지웅</v>
      </c>
      <c r="AF201" s="13" t="str">
        <f t="shared" si="117"/>
        <v>정윤준</v>
      </c>
      <c r="AG201" s="31" t="str">
        <f t="shared" si="105"/>
        <v>장혁진</v>
      </c>
      <c r="AH201" s="2">
        <f t="shared" si="118"/>
        <v>1</v>
      </c>
      <c r="AI201" s="2">
        <f>IF(AH201="","",COUNT($AH$3:AH201))</f>
        <v>17</v>
      </c>
      <c r="AJ201" s="60" t="str">
        <f t="shared" si="119"/>
        <v>정윤준</v>
      </c>
    </row>
    <row r="202" spans="1:36" ht="16.5">
      <c r="A202" s="6">
        <v>200</v>
      </c>
      <c r="B202" s="9">
        <f t="shared" si="94"/>
        <v>46222</v>
      </c>
      <c r="C202" s="7">
        <f t="shared" si="95"/>
        <v>7</v>
      </c>
      <c r="D202" s="7">
        <f t="shared" si="96"/>
        <v>19</v>
      </c>
      <c r="E202" s="15">
        <f t="shared" si="97"/>
        <v>1</v>
      </c>
      <c r="F202" s="8" t="str">
        <f t="shared" si="98"/>
        <v>휴</v>
      </c>
      <c r="G202" s="58"/>
      <c r="H202" s="12" t="s">
        <v>64</v>
      </c>
      <c r="I202" s="6" t="str">
        <f t="shared" si="99"/>
        <v>비번</v>
      </c>
      <c r="J202" s="6" t="str">
        <f t="shared" si="100"/>
        <v/>
      </c>
      <c r="K202" s="6" t="str">
        <f>IF(J202="","",COUNT($J$3:J202))</f>
        <v/>
      </c>
      <c r="L202" s="6" t="str">
        <f t="shared" si="106"/>
        <v/>
      </c>
      <c r="M202" s="6" t="str">
        <f t="shared" si="107"/>
        <v/>
      </c>
      <c r="N202" s="6" t="str">
        <f t="shared" si="108"/>
        <v/>
      </c>
      <c r="O202" s="6" t="str">
        <f t="shared" si="109"/>
        <v/>
      </c>
      <c r="P202" s="32" t="str">
        <f t="shared" si="101"/>
        <v/>
      </c>
      <c r="Q202" s="13" t="str">
        <f t="shared" si="120"/>
        <v>-</v>
      </c>
      <c r="R202" s="13" t="str">
        <f t="shared" si="121"/>
        <v>-</v>
      </c>
      <c r="S202" s="13" t="str">
        <f t="shared" si="122"/>
        <v>-</v>
      </c>
      <c r="T202" s="13" t="str">
        <f t="shared" si="123"/>
        <v>-</v>
      </c>
      <c r="U202" s="31" t="str">
        <f t="shared" si="102"/>
        <v>-</v>
      </c>
      <c r="V202" s="6" t="str">
        <f t="shared" si="103"/>
        <v/>
      </c>
      <c r="W202" s="6" t="str">
        <f>IF(V202="","",COUNT($V$3:V202))</f>
        <v/>
      </c>
      <c r="X202" s="6" t="str">
        <f t="shared" si="110"/>
        <v/>
      </c>
      <c r="Y202" s="6" t="str">
        <f t="shared" si="111"/>
        <v/>
      </c>
      <c r="Z202" s="6" t="str">
        <f t="shared" si="112"/>
        <v/>
      </c>
      <c r="AA202" s="6" t="str">
        <f t="shared" si="113"/>
        <v/>
      </c>
      <c r="AB202" s="32" t="str">
        <f t="shared" si="104"/>
        <v/>
      </c>
      <c r="AC202" s="13" t="str">
        <f t="shared" si="114"/>
        <v>-</v>
      </c>
      <c r="AD202" s="13" t="str">
        <f t="shared" si="115"/>
        <v>-</v>
      </c>
      <c r="AE202" s="13" t="str">
        <f t="shared" si="116"/>
        <v>-</v>
      </c>
      <c r="AF202" s="13" t="str">
        <f t="shared" si="117"/>
        <v>-</v>
      </c>
      <c r="AG202" s="31" t="str">
        <f t="shared" si="105"/>
        <v>-</v>
      </c>
      <c r="AH202" s="2" t="str">
        <f t="shared" si="118"/>
        <v/>
      </c>
      <c r="AI202" s="2" t="str">
        <f>IF(AH202="","",COUNT($AH$3:AH202))</f>
        <v/>
      </c>
      <c r="AJ202" s="60" t="str">
        <f t="shared" si="119"/>
        <v/>
      </c>
    </row>
    <row r="203" spans="1:36" ht="16.5">
      <c r="A203" s="6">
        <v>201</v>
      </c>
      <c r="B203" s="9">
        <f t="shared" si="94"/>
        <v>46223</v>
      </c>
      <c r="C203" s="7">
        <f t="shared" si="95"/>
        <v>7</v>
      </c>
      <c r="D203" s="7">
        <f t="shared" si="96"/>
        <v>20</v>
      </c>
      <c r="E203" s="15">
        <f t="shared" si="97"/>
        <v>2</v>
      </c>
      <c r="F203" s="8" t="str">
        <f t="shared" si="98"/>
        <v/>
      </c>
      <c r="G203" s="58"/>
      <c r="H203" s="12" t="s">
        <v>65</v>
      </c>
      <c r="I203" s="6" t="str">
        <f t="shared" si="99"/>
        <v>주간</v>
      </c>
      <c r="J203" s="6">
        <f t="shared" si="100"/>
        <v>1</v>
      </c>
      <c r="K203" s="6">
        <f>IF(J203="","",COUNT($J$3:J203))</f>
        <v>46</v>
      </c>
      <c r="L203" s="6">
        <f t="shared" si="106"/>
        <v>2</v>
      </c>
      <c r="M203" s="6">
        <f t="shared" si="107"/>
        <v>3</v>
      </c>
      <c r="N203" s="6">
        <f t="shared" si="108"/>
        <v>4</v>
      </c>
      <c r="O203" s="6">
        <f t="shared" si="109"/>
        <v>1</v>
      </c>
      <c r="P203" s="32">
        <f t="shared" si="101"/>
        <v>1</v>
      </c>
      <c r="Q203" s="13" t="str">
        <f t="shared" si="120"/>
        <v>박성현</v>
      </c>
      <c r="R203" s="13" t="str">
        <f t="shared" si="121"/>
        <v>허지웅</v>
      </c>
      <c r="S203" s="13" t="str">
        <f t="shared" si="122"/>
        <v>정윤준</v>
      </c>
      <c r="T203" s="13" t="str">
        <f t="shared" si="123"/>
        <v>이기수</v>
      </c>
      <c r="U203" s="31" t="str">
        <f t="shared" si="102"/>
        <v>이기수</v>
      </c>
      <c r="V203" s="6" t="str">
        <f t="shared" si="103"/>
        <v/>
      </c>
      <c r="W203" s="6" t="str">
        <f>IF(V203="","",COUNT($V$3:V203))</f>
        <v/>
      </c>
      <c r="X203" s="6" t="str">
        <f t="shared" si="110"/>
        <v/>
      </c>
      <c r="Y203" s="6" t="str">
        <f t="shared" si="111"/>
        <v/>
      </c>
      <c r="Z203" s="6" t="str">
        <f t="shared" si="112"/>
        <v/>
      </c>
      <c r="AA203" s="6" t="str">
        <f t="shared" si="113"/>
        <v/>
      </c>
      <c r="AB203" s="32" t="str">
        <f t="shared" si="104"/>
        <v/>
      </c>
      <c r="AC203" s="13" t="str">
        <f t="shared" si="114"/>
        <v>-</v>
      </c>
      <c r="AD203" s="13" t="str">
        <f t="shared" si="115"/>
        <v>-</v>
      </c>
      <c r="AE203" s="13" t="str">
        <f t="shared" si="116"/>
        <v>-</v>
      </c>
      <c r="AF203" s="13" t="str">
        <f t="shared" si="117"/>
        <v>-</v>
      </c>
      <c r="AG203" s="31" t="str">
        <f t="shared" si="105"/>
        <v>-</v>
      </c>
      <c r="AH203" s="2" t="str">
        <f t="shared" si="118"/>
        <v/>
      </c>
      <c r="AI203" s="2" t="str">
        <f>IF(AH203="","",COUNT($AH$3:AH203))</f>
        <v/>
      </c>
      <c r="AJ203" s="60" t="str">
        <f t="shared" si="119"/>
        <v/>
      </c>
    </row>
    <row r="204" spans="1:36" ht="16.5">
      <c r="A204" s="6">
        <v>202</v>
      </c>
      <c r="B204" s="9">
        <f t="shared" si="94"/>
        <v>46224</v>
      </c>
      <c r="C204" s="7">
        <f t="shared" si="95"/>
        <v>7</v>
      </c>
      <c r="D204" s="7">
        <f t="shared" si="96"/>
        <v>21</v>
      </c>
      <c r="E204" s="15">
        <f t="shared" si="97"/>
        <v>3</v>
      </c>
      <c r="F204" s="8" t="str">
        <f t="shared" si="98"/>
        <v/>
      </c>
      <c r="G204" s="58"/>
      <c r="H204" s="12" t="s">
        <v>63</v>
      </c>
      <c r="I204" s="6" t="str">
        <f t="shared" si="99"/>
        <v>야간</v>
      </c>
      <c r="J204" s="6" t="str">
        <f t="shared" si="100"/>
        <v/>
      </c>
      <c r="K204" s="6" t="str">
        <f>IF(J204="","",COUNT($J$3:J204))</f>
        <v/>
      </c>
      <c r="L204" s="6" t="str">
        <f t="shared" si="106"/>
        <v/>
      </c>
      <c r="M204" s="6" t="str">
        <f t="shared" si="107"/>
        <v/>
      </c>
      <c r="N204" s="6" t="str">
        <f t="shared" si="108"/>
        <v/>
      </c>
      <c r="O204" s="6" t="str">
        <f t="shared" si="109"/>
        <v/>
      </c>
      <c r="P204" s="32" t="str">
        <f t="shared" si="101"/>
        <v/>
      </c>
      <c r="Q204" s="13" t="str">
        <f t="shared" si="120"/>
        <v>-</v>
      </c>
      <c r="R204" s="13" t="str">
        <f t="shared" si="121"/>
        <v>-</v>
      </c>
      <c r="S204" s="13" t="str">
        <f t="shared" si="122"/>
        <v>-</v>
      </c>
      <c r="T204" s="13" t="str">
        <f t="shared" si="123"/>
        <v>-</v>
      </c>
      <c r="U204" s="31" t="str">
        <f t="shared" si="102"/>
        <v>-</v>
      </c>
      <c r="V204" s="6">
        <f t="shared" si="103"/>
        <v>1</v>
      </c>
      <c r="W204" s="6">
        <f>IF(V204="","",COUNT($V$3:V204))</f>
        <v>68</v>
      </c>
      <c r="X204" s="6">
        <f t="shared" si="110"/>
        <v>4</v>
      </c>
      <c r="Y204" s="6">
        <f t="shared" si="111"/>
        <v>1</v>
      </c>
      <c r="Z204" s="6">
        <f t="shared" si="112"/>
        <v>2</v>
      </c>
      <c r="AA204" s="6">
        <f t="shared" si="113"/>
        <v>3</v>
      </c>
      <c r="AB204" s="32">
        <f t="shared" si="104"/>
        <v>3</v>
      </c>
      <c r="AC204" s="13" t="str">
        <f t="shared" si="114"/>
        <v>정윤준</v>
      </c>
      <c r="AD204" s="13" t="str">
        <f t="shared" si="115"/>
        <v>이기수</v>
      </c>
      <c r="AE204" s="13" t="str">
        <f t="shared" si="116"/>
        <v>박성현</v>
      </c>
      <c r="AF204" s="13" t="str">
        <f t="shared" si="117"/>
        <v>허지웅</v>
      </c>
      <c r="AG204" s="31" t="str">
        <f t="shared" si="105"/>
        <v>이기수</v>
      </c>
      <c r="AH204" s="2" t="str">
        <f t="shared" si="118"/>
        <v/>
      </c>
      <c r="AI204" s="2" t="str">
        <f>IF(AH204="","",COUNT($AH$3:AH204))</f>
        <v/>
      </c>
      <c r="AJ204" s="60" t="str">
        <f t="shared" si="119"/>
        <v/>
      </c>
    </row>
    <row r="205" spans="1:36" ht="16.5">
      <c r="A205" s="6">
        <v>203</v>
      </c>
      <c r="B205" s="9">
        <f t="shared" si="94"/>
        <v>46225</v>
      </c>
      <c r="C205" s="7">
        <f t="shared" si="95"/>
        <v>7</v>
      </c>
      <c r="D205" s="7">
        <f t="shared" si="96"/>
        <v>22</v>
      </c>
      <c r="E205" s="15">
        <f t="shared" si="97"/>
        <v>4</v>
      </c>
      <c r="F205" s="8" t="str">
        <f t="shared" si="98"/>
        <v/>
      </c>
      <c r="G205" s="58"/>
      <c r="H205" s="12" t="s">
        <v>64</v>
      </c>
      <c r="I205" s="6" t="str">
        <f t="shared" si="99"/>
        <v>비번</v>
      </c>
      <c r="J205" s="6" t="str">
        <f t="shared" si="100"/>
        <v/>
      </c>
      <c r="K205" s="6" t="str">
        <f>IF(J205="","",COUNT($J$3:J205))</f>
        <v/>
      </c>
      <c r="L205" s="6" t="str">
        <f t="shared" si="106"/>
        <v/>
      </c>
      <c r="M205" s="6" t="str">
        <f t="shared" si="107"/>
        <v/>
      </c>
      <c r="N205" s="6" t="str">
        <f t="shared" si="108"/>
        <v/>
      </c>
      <c r="O205" s="6" t="str">
        <f t="shared" si="109"/>
        <v/>
      </c>
      <c r="P205" s="32" t="str">
        <f t="shared" si="101"/>
        <v/>
      </c>
      <c r="Q205" s="13" t="str">
        <f t="shared" si="120"/>
        <v>-</v>
      </c>
      <c r="R205" s="13" t="str">
        <f t="shared" si="121"/>
        <v>-</v>
      </c>
      <c r="S205" s="13" t="str">
        <f t="shared" si="122"/>
        <v>-</v>
      </c>
      <c r="T205" s="13" t="str">
        <f t="shared" si="123"/>
        <v>-</v>
      </c>
      <c r="U205" s="31" t="str">
        <f t="shared" si="102"/>
        <v>-</v>
      </c>
      <c r="V205" s="6" t="str">
        <f t="shared" si="103"/>
        <v/>
      </c>
      <c r="W205" s="6" t="str">
        <f>IF(V205="","",COUNT($V$3:V205))</f>
        <v/>
      </c>
      <c r="X205" s="6" t="str">
        <f t="shared" si="110"/>
        <v/>
      </c>
      <c r="Y205" s="6" t="str">
        <f t="shared" si="111"/>
        <v/>
      </c>
      <c r="Z205" s="6" t="str">
        <f t="shared" si="112"/>
        <v/>
      </c>
      <c r="AA205" s="6" t="str">
        <f t="shared" si="113"/>
        <v/>
      </c>
      <c r="AB205" s="32" t="str">
        <f t="shared" si="104"/>
        <v/>
      </c>
      <c r="AC205" s="13" t="str">
        <f t="shared" si="114"/>
        <v>-</v>
      </c>
      <c r="AD205" s="13" t="str">
        <f t="shared" si="115"/>
        <v>-</v>
      </c>
      <c r="AE205" s="13" t="str">
        <f t="shared" si="116"/>
        <v>-</v>
      </c>
      <c r="AF205" s="13" t="str">
        <f t="shared" si="117"/>
        <v>-</v>
      </c>
      <c r="AG205" s="31" t="str">
        <f t="shared" si="105"/>
        <v>-</v>
      </c>
      <c r="AH205" s="2" t="str">
        <f t="shared" si="118"/>
        <v/>
      </c>
      <c r="AI205" s="2" t="str">
        <f>IF(AH205="","",COUNT($AH$3:AH205))</f>
        <v/>
      </c>
      <c r="AJ205" s="60" t="str">
        <f t="shared" si="119"/>
        <v/>
      </c>
    </row>
    <row r="206" spans="1:36" ht="16.5">
      <c r="A206" s="6">
        <v>204</v>
      </c>
      <c r="B206" s="9">
        <f t="shared" si="94"/>
        <v>46226</v>
      </c>
      <c r="C206" s="7">
        <f t="shared" si="95"/>
        <v>7</v>
      </c>
      <c r="D206" s="7">
        <f t="shared" si="96"/>
        <v>23</v>
      </c>
      <c r="E206" s="15">
        <f t="shared" si="97"/>
        <v>5</v>
      </c>
      <c r="F206" s="8" t="str">
        <f t="shared" si="98"/>
        <v/>
      </c>
      <c r="G206" s="58"/>
      <c r="H206" s="12" t="s">
        <v>65</v>
      </c>
      <c r="I206" s="6" t="str">
        <f t="shared" si="99"/>
        <v>주간</v>
      </c>
      <c r="J206" s="6">
        <f t="shared" si="100"/>
        <v>1</v>
      </c>
      <c r="K206" s="6">
        <f>IF(J206="","",COUNT($J$3:J206))</f>
        <v>47</v>
      </c>
      <c r="L206" s="6">
        <f t="shared" si="106"/>
        <v>1</v>
      </c>
      <c r="M206" s="6">
        <f t="shared" si="107"/>
        <v>2</v>
      </c>
      <c r="N206" s="6">
        <f t="shared" si="108"/>
        <v>3</v>
      </c>
      <c r="O206" s="6">
        <f t="shared" si="109"/>
        <v>4</v>
      </c>
      <c r="P206" s="32">
        <f t="shared" si="101"/>
        <v>2</v>
      </c>
      <c r="Q206" s="13" t="str">
        <f t="shared" si="120"/>
        <v>이기수</v>
      </c>
      <c r="R206" s="13" t="str">
        <f t="shared" si="121"/>
        <v>박성현</v>
      </c>
      <c r="S206" s="13" t="str">
        <f t="shared" si="122"/>
        <v>허지웅</v>
      </c>
      <c r="T206" s="13" t="str">
        <f t="shared" si="123"/>
        <v>정윤준</v>
      </c>
      <c r="U206" s="31" t="str">
        <f t="shared" si="102"/>
        <v>정윤준</v>
      </c>
      <c r="V206" s="6" t="str">
        <f t="shared" si="103"/>
        <v/>
      </c>
      <c r="W206" s="6" t="str">
        <f>IF(V206="","",COUNT($V$3:V206))</f>
        <v/>
      </c>
      <c r="X206" s="6" t="str">
        <f t="shared" si="110"/>
        <v/>
      </c>
      <c r="Y206" s="6" t="str">
        <f t="shared" si="111"/>
        <v/>
      </c>
      <c r="Z206" s="6" t="str">
        <f t="shared" si="112"/>
        <v/>
      </c>
      <c r="AA206" s="6" t="str">
        <f t="shared" si="113"/>
        <v/>
      </c>
      <c r="AB206" s="32" t="str">
        <f t="shared" si="104"/>
        <v/>
      </c>
      <c r="AC206" s="13" t="str">
        <f t="shared" si="114"/>
        <v>-</v>
      </c>
      <c r="AD206" s="13" t="str">
        <f t="shared" si="115"/>
        <v>-</v>
      </c>
      <c r="AE206" s="13" t="str">
        <f t="shared" si="116"/>
        <v>-</v>
      </c>
      <c r="AF206" s="13" t="str">
        <f t="shared" si="117"/>
        <v>-</v>
      </c>
      <c r="AG206" s="31" t="str">
        <f t="shared" si="105"/>
        <v>-</v>
      </c>
      <c r="AH206" s="2" t="str">
        <f t="shared" si="118"/>
        <v/>
      </c>
      <c r="AI206" s="2" t="str">
        <f>IF(AH206="","",COUNT($AH$3:AH206))</f>
        <v/>
      </c>
      <c r="AJ206" s="60" t="str">
        <f t="shared" si="119"/>
        <v/>
      </c>
    </row>
    <row r="207" spans="1:36" ht="16.5">
      <c r="A207" s="6">
        <v>205</v>
      </c>
      <c r="B207" s="9">
        <f t="shared" si="94"/>
        <v>46227</v>
      </c>
      <c r="C207" s="7">
        <f t="shared" si="95"/>
        <v>7</v>
      </c>
      <c r="D207" s="7">
        <f t="shared" si="96"/>
        <v>24</v>
      </c>
      <c r="E207" s="15">
        <f t="shared" si="97"/>
        <v>6</v>
      </c>
      <c r="F207" s="8" t="str">
        <f t="shared" si="98"/>
        <v/>
      </c>
      <c r="G207" s="58"/>
      <c r="H207" s="12" t="s">
        <v>63</v>
      </c>
      <c r="I207" s="6" t="str">
        <f t="shared" si="99"/>
        <v>야간</v>
      </c>
      <c r="J207" s="6" t="str">
        <f t="shared" si="100"/>
        <v/>
      </c>
      <c r="K207" s="6" t="str">
        <f>IF(J207="","",COUNT($J$3:J207))</f>
        <v/>
      </c>
      <c r="L207" s="6" t="str">
        <f t="shared" si="106"/>
        <v/>
      </c>
      <c r="M207" s="6" t="str">
        <f t="shared" si="107"/>
        <v/>
      </c>
      <c r="N207" s="6" t="str">
        <f t="shared" si="108"/>
        <v/>
      </c>
      <c r="O207" s="6" t="str">
        <f t="shared" si="109"/>
        <v/>
      </c>
      <c r="P207" s="32" t="str">
        <f t="shared" si="101"/>
        <v/>
      </c>
      <c r="Q207" s="13" t="str">
        <f t="shared" si="120"/>
        <v>-</v>
      </c>
      <c r="R207" s="13" t="str">
        <f t="shared" si="121"/>
        <v>-</v>
      </c>
      <c r="S207" s="13" t="str">
        <f t="shared" si="122"/>
        <v>-</v>
      </c>
      <c r="T207" s="13" t="str">
        <f t="shared" si="123"/>
        <v>-</v>
      </c>
      <c r="U207" s="31" t="str">
        <f t="shared" si="102"/>
        <v>-</v>
      </c>
      <c r="V207" s="6">
        <f t="shared" si="103"/>
        <v>1</v>
      </c>
      <c r="W207" s="6">
        <f>IF(V207="","",COUNT($V$3:V207))</f>
        <v>69</v>
      </c>
      <c r="X207" s="6">
        <f t="shared" si="110"/>
        <v>3</v>
      </c>
      <c r="Y207" s="6">
        <f t="shared" si="111"/>
        <v>4</v>
      </c>
      <c r="Z207" s="6">
        <f t="shared" si="112"/>
        <v>1</v>
      </c>
      <c r="AA207" s="6">
        <f t="shared" si="113"/>
        <v>2</v>
      </c>
      <c r="AB207" s="32">
        <f t="shared" si="104"/>
        <v>4</v>
      </c>
      <c r="AC207" s="13" t="str">
        <f t="shared" si="114"/>
        <v>허지웅</v>
      </c>
      <c r="AD207" s="13" t="str">
        <f t="shared" si="115"/>
        <v>정윤준</v>
      </c>
      <c r="AE207" s="13" t="str">
        <f t="shared" si="116"/>
        <v>이기수</v>
      </c>
      <c r="AF207" s="13" t="str">
        <f t="shared" si="117"/>
        <v>박성현</v>
      </c>
      <c r="AG207" s="31" t="e">
        <f t="shared" si="105"/>
        <v>#VALUE!</v>
      </c>
      <c r="AH207" s="2" t="str">
        <f t="shared" si="118"/>
        <v/>
      </c>
      <c r="AI207" s="2" t="str">
        <f>IF(AH207="","",COUNT($AH$3:AH207))</f>
        <v/>
      </c>
      <c r="AJ207" s="60" t="str">
        <f t="shared" si="119"/>
        <v/>
      </c>
    </row>
    <row r="208" spans="1:36" ht="16.5">
      <c r="A208" s="6">
        <v>206</v>
      </c>
      <c r="B208" s="9">
        <f t="shared" si="94"/>
        <v>46228</v>
      </c>
      <c r="C208" s="7">
        <f t="shared" si="95"/>
        <v>7</v>
      </c>
      <c r="D208" s="7">
        <f t="shared" si="96"/>
        <v>25</v>
      </c>
      <c r="E208" s="15">
        <f t="shared" si="97"/>
        <v>7</v>
      </c>
      <c r="F208" s="8" t="str">
        <f t="shared" si="98"/>
        <v>휴</v>
      </c>
      <c r="G208" s="58"/>
      <c r="H208" s="12" t="s">
        <v>64</v>
      </c>
      <c r="I208" s="6" t="str">
        <f t="shared" si="99"/>
        <v>비번</v>
      </c>
      <c r="J208" s="6" t="str">
        <f t="shared" si="100"/>
        <v/>
      </c>
      <c r="K208" s="6" t="str">
        <f>IF(J208="","",COUNT($J$3:J208))</f>
        <v/>
      </c>
      <c r="L208" s="6" t="str">
        <f t="shared" si="106"/>
        <v/>
      </c>
      <c r="M208" s="6" t="str">
        <f t="shared" si="107"/>
        <v/>
      </c>
      <c r="N208" s="6" t="str">
        <f t="shared" si="108"/>
        <v/>
      </c>
      <c r="O208" s="6" t="str">
        <f t="shared" si="109"/>
        <v/>
      </c>
      <c r="P208" s="32" t="str">
        <f t="shared" si="101"/>
        <v/>
      </c>
      <c r="Q208" s="13" t="str">
        <f t="shared" si="120"/>
        <v>-</v>
      </c>
      <c r="R208" s="13" t="str">
        <f t="shared" si="121"/>
        <v>-</v>
      </c>
      <c r="S208" s="13" t="str">
        <f t="shared" si="122"/>
        <v>-</v>
      </c>
      <c r="T208" s="13" t="str">
        <f t="shared" si="123"/>
        <v>-</v>
      </c>
      <c r="U208" s="31" t="str">
        <f t="shared" si="102"/>
        <v>-</v>
      </c>
      <c r="V208" s="6" t="str">
        <f t="shared" si="103"/>
        <v/>
      </c>
      <c r="W208" s="6" t="str">
        <f>IF(V208="","",COUNT($V$3:V208))</f>
        <v/>
      </c>
      <c r="X208" s="6" t="str">
        <f t="shared" si="110"/>
        <v/>
      </c>
      <c r="Y208" s="6" t="str">
        <f t="shared" si="111"/>
        <v/>
      </c>
      <c r="Z208" s="6" t="str">
        <f t="shared" si="112"/>
        <v/>
      </c>
      <c r="AA208" s="6" t="str">
        <f t="shared" si="113"/>
        <v/>
      </c>
      <c r="AB208" s="32" t="str">
        <f t="shared" si="104"/>
        <v/>
      </c>
      <c r="AC208" s="13" t="str">
        <f t="shared" si="114"/>
        <v>-</v>
      </c>
      <c r="AD208" s="13" t="str">
        <f t="shared" si="115"/>
        <v>-</v>
      </c>
      <c r="AE208" s="13" t="str">
        <f t="shared" si="116"/>
        <v>-</v>
      </c>
      <c r="AF208" s="13" t="str">
        <f t="shared" si="117"/>
        <v>-</v>
      </c>
      <c r="AG208" s="31" t="str">
        <f t="shared" si="105"/>
        <v>-</v>
      </c>
      <c r="AH208" s="2" t="str">
        <f t="shared" si="118"/>
        <v/>
      </c>
      <c r="AI208" s="2" t="str">
        <f>IF(AH208="","",COUNT($AH$3:AH208))</f>
        <v/>
      </c>
      <c r="AJ208" s="60" t="str">
        <f t="shared" si="119"/>
        <v/>
      </c>
    </row>
    <row r="209" spans="1:36" ht="16.5">
      <c r="A209" s="6">
        <v>207</v>
      </c>
      <c r="B209" s="9">
        <f t="shared" si="94"/>
        <v>46229</v>
      </c>
      <c r="C209" s="7">
        <f t="shared" si="95"/>
        <v>7</v>
      </c>
      <c r="D209" s="7">
        <f t="shared" si="96"/>
        <v>26</v>
      </c>
      <c r="E209" s="15">
        <f t="shared" si="97"/>
        <v>1</v>
      </c>
      <c r="F209" s="8" t="str">
        <f t="shared" si="98"/>
        <v>휴</v>
      </c>
      <c r="G209" s="58"/>
      <c r="H209" s="12" t="s">
        <v>65</v>
      </c>
      <c r="I209" s="6" t="str">
        <f t="shared" si="99"/>
        <v>휴무</v>
      </c>
      <c r="J209" s="6" t="str">
        <f t="shared" si="100"/>
        <v/>
      </c>
      <c r="K209" s="6" t="str">
        <f>IF(J209="","",COUNT($J$3:J209))</f>
        <v/>
      </c>
      <c r="L209" s="6" t="str">
        <f t="shared" si="106"/>
        <v/>
      </c>
      <c r="M209" s="6" t="str">
        <f t="shared" si="107"/>
        <v/>
      </c>
      <c r="N209" s="6" t="str">
        <f t="shared" si="108"/>
        <v/>
      </c>
      <c r="O209" s="6" t="str">
        <f t="shared" si="109"/>
        <v/>
      </c>
      <c r="P209" s="32" t="str">
        <f t="shared" si="101"/>
        <v/>
      </c>
      <c r="Q209" s="13" t="str">
        <f t="shared" si="120"/>
        <v>-</v>
      </c>
      <c r="R209" s="13" t="str">
        <f t="shared" si="121"/>
        <v>-</v>
      </c>
      <c r="S209" s="13" t="str">
        <f t="shared" si="122"/>
        <v>-</v>
      </c>
      <c r="T209" s="13" t="str">
        <f t="shared" si="123"/>
        <v>-</v>
      </c>
      <c r="U209" s="31" t="str">
        <f t="shared" si="102"/>
        <v>-</v>
      </c>
      <c r="V209" s="6" t="str">
        <f t="shared" si="103"/>
        <v/>
      </c>
      <c r="W209" s="6" t="str">
        <f>IF(V209="","",COUNT($V$3:V209))</f>
        <v/>
      </c>
      <c r="X209" s="6" t="str">
        <f t="shared" si="110"/>
        <v/>
      </c>
      <c r="Y209" s="6" t="str">
        <f t="shared" si="111"/>
        <v/>
      </c>
      <c r="Z209" s="6" t="str">
        <f t="shared" si="112"/>
        <v/>
      </c>
      <c r="AA209" s="6" t="str">
        <f t="shared" si="113"/>
        <v/>
      </c>
      <c r="AB209" s="32" t="str">
        <f t="shared" si="104"/>
        <v/>
      </c>
      <c r="AC209" s="13" t="str">
        <f t="shared" si="114"/>
        <v>-</v>
      </c>
      <c r="AD209" s="13" t="str">
        <f t="shared" si="115"/>
        <v>-</v>
      </c>
      <c r="AE209" s="13" t="str">
        <f t="shared" si="116"/>
        <v>-</v>
      </c>
      <c r="AF209" s="13" t="str">
        <f t="shared" si="117"/>
        <v>-</v>
      </c>
      <c r="AG209" s="31" t="str">
        <f t="shared" si="105"/>
        <v>-</v>
      </c>
      <c r="AH209" s="2" t="str">
        <f t="shared" si="118"/>
        <v/>
      </c>
      <c r="AI209" s="2" t="str">
        <f>IF(AH209="","",COUNT($AH$3:AH209))</f>
        <v/>
      </c>
      <c r="AJ209" s="60" t="str">
        <f t="shared" si="119"/>
        <v/>
      </c>
    </row>
    <row r="210" spans="1:36" ht="16.5">
      <c r="A210" s="6">
        <v>208</v>
      </c>
      <c r="B210" s="9">
        <f t="shared" si="94"/>
        <v>46230</v>
      </c>
      <c r="C210" s="7">
        <f t="shared" si="95"/>
        <v>7</v>
      </c>
      <c r="D210" s="7">
        <f t="shared" si="96"/>
        <v>27</v>
      </c>
      <c r="E210" s="15">
        <f t="shared" si="97"/>
        <v>2</v>
      </c>
      <c r="F210" s="8" t="str">
        <f t="shared" si="98"/>
        <v/>
      </c>
      <c r="G210" s="58"/>
      <c r="H210" s="12" t="s">
        <v>63</v>
      </c>
      <c r="I210" s="6" t="str">
        <f t="shared" si="99"/>
        <v>야간</v>
      </c>
      <c r="J210" s="6" t="str">
        <f t="shared" si="100"/>
        <v/>
      </c>
      <c r="K210" s="6" t="str">
        <f>IF(J210="","",COUNT($J$3:J210))</f>
        <v/>
      </c>
      <c r="L210" s="6" t="str">
        <f t="shared" si="106"/>
        <v/>
      </c>
      <c r="M210" s="6" t="str">
        <f t="shared" si="107"/>
        <v/>
      </c>
      <c r="N210" s="6" t="str">
        <f t="shared" si="108"/>
        <v/>
      </c>
      <c r="O210" s="6" t="str">
        <f t="shared" si="109"/>
        <v/>
      </c>
      <c r="P210" s="32" t="str">
        <f t="shared" si="101"/>
        <v/>
      </c>
      <c r="Q210" s="13" t="str">
        <f t="shared" si="120"/>
        <v>-</v>
      </c>
      <c r="R210" s="13" t="str">
        <f t="shared" si="121"/>
        <v>-</v>
      </c>
      <c r="S210" s="13" t="str">
        <f t="shared" si="122"/>
        <v>-</v>
      </c>
      <c r="T210" s="13" t="str">
        <f t="shared" si="123"/>
        <v>-</v>
      </c>
      <c r="U210" s="31" t="str">
        <f t="shared" si="102"/>
        <v>-</v>
      </c>
      <c r="V210" s="6">
        <f t="shared" si="103"/>
        <v>1</v>
      </c>
      <c r="W210" s="6">
        <f>IF(V210="","",COUNT($V$3:V210))</f>
        <v>70</v>
      </c>
      <c r="X210" s="6">
        <f t="shared" si="110"/>
        <v>2</v>
      </c>
      <c r="Y210" s="6">
        <f t="shared" si="111"/>
        <v>3</v>
      </c>
      <c r="Z210" s="6">
        <f t="shared" si="112"/>
        <v>4</v>
      </c>
      <c r="AA210" s="6">
        <f t="shared" si="113"/>
        <v>1</v>
      </c>
      <c r="AB210" s="32">
        <f t="shared" si="104"/>
        <v>0</v>
      </c>
      <c r="AC210" s="13" t="str">
        <f t="shared" si="114"/>
        <v>박성현</v>
      </c>
      <c r="AD210" s="13" t="str">
        <f t="shared" si="115"/>
        <v>허지웅</v>
      </c>
      <c r="AE210" s="13" t="str">
        <f t="shared" si="116"/>
        <v>정윤준</v>
      </c>
      <c r="AF210" s="13" t="str">
        <f t="shared" si="117"/>
        <v>이기수</v>
      </c>
      <c r="AG210" s="31" t="str">
        <f t="shared" si="105"/>
        <v>정윤준</v>
      </c>
      <c r="AH210" s="2" t="str">
        <f t="shared" si="118"/>
        <v/>
      </c>
      <c r="AI210" s="2" t="str">
        <f>IF(AH210="","",COUNT($AH$3:AH210))</f>
        <v/>
      </c>
      <c r="AJ210" s="60" t="str">
        <f t="shared" si="119"/>
        <v/>
      </c>
    </row>
    <row r="211" spans="1:36" ht="16.5">
      <c r="A211" s="6">
        <v>209</v>
      </c>
      <c r="B211" s="9">
        <f t="shared" si="94"/>
        <v>46231</v>
      </c>
      <c r="C211" s="7">
        <f t="shared" si="95"/>
        <v>7</v>
      </c>
      <c r="D211" s="7">
        <f t="shared" si="96"/>
        <v>28</v>
      </c>
      <c r="E211" s="15">
        <f t="shared" si="97"/>
        <v>3</v>
      </c>
      <c r="F211" s="8" t="str">
        <f t="shared" si="98"/>
        <v/>
      </c>
      <c r="G211" s="58"/>
      <c r="H211" s="12" t="s">
        <v>64</v>
      </c>
      <c r="I211" s="6" t="str">
        <f t="shared" si="99"/>
        <v>비번</v>
      </c>
      <c r="J211" s="6" t="str">
        <f t="shared" si="100"/>
        <v/>
      </c>
      <c r="K211" s="6" t="str">
        <f>IF(J211="","",COUNT($J$3:J211))</f>
        <v/>
      </c>
      <c r="L211" s="6" t="str">
        <f t="shared" si="106"/>
        <v/>
      </c>
      <c r="M211" s="6" t="str">
        <f t="shared" si="107"/>
        <v/>
      </c>
      <c r="N211" s="6" t="str">
        <f t="shared" si="108"/>
        <v/>
      </c>
      <c r="O211" s="6" t="str">
        <f t="shared" si="109"/>
        <v/>
      </c>
      <c r="P211" s="32" t="str">
        <f t="shared" si="101"/>
        <v/>
      </c>
      <c r="Q211" s="13" t="str">
        <f t="shared" si="120"/>
        <v>-</v>
      </c>
      <c r="R211" s="13" t="str">
        <f t="shared" si="121"/>
        <v>-</v>
      </c>
      <c r="S211" s="13" t="str">
        <f t="shared" si="122"/>
        <v>-</v>
      </c>
      <c r="T211" s="13" t="str">
        <f t="shared" si="123"/>
        <v>-</v>
      </c>
      <c r="U211" s="31" t="str">
        <f t="shared" si="102"/>
        <v>-</v>
      </c>
      <c r="V211" s="6" t="str">
        <f t="shared" si="103"/>
        <v/>
      </c>
      <c r="W211" s="6" t="str">
        <f>IF(V211="","",COUNT($V$3:V211))</f>
        <v/>
      </c>
      <c r="X211" s="6" t="str">
        <f t="shared" si="110"/>
        <v/>
      </c>
      <c r="Y211" s="6" t="str">
        <f t="shared" si="111"/>
        <v/>
      </c>
      <c r="Z211" s="6" t="str">
        <f t="shared" si="112"/>
        <v/>
      </c>
      <c r="AA211" s="6" t="str">
        <f t="shared" si="113"/>
        <v/>
      </c>
      <c r="AB211" s="32" t="str">
        <f t="shared" si="104"/>
        <v/>
      </c>
      <c r="AC211" s="13" t="str">
        <f t="shared" si="114"/>
        <v>-</v>
      </c>
      <c r="AD211" s="13" t="str">
        <f t="shared" si="115"/>
        <v>-</v>
      </c>
      <c r="AE211" s="13" t="str">
        <f t="shared" si="116"/>
        <v>-</v>
      </c>
      <c r="AF211" s="13" t="str">
        <f t="shared" si="117"/>
        <v>-</v>
      </c>
      <c r="AG211" s="31" t="str">
        <f t="shared" si="105"/>
        <v>-</v>
      </c>
      <c r="AH211" s="2" t="str">
        <f t="shared" si="118"/>
        <v/>
      </c>
      <c r="AI211" s="2" t="str">
        <f>IF(AH211="","",COUNT($AH$3:AH211))</f>
        <v/>
      </c>
      <c r="AJ211" s="60" t="str">
        <f t="shared" si="119"/>
        <v/>
      </c>
    </row>
    <row r="212" spans="1:36" ht="16.5">
      <c r="A212" s="6">
        <v>210</v>
      </c>
      <c r="B212" s="9">
        <f t="shared" si="94"/>
        <v>46232</v>
      </c>
      <c r="C212" s="7">
        <f t="shared" si="95"/>
        <v>7</v>
      </c>
      <c r="D212" s="7">
        <f t="shared" si="96"/>
        <v>29</v>
      </c>
      <c r="E212" s="15">
        <f t="shared" si="97"/>
        <v>4</v>
      </c>
      <c r="F212" s="8" t="str">
        <f t="shared" si="98"/>
        <v/>
      </c>
      <c r="G212" s="58"/>
      <c r="H212" s="12" t="s">
        <v>65</v>
      </c>
      <c r="I212" s="6" t="str">
        <f t="shared" si="99"/>
        <v>주간</v>
      </c>
      <c r="J212" s="6">
        <f t="shared" si="100"/>
        <v>1</v>
      </c>
      <c r="K212" s="6">
        <f>IF(J212="","",COUNT($J$3:J212))</f>
        <v>48</v>
      </c>
      <c r="L212" s="6">
        <f t="shared" si="106"/>
        <v>4</v>
      </c>
      <c r="M212" s="6">
        <f t="shared" si="107"/>
        <v>1</v>
      </c>
      <c r="N212" s="6">
        <f t="shared" si="108"/>
        <v>2</v>
      </c>
      <c r="O212" s="6">
        <f t="shared" si="109"/>
        <v>3</v>
      </c>
      <c r="P212" s="32">
        <f t="shared" si="101"/>
        <v>3</v>
      </c>
      <c r="Q212" s="13" t="str">
        <f t="shared" si="120"/>
        <v>정윤준</v>
      </c>
      <c r="R212" s="13" t="str">
        <f t="shared" si="121"/>
        <v>이기수</v>
      </c>
      <c r="S212" s="13" t="str">
        <f t="shared" si="122"/>
        <v>박성현</v>
      </c>
      <c r="T212" s="13" t="str">
        <f t="shared" si="123"/>
        <v>허지웅</v>
      </c>
      <c r="U212" s="31" t="str">
        <f t="shared" si="102"/>
        <v>허지웅</v>
      </c>
      <c r="V212" s="6" t="str">
        <f t="shared" si="103"/>
        <v/>
      </c>
      <c r="W212" s="6" t="str">
        <f>IF(V212="","",COUNT($V$3:V212))</f>
        <v/>
      </c>
      <c r="X212" s="6" t="str">
        <f t="shared" si="110"/>
        <v/>
      </c>
      <c r="Y212" s="6" t="str">
        <f t="shared" si="111"/>
        <v/>
      </c>
      <c r="Z212" s="6" t="str">
        <f t="shared" si="112"/>
        <v/>
      </c>
      <c r="AA212" s="6" t="str">
        <f t="shared" si="113"/>
        <v/>
      </c>
      <c r="AB212" s="32" t="str">
        <f t="shared" si="104"/>
        <v/>
      </c>
      <c r="AC212" s="13" t="str">
        <f t="shared" si="114"/>
        <v>-</v>
      </c>
      <c r="AD212" s="13" t="str">
        <f t="shared" si="115"/>
        <v>-</v>
      </c>
      <c r="AE212" s="13" t="str">
        <f t="shared" si="116"/>
        <v>-</v>
      </c>
      <c r="AF212" s="13" t="str">
        <f t="shared" si="117"/>
        <v>-</v>
      </c>
      <c r="AG212" s="31" t="str">
        <f t="shared" si="105"/>
        <v>-</v>
      </c>
      <c r="AH212" s="2" t="str">
        <f t="shared" si="118"/>
        <v/>
      </c>
      <c r="AI212" s="2" t="str">
        <f>IF(AH212="","",COUNT($AH$3:AH212))</f>
        <v/>
      </c>
      <c r="AJ212" s="60" t="str">
        <f t="shared" si="119"/>
        <v/>
      </c>
    </row>
    <row r="213" spans="1:36" ht="16.5">
      <c r="A213" s="6">
        <v>211</v>
      </c>
      <c r="B213" s="9">
        <f t="shared" si="94"/>
        <v>46233</v>
      </c>
      <c r="C213" s="7">
        <f t="shared" si="95"/>
        <v>7</v>
      </c>
      <c r="D213" s="7">
        <f t="shared" si="96"/>
        <v>30</v>
      </c>
      <c r="E213" s="15">
        <f t="shared" si="97"/>
        <v>5</v>
      </c>
      <c r="F213" s="8" t="str">
        <f t="shared" si="98"/>
        <v/>
      </c>
      <c r="G213" s="58"/>
      <c r="H213" s="12" t="s">
        <v>63</v>
      </c>
      <c r="I213" s="6" t="str">
        <f t="shared" si="99"/>
        <v>야간</v>
      </c>
      <c r="J213" s="6" t="str">
        <f t="shared" si="100"/>
        <v/>
      </c>
      <c r="K213" s="6" t="str">
        <f>IF(J213="","",COUNT($J$3:J213))</f>
        <v/>
      </c>
      <c r="L213" s="6" t="str">
        <f t="shared" si="106"/>
        <v/>
      </c>
      <c r="M213" s="6" t="str">
        <f t="shared" si="107"/>
        <v/>
      </c>
      <c r="N213" s="6" t="str">
        <f t="shared" si="108"/>
        <v/>
      </c>
      <c r="O213" s="6" t="str">
        <f t="shared" si="109"/>
        <v/>
      </c>
      <c r="P213" s="32" t="str">
        <f t="shared" si="101"/>
        <v/>
      </c>
      <c r="Q213" s="13" t="str">
        <f t="shared" si="120"/>
        <v>-</v>
      </c>
      <c r="R213" s="13" t="str">
        <f t="shared" si="121"/>
        <v>-</v>
      </c>
      <c r="S213" s="13" t="str">
        <f t="shared" si="122"/>
        <v>-</v>
      </c>
      <c r="T213" s="13" t="str">
        <f t="shared" si="123"/>
        <v>-</v>
      </c>
      <c r="U213" s="31" t="str">
        <f t="shared" si="102"/>
        <v>-</v>
      </c>
      <c r="V213" s="6">
        <f t="shared" si="103"/>
        <v>1</v>
      </c>
      <c r="W213" s="6">
        <f>IF(V213="","",COUNT($V$3:V213))</f>
        <v>71</v>
      </c>
      <c r="X213" s="6">
        <f t="shared" si="110"/>
        <v>1</v>
      </c>
      <c r="Y213" s="6">
        <f t="shared" si="111"/>
        <v>2</v>
      </c>
      <c r="Z213" s="6">
        <f t="shared" si="112"/>
        <v>3</v>
      </c>
      <c r="AA213" s="6">
        <f t="shared" si="113"/>
        <v>4</v>
      </c>
      <c r="AB213" s="32">
        <f t="shared" si="104"/>
        <v>1</v>
      </c>
      <c r="AC213" s="13" t="str">
        <f t="shared" si="114"/>
        <v>이기수</v>
      </c>
      <c r="AD213" s="13" t="str">
        <f t="shared" si="115"/>
        <v>박성현</v>
      </c>
      <c r="AE213" s="13" t="str">
        <f t="shared" si="116"/>
        <v>허지웅</v>
      </c>
      <c r="AF213" s="13" t="str">
        <f t="shared" si="117"/>
        <v>정윤준</v>
      </c>
      <c r="AG213" s="31" t="str">
        <f t="shared" si="105"/>
        <v>허지웅</v>
      </c>
      <c r="AH213" s="2">
        <f t="shared" si="118"/>
        <v>1</v>
      </c>
      <c r="AI213" s="2">
        <f>IF(AH213="","",COUNT($AH$3:AH213))</f>
        <v>18</v>
      </c>
      <c r="AJ213" s="60" t="str">
        <f t="shared" si="119"/>
        <v>허지웅</v>
      </c>
    </row>
    <row r="214" spans="1:36" ht="16.5">
      <c r="A214" s="6">
        <v>212</v>
      </c>
      <c r="B214" s="9">
        <f t="shared" si="94"/>
        <v>46234</v>
      </c>
      <c r="C214" s="7">
        <f t="shared" si="95"/>
        <v>7</v>
      </c>
      <c r="D214" s="7">
        <f t="shared" si="96"/>
        <v>31</v>
      </c>
      <c r="E214" s="15">
        <f t="shared" si="97"/>
        <v>6</v>
      </c>
      <c r="F214" s="8" t="str">
        <f t="shared" si="98"/>
        <v/>
      </c>
      <c r="G214" s="58"/>
      <c r="H214" s="12" t="s">
        <v>64</v>
      </c>
      <c r="I214" s="6" t="str">
        <f t="shared" si="99"/>
        <v>비번</v>
      </c>
      <c r="J214" s="6" t="str">
        <f t="shared" si="100"/>
        <v/>
      </c>
      <c r="K214" s="6" t="str">
        <f>IF(J214="","",COUNT($J$3:J214))</f>
        <v/>
      </c>
      <c r="L214" s="6" t="str">
        <f t="shared" si="106"/>
        <v/>
      </c>
      <c r="M214" s="6" t="str">
        <f t="shared" si="107"/>
        <v/>
      </c>
      <c r="N214" s="6" t="str">
        <f t="shared" si="108"/>
        <v/>
      </c>
      <c r="O214" s="6" t="str">
        <f t="shared" si="109"/>
        <v/>
      </c>
      <c r="P214" s="32" t="str">
        <f t="shared" si="101"/>
        <v/>
      </c>
      <c r="Q214" s="13" t="str">
        <f t="shared" si="120"/>
        <v>-</v>
      </c>
      <c r="R214" s="13" t="str">
        <f t="shared" si="121"/>
        <v>-</v>
      </c>
      <c r="S214" s="13" t="str">
        <f t="shared" si="122"/>
        <v>-</v>
      </c>
      <c r="T214" s="13" t="str">
        <f t="shared" si="123"/>
        <v>-</v>
      </c>
      <c r="U214" s="31" t="str">
        <f t="shared" si="102"/>
        <v>-</v>
      </c>
      <c r="V214" s="6" t="str">
        <f t="shared" si="103"/>
        <v/>
      </c>
      <c r="W214" s="6" t="str">
        <f>IF(V214="","",COUNT($V$3:V214))</f>
        <v/>
      </c>
      <c r="X214" s="6" t="str">
        <f t="shared" si="110"/>
        <v/>
      </c>
      <c r="Y214" s="6" t="str">
        <f t="shared" si="111"/>
        <v/>
      </c>
      <c r="Z214" s="6" t="str">
        <f t="shared" si="112"/>
        <v/>
      </c>
      <c r="AA214" s="6" t="str">
        <f t="shared" si="113"/>
        <v/>
      </c>
      <c r="AB214" s="32" t="str">
        <f t="shared" si="104"/>
        <v/>
      </c>
      <c r="AC214" s="13" t="str">
        <f t="shared" si="114"/>
        <v>-</v>
      </c>
      <c r="AD214" s="13" t="str">
        <f t="shared" si="115"/>
        <v>-</v>
      </c>
      <c r="AE214" s="13" t="str">
        <f t="shared" si="116"/>
        <v>-</v>
      </c>
      <c r="AF214" s="13" t="str">
        <f t="shared" si="117"/>
        <v>-</v>
      </c>
      <c r="AG214" s="31" t="str">
        <f t="shared" si="105"/>
        <v>-</v>
      </c>
      <c r="AH214" s="2" t="str">
        <f t="shared" si="118"/>
        <v/>
      </c>
      <c r="AI214" s="2" t="str">
        <f>IF(AH214="","",COUNT($AH$3:AH214))</f>
        <v/>
      </c>
      <c r="AJ214" s="60" t="str">
        <f t="shared" si="119"/>
        <v/>
      </c>
    </row>
    <row r="215" spans="1:36" ht="16.5">
      <c r="A215" s="6">
        <v>213</v>
      </c>
      <c r="B215" s="9">
        <f t="shared" si="94"/>
        <v>46235</v>
      </c>
      <c r="C215" s="7">
        <f t="shared" si="95"/>
        <v>8</v>
      </c>
      <c r="D215" s="7">
        <f t="shared" si="96"/>
        <v>1</v>
      </c>
      <c r="E215" s="15">
        <f t="shared" si="97"/>
        <v>7</v>
      </c>
      <c r="F215" s="8" t="str">
        <f t="shared" si="98"/>
        <v>휴</v>
      </c>
      <c r="G215" s="58"/>
      <c r="H215" s="12" t="s">
        <v>65</v>
      </c>
      <c r="I215" s="6" t="str">
        <f t="shared" si="99"/>
        <v>휴무</v>
      </c>
      <c r="J215" s="6" t="str">
        <f t="shared" si="100"/>
        <v/>
      </c>
      <c r="K215" s="6" t="str">
        <f>IF(J215="","",COUNT($J$3:J215))</f>
        <v/>
      </c>
      <c r="L215" s="6" t="str">
        <f t="shared" si="106"/>
        <v/>
      </c>
      <c r="M215" s="6" t="str">
        <f t="shared" si="107"/>
        <v/>
      </c>
      <c r="N215" s="6" t="str">
        <f t="shared" si="108"/>
        <v/>
      </c>
      <c r="O215" s="6" t="str">
        <f t="shared" si="109"/>
        <v/>
      </c>
      <c r="P215" s="32" t="str">
        <f t="shared" si="101"/>
        <v/>
      </c>
      <c r="Q215" s="13" t="str">
        <f t="shared" si="120"/>
        <v>-</v>
      </c>
      <c r="R215" s="13" t="str">
        <f t="shared" si="121"/>
        <v>-</v>
      </c>
      <c r="S215" s="13" t="str">
        <f t="shared" si="122"/>
        <v>-</v>
      </c>
      <c r="T215" s="13" t="str">
        <f t="shared" si="123"/>
        <v>-</v>
      </c>
      <c r="U215" s="31" t="str">
        <f t="shared" si="102"/>
        <v>-</v>
      </c>
      <c r="V215" s="6" t="str">
        <f t="shared" si="103"/>
        <v/>
      </c>
      <c r="W215" s="6" t="str">
        <f>IF(V215="","",COUNT($V$3:V215))</f>
        <v/>
      </c>
      <c r="X215" s="6" t="str">
        <f t="shared" si="110"/>
        <v/>
      </c>
      <c r="Y215" s="6" t="str">
        <f t="shared" si="111"/>
        <v/>
      </c>
      <c r="Z215" s="6" t="str">
        <f t="shared" si="112"/>
        <v/>
      </c>
      <c r="AA215" s="6" t="str">
        <f t="shared" si="113"/>
        <v/>
      </c>
      <c r="AB215" s="32" t="str">
        <f t="shared" si="104"/>
        <v/>
      </c>
      <c r="AC215" s="13" t="str">
        <f t="shared" si="114"/>
        <v>-</v>
      </c>
      <c r="AD215" s="13" t="str">
        <f t="shared" si="115"/>
        <v>-</v>
      </c>
      <c r="AE215" s="13" t="str">
        <f t="shared" si="116"/>
        <v>-</v>
      </c>
      <c r="AF215" s="13" t="str">
        <f t="shared" si="117"/>
        <v>-</v>
      </c>
      <c r="AG215" s="31" t="str">
        <f t="shared" si="105"/>
        <v>-</v>
      </c>
      <c r="AH215" s="2" t="str">
        <f t="shared" si="118"/>
        <v/>
      </c>
      <c r="AI215" s="2" t="str">
        <f>IF(AH215="","",COUNT($AH$3:AH215))</f>
        <v/>
      </c>
      <c r="AJ215" s="60" t="str">
        <f t="shared" si="119"/>
        <v/>
      </c>
    </row>
    <row r="216" spans="1:36" ht="16.5">
      <c r="A216" s="6">
        <v>214</v>
      </c>
      <c r="B216" s="9">
        <f t="shared" si="94"/>
        <v>46236</v>
      </c>
      <c r="C216" s="7">
        <f t="shared" si="95"/>
        <v>8</v>
      </c>
      <c r="D216" s="7">
        <f t="shared" si="96"/>
        <v>2</v>
      </c>
      <c r="E216" s="15">
        <f t="shared" si="97"/>
        <v>1</v>
      </c>
      <c r="F216" s="8" t="str">
        <f t="shared" si="98"/>
        <v>휴</v>
      </c>
      <c r="G216" s="58"/>
      <c r="H216" s="12" t="s">
        <v>63</v>
      </c>
      <c r="I216" s="6" t="str">
        <f t="shared" si="99"/>
        <v>당직</v>
      </c>
      <c r="J216" s="6" t="str">
        <f t="shared" si="100"/>
        <v/>
      </c>
      <c r="K216" s="6" t="str">
        <f>IF(J216="","",COUNT($J$3:J216))</f>
        <v/>
      </c>
      <c r="L216" s="6" t="str">
        <f t="shared" si="106"/>
        <v/>
      </c>
      <c r="M216" s="6" t="str">
        <f t="shared" si="107"/>
        <v/>
      </c>
      <c r="N216" s="6" t="str">
        <f t="shared" si="108"/>
        <v/>
      </c>
      <c r="O216" s="6" t="str">
        <f t="shared" si="109"/>
        <v/>
      </c>
      <c r="P216" s="32" t="str">
        <f t="shared" si="101"/>
        <v/>
      </c>
      <c r="Q216" s="13" t="str">
        <f t="shared" si="120"/>
        <v>-</v>
      </c>
      <c r="R216" s="13" t="str">
        <f t="shared" si="121"/>
        <v>-</v>
      </c>
      <c r="S216" s="13" t="str">
        <f t="shared" si="122"/>
        <v>-</v>
      </c>
      <c r="T216" s="13" t="str">
        <f t="shared" si="123"/>
        <v>-</v>
      </c>
      <c r="U216" s="31" t="str">
        <f t="shared" si="102"/>
        <v>-</v>
      </c>
      <c r="V216" s="6">
        <f t="shared" si="103"/>
        <v>1</v>
      </c>
      <c r="W216" s="6">
        <f>IF(V216="","",COUNT($V$3:V216))</f>
        <v>72</v>
      </c>
      <c r="X216" s="6">
        <f t="shared" si="110"/>
        <v>4</v>
      </c>
      <c r="Y216" s="6">
        <f t="shared" si="111"/>
        <v>1</v>
      </c>
      <c r="Z216" s="6">
        <f t="shared" si="112"/>
        <v>2</v>
      </c>
      <c r="AA216" s="6">
        <f t="shared" si="113"/>
        <v>3</v>
      </c>
      <c r="AB216" s="32">
        <f t="shared" si="104"/>
        <v>2</v>
      </c>
      <c r="AC216" s="13" t="str">
        <f t="shared" si="114"/>
        <v>정윤준</v>
      </c>
      <c r="AD216" s="13" t="str">
        <f t="shared" si="115"/>
        <v>이기수</v>
      </c>
      <c r="AE216" s="13" t="str">
        <f t="shared" si="116"/>
        <v>박성현</v>
      </c>
      <c r="AF216" s="13" t="str">
        <f t="shared" si="117"/>
        <v>허지웅</v>
      </c>
      <c r="AG216" s="31" t="str">
        <f t="shared" si="105"/>
        <v>장혁진</v>
      </c>
      <c r="AH216" s="2" t="str">
        <f t="shared" si="118"/>
        <v/>
      </c>
      <c r="AI216" s="2" t="str">
        <f>IF(AH216="","",COUNT($AH$3:AH216))</f>
        <v/>
      </c>
      <c r="AJ216" s="60" t="str">
        <f t="shared" si="119"/>
        <v/>
      </c>
    </row>
    <row r="217" spans="1:36" ht="16.5">
      <c r="A217" s="6">
        <v>215</v>
      </c>
      <c r="B217" s="9">
        <f t="shared" si="94"/>
        <v>46237</v>
      </c>
      <c r="C217" s="7">
        <f t="shared" si="95"/>
        <v>8</v>
      </c>
      <c r="D217" s="7">
        <f t="shared" si="96"/>
        <v>3</v>
      </c>
      <c r="E217" s="15">
        <f t="shared" si="97"/>
        <v>2</v>
      </c>
      <c r="F217" s="8" t="str">
        <f t="shared" si="98"/>
        <v/>
      </c>
      <c r="G217" s="58"/>
      <c r="H217" s="12" t="s">
        <v>64</v>
      </c>
      <c r="I217" s="6" t="str">
        <f t="shared" si="99"/>
        <v>비번</v>
      </c>
      <c r="J217" s="6" t="str">
        <f t="shared" si="100"/>
        <v/>
      </c>
      <c r="K217" s="6" t="str">
        <f>IF(J217="","",COUNT($J$3:J217))</f>
        <v/>
      </c>
      <c r="L217" s="6" t="str">
        <f t="shared" si="106"/>
        <v/>
      </c>
      <c r="M217" s="6" t="str">
        <f t="shared" si="107"/>
        <v/>
      </c>
      <c r="N217" s="6" t="str">
        <f t="shared" si="108"/>
        <v/>
      </c>
      <c r="O217" s="6" t="str">
        <f t="shared" si="109"/>
        <v/>
      </c>
      <c r="P217" s="32" t="str">
        <f t="shared" si="101"/>
        <v/>
      </c>
      <c r="Q217" s="13" t="str">
        <f t="shared" si="120"/>
        <v>-</v>
      </c>
      <c r="R217" s="13" t="str">
        <f t="shared" si="121"/>
        <v>-</v>
      </c>
      <c r="S217" s="13" t="str">
        <f t="shared" si="122"/>
        <v>-</v>
      </c>
      <c r="T217" s="13" t="str">
        <f t="shared" si="123"/>
        <v>-</v>
      </c>
      <c r="U217" s="31" t="str">
        <f t="shared" si="102"/>
        <v>-</v>
      </c>
      <c r="V217" s="6" t="str">
        <f t="shared" si="103"/>
        <v/>
      </c>
      <c r="W217" s="6" t="str">
        <f>IF(V217="","",COUNT($V$3:V217))</f>
        <v/>
      </c>
      <c r="X217" s="6" t="str">
        <f t="shared" si="110"/>
        <v/>
      </c>
      <c r="Y217" s="6" t="str">
        <f t="shared" si="111"/>
        <v/>
      </c>
      <c r="Z217" s="6" t="str">
        <f t="shared" si="112"/>
        <v/>
      </c>
      <c r="AA217" s="6" t="str">
        <f t="shared" si="113"/>
        <v/>
      </c>
      <c r="AB217" s="32" t="str">
        <f t="shared" si="104"/>
        <v/>
      </c>
      <c r="AC217" s="13" t="str">
        <f t="shared" si="114"/>
        <v>-</v>
      </c>
      <c r="AD217" s="13" t="str">
        <f t="shared" si="115"/>
        <v>-</v>
      </c>
      <c r="AE217" s="13" t="str">
        <f t="shared" si="116"/>
        <v>-</v>
      </c>
      <c r="AF217" s="13" t="str">
        <f t="shared" si="117"/>
        <v>-</v>
      </c>
      <c r="AG217" s="31" t="str">
        <f t="shared" si="105"/>
        <v>-</v>
      </c>
      <c r="AH217" s="2" t="str">
        <f t="shared" si="118"/>
        <v/>
      </c>
      <c r="AI217" s="2" t="str">
        <f>IF(AH217="","",COUNT($AH$3:AH217))</f>
        <v/>
      </c>
      <c r="AJ217" s="60" t="str">
        <f t="shared" si="119"/>
        <v/>
      </c>
    </row>
    <row r="218" spans="1:36" ht="16.5">
      <c r="A218" s="6">
        <v>216</v>
      </c>
      <c r="B218" s="9">
        <f t="shared" si="94"/>
        <v>46238</v>
      </c>
      <c r="C218" s="7">
        <f t="shared" si="95"/>
        <v>8</v>
      </c>
      <c r="D218" s="7">
        <f t="shared" si="96"/>
        <v>4</v>
      </c>
      <c r="E218" s="15">
        <f t="shared" si="97"/>
        <v>3</v>
      </c>
      <c r="F218" s="8" t="str">
        <f t="shared" si="98"/>
        <v/>
      </c>
      <c r="G218" s="58"/>
      <c r="H218" s="12" t="s">
        <v>65</v>
      </c>
      <c r="I218" s="6" t="str">
        <f t="shared" si="99"/>
        <v>주간</v>
      </c>
      <c r="J218" s="6">
        <f t="shared" si="100"/>
        <v>1</v>
      </c>
      <c r="K218" s="6">
        <f>IF(J218="","",COUNT($J$3:J218))</f>
        <v>49</v>
      </c>
      <c r="L218" s="6">
        <f t="shared" si="106"/>
        <v>3</v>
      </c>
      <c r="M218" s="6">
        <f t="shared" si="107"/>
        <v>4</v>
      </c>
      <c r="N218" s="6">
        <f t="shared" si="108"/>
        <v>1</v>
      </c>
      <c r="O218" s="6">
        <f t="shared" si="109"/>
        <v>2</v>
      </c>
      <c r="P218" s="32">
        <f t="shared" si="101"/>
        <v>4</v>
      </c>
      <c r="Q218" s="13" t="str">
        <f t="shared" si="120"/>
        <v>허지웅</v>
      </c>
      <c r="R218" s="13" t="str">
        <f t="shared" si="121"/>
        <v>정윤준</v>
      </c>
      <c r="S218" s="13" t="str">
        <f t="shared" si="122"/>
        <v>이기수</v>
      </c>
      <c r="T218" s="13" t="str">
        <f t="shared" si="123"/>
        <v>박성현</v>
      </c>
      <c r="U218" s="31" t="e">
        <f t="shared" si="102"/>
        <v>#VALUE!</v>
      </c>
      <c r="V218" s="6" t="str">
        <f t="shared" si="103"/>
        <v/>
      </c>
      <c r="W218" s="6" t="str">
        <f>IF(V218="","",COUNT($V$3:V218))</f>
        <v/>
      </c>
      <c r="X218" s="6" t="str">
        <f t="shared" si="110"/>
        <v/>
      </c>
      <c r="Y218" s="6" t="str">
        <f t="shared" si="111"/>
        <v/>
      </c>
      <c r="Z218" s="6" t="str">
        <f t="shared" si="112"/>
        <v/>
      </c>
      <c r="AA218" s="6" t="str">
        <f t="shared" si="113"/>
        <v/>
      </c>
      <c r="AB218" s="32" t="str">
        <f t="shared" si="104"/>
        <v/>
      </c>
      <c r="AC218" s="13" t="str">
        <f t="shared" si="114"/>
        <v>-</v>
      </c>
      <c r="AD218" s="13" t="str">
        <f t="shared" si="115"/>
        <v>-</v>
      </c>
      <c r="AE218" s="13" t="str">
        <f t="shared" si="116"/>
        <v>-</v>
      </c>
      <c r="AF218" s="13" t="str">
        <f t="shared" si="117"/>
        <v>-</v>
      </c>
      <c r="AG218" s="31" t="str">
        <f t="shared" si="105"/>
        <v>-</v>
      </c>
      <c r="AH218" s="2" t="str">
        <f t="shared" si="118"/>
        <v/>
      </c>
      <c r="AI218" s="2" t="str">
        <f>IF(AH218="","",COUNT($AH$3:AH218))</f>
        <v/>
      </c>
      <c r="AJ218" s="60" t="str">
        <f t="shared" si="119"/>
        <v/>
      </c>
    </row>
    <row r="219" spans="1:36" ht="16.5">
      <c r="A219" s="6">
        <v>217</v>
      </c>
      <c r="B219" s="9">
        <f t="shared" si="94"/>
        <v>46239</v>
      </c>
      <c r="C219" s="7">
        <f t="shared" si="95"/>
        <v>8</v>
      </c>
      <c r="D219" s="7">
        <f t="shared" si="96"/>
        <v>5</v>
      </c>
      <c r="E219" s="15">
        <f t="shared" si="97"/>
        <v>4</v>
      </c>
      <c r="F219" s="8" t="str">
        <f t="shared" si="98"/>
        <v/>
      </c>
      <c r="G219" s="58"/>
      <c r="H219" s="12" t="s">
        <v>63</v>
      </c>
      <c r="I219" s="6" t="str">
        <f t="shared" si="99"/>
        <v>야간</v>
      </c>
      <c r="J219" s="6" t="str">
        <f t="shared" si="100"/>
        <v/>
      </c>
      <c r="K219" s="6" t="str">
        <f>IF(J219="","",COUNT($J$3:J219))</f>
        <v/>
      </c>
      <c r="L219" s="6" t="str">
        <f t="shared" si="106"/>
        <v/>
      </c>
      <c r="M219" s="6" t="str">
        <f t="shared" si="107"/>
        <v/>
      </c>
      <c r="N219" s="6" t="str">
        <f t="shared" si="108"/>
        <v/>
      </c>
      <c r="O219" s="6" t="str">
        <f t="shared" si="109"/>
        <v/>
      </c>
      <c r="P219" s="32" t="str">
        <f t="shared" si="101"/>
        <v/>
      </c>
      <c r="Q219" s="13" t="str">
        <f t="shared" si="120"/>
        <v>-</v>
      </c>
      <c r="R219" s="13" t="str">
        <f t="shared" si="121"/>
        <v>-</v>
      </c>
      <c r="S219" s="13" t="str">
        <f t="shared" si="122"/>
        <v>-</v>
      </c>
      <c r="T219" s="13" t="str">
        <f t="shared" si="123"/>
        <v>-</v>
      </c>
      <c r="U219" s="31" t="str">
        <f t="shared" si="102"/>
        <v>-</v>
      </c>
      <c r="V219" s="6">
        <f t="shared" si="103"/>
        <v>1</v>
      </c>
      <c r="W219" s="6">
        <f>IF(V219="","",COUNT($V$3:V219))</f>
        <v>73</v>
      </c>
      <c r="X219" s="6">
        <f t="shared" si="110"/>
        <v>3</v>
      </c>
      <c r="Y219" s="6">
        <f t="shared" si="111"/>
        <v>4</v>
      </c>
      <c r="Z219" s="6">
        <f t="shared" si="112"/>
        <v>1</v>
      </c>
      <c r="AA219" s="6">
        <f t="shared" si="113"/>
        <v>2</v>
      </c>
      <c r="AB219" s="32">
        <f t="shared" si="104"/>
        <v>3</v>
      </c>
      <c r="AC219" s="13" t="str">
        <f t="shared" si="114"/>
        <v>허지웅</v>
      </c>
      <c r="AD219" s="13" t="str">
        <f t="shared" si="115"/>
        <v>정윤준</v>
      </c>
      <c r="AE219" s="13" t="str">
        <f t="shared" si="116"/>
        <v>이기수</v>
      </c>
      <c r="AF219" s="13" t="str">
        <f t="shared" si="117"/>
        <v>박성현</v>
      </c>
      <c r="AG219" s="31" t="str">
        <f t="shared" si="105"/>
        <v>이기수</v>
      </c>
      <c r="AH219" s="2" t="str">
        <f t="shared" si="118"/>
        <v/>
      </c>
      <c r="AI219" s="2" t="str">
        <f>IF(AH219="","",COUNT($AH$3:AH219))</f>
        <v/>
      </c>
      <c r="AJ219" s="60" t="str">
        <f t="shared" si="119"/>
        <v/>
      </c>
    </row>
    <row r="220" spans="1:36" ht="16.5">
      <c r="A220" s="6">
        <v>218</v>
      </c>
      <c r="B220" s="9">
        <f t="shared" si="94"/>
        <v>46240</v>
      </c>
      <c r="C220" s="7">
        <f t="shared" si="95"/>
        <v>8</v>
      </c>
      <c r="D220" s="7">
        <f t="shared" si="96"/>
        <v>6</v>
      </c>
      <c r="E220" s="15">
        <f t="shared" si="97"/>
        <v>5</v>
      </c>
      <c r="F220" s="8" t="str">
        <f t="shared" si="98"/>
        <v/>
      </c>
      <c r="G220" s="58"/>
      <c r="H220" s="12" t="s">
        <v>64</v>
      </c>
      <c r="I220" s="6" t="str">
        <f t="shared" si="99"/>
        <v>비번</v>
      </c>
      <c r="J220" s="6" t="str">
        <f t="shared" si="100"/>
        <v/>
      </c>
      <c r="K220" s="6" t="str">
        <f>IF(J220="","",COUNT($J$3:J220))</f>
        <v/>
      </c>
      <c r="L220" s="6" t="str">
        <f t="shared" si="106"/>
        <v/>
      </c>
      <c r="M220" s="6" t="str">
        <f t="shared" si="107"/>
        <v/>
      </c>
      <c r="N220" s="6" t="str">
        <f t="shared" si="108"/>
        <v/>
      </c>
      <c r="O220" s="6" t="str">
        <f t="shared" si="109"/>
        <v/>
      </c>
      <c r="P220" s="32" t="str">
        <f t="shared" si="101"/>
        <v/>
      </c>
      <c r="Q220" s="13" t="str">
        <f t="shared" si="120"/>
        <v>-</v>
      </c>
      <c r="R220" s="13" t="str">
        <f t="shared" si="121"/>
        <v>-</v>
      </c>
      <c r="S220" s="13" t="str">
        <f t="shared" si="122"/>
        <v>-</v>
      </c>
      <c r="T220" s="13" t="str">
        <f t="shared" si="123"/>
        <v>-</v>
      </c>
      <c r="U220" s="31" t="str">
        <f t="shared" si="102"/>
        <v>-</v>
      </c>
      <c r="V220" s="6" t="str">
        <f t="shared" si="103"/>
        <v/>
      </c>
      <c r="W220" s="6" t="str">
        <f>IF(V220="","",COUNT($V$3:V220))</f>
        <v/>
      </c>
      <c r="X220" s="6" t="str">
        <f t="shared" si="110"/>
        <v/>
      </c>
      <c r="Y220" s="6" t="str">
        <f t="shared" si="111"/>
        <v/>
      </c>
      <c r="Z220" s="6" t="str">
        <f t="shared" si="112"/>
        <v/>
      </c>
      <c r="AA220" s="6" t="str">
        <f t="shared" si="113"/>
        <v/>
      </c>
      <c r="AB220" s="32" t="str">
        <f t="shared" si="104"/>
        <v/>
      </c>
      <c r="AC220" s="13" t="str">
        <f t="shared" si="114"/>
        <v>-</v>
      </c>
      <c r="AD220" s="13" t="str">
        <f t="shared" si="115"/>
        <v>-</v>
      </c>
      <c r="AE220" s="13" t="str">
        <f t="shared" si="116"/>
        <v>-</v>
      </c>
      <c r="AF220" s="13" t="str">
        <f t="shared" si="117"/>
        <v>-</v>
      </c>
      <c r="AG220" s="31" t="str">
        <f t="shared" si="105"/>
        <v>-</v>
      </c>
      <c r="AH220" s="2" t="str">
        <f t="shared" si="118"/>
        <v/>
      </c>
      <c r="AI220" s="2" t="str">
        <f>IF(AH220="","",COUNT($AH$3:AH220))</f>
        <v/>
      </c>
      <c r="AJ220" s="60" t="str">
        <f t="shared" si="119"/>
        <v/>
      </c>
    </row>
    <row r="221" spans="1:36" ht="16.5">
      <c r="A221" s="6">
        <v>219</v>
      </c>
      <c r="B221" s="9">
        <f t="shared" si="94"/>
        <v>46241</v>
      </c>
      <c r="C221" s="7">
        <f t="shared" si="95"/>
        <v>8</v>
      </c>
      <c r="D221" s="7">
        <f t="shared" si="96"/>
        <v>7</v>
      </c>
      <c r="E221" s="15">
        <f t="shared" si="97"/>
        <v>6</v>
      </c>
      <c r="F221" s="8" t="str">
        <f t="shared" si="98"/>
        <v/>
      </c>
      <c r="G221" s="58"/>
      <c r="H221" s="12" t="s">
        <v>65</v>
      </c>
      <c r="I221" s="6" t="str">
        <f t="shared" si="99"/>
        <v>주간</v>
      </c>
      <c r="J221" s="6">
        <f t="shared" si="100"/>
        <v>1</v>
      </c>
      <c r="K221" s="6">
        <f>IF(J221="","",COUNT($J$3:J221))</f>
        <v>50</v>
      </c>
      <c r="L221" s="6">
        <f t="shared" si="106"/>
        <v>2</v>
      </c>
      <c r="M221" s="6">
        <f t="shared" si="107"/>
        <v>3</v>
      </c>
      <c r="N221" s="6">
        <f t="shared" si="108"/>
        <v>4</v>
      </c>
      <c r="O221" s="6">
        <f t="shared" si="109"/>
        <v>1</v>
      </c>
      <c r="P221" s="32">
        <f t="shared" si="101"/>
        <v>0</v>
      </c>
      <c r="Q221" s="13" t="str">
        <f t="shared" si="120"/>
        <v>박성현</v>
      </c>
      <c r="R221" s="13" t="str">
        <f t="shared" si="121"/>
        <v>허지웅</v>
      </c>
      <c r="S221" s="13" t="str">
        <f t="shared" si="122"/>
        <v>정윤준</v>
      </c>
      <c r="T221" s="13" t="str">
        <f t="shared" si="123"/>
        <v>이기수</v>
      </c>
      <c r="U221" s="31" t="str">
        <f t="shared" si="102"/>
        <v>장혁진</v>
      </c>
      <c r="V221" s="6" t="str">
        <f t="shared" si="103"/>
        <v/>
      </c>
      <c r="W221" s="6" t="str">
        <f>IF(V221="","",COUNT($V$3:V221))</f>
        <v/>
      </c>
      <c r="X221" s="6" t="str">
        <f t="shared" si="110"/>
        <v/>
      </c>
      <c r="Y221" s="6" t="str">
        <f t="shared" si="111"/>
        <v/>
      </c>
      <c r="Z221" s="6" t="str">
        <f t="shared" si="112"/>
        <v/>
      </c>
      <c r="AA221" s="6" t="str">
        <f t="shared" si="113"/>
        <v/>
      </c>
      <c r="AB221" s="32" t="str">
        <f t="shared" si="104"/>
        <v/>
      </c>
      <c r="AC221" s="13" t="str">
        <f t="shared" si="114"/>
        <v>-</v>
      </c>
      <c r="AD221" s="13" t="str">
        <f t="shared" si="115"/>
        <v>-</v>
      </c>
      <c r="AE221" s="13" t="str">
        <f t="shared" si="116"/>
        <v>-</v>
      </c>
      <c r="AF221" s="13" t="str">
        <f t="shared" si="117"/>
        <v>-</v>
      </c>
      <c r="AG221" s="31" t="str">
        <f t="shared" si="105"/>
        <v>-</v>
      </c>
      <c r="AH221" s="2" t="str">
        <f t="shared" si="118"/>
        <v/>
      </c>
      <c r="AI221" s="2" t="str">
        <f>IF(AH221="","",COUNT($AH$3:AH221))</f>
        <v/>
      </c>
      <c r="AJ221" s="60" t="str">
        <f t="shared" si="119"/>
        <v/>
      </c>
    </row>
    <row r="222" spans="1:36" ht="16.5">
      <c r="A222" s="6">
        <v>220</v>
      </c>
      <c r="B222" s="9">
        <f t="shared" si="94"/>
        <v>46242</v>
      </c>
      <c r="C222" s="7">
        <f t="shared" si="95"/>
        <v>8</v>
      </c>
      <c r="D222" s="7">
        <f t="shared" si="96"/>
        <v>8</v>
      </c>
      <c r="E222" s="15">
        <f t="shared" si="97"/>
        <v>7</v>
      </c>
      <c r="F222" s="8" t="str">
        <f t="shared" si="98"/>
        <v>휴</v>
      </c>
      <c r="G222" s="58"/>
      <c r="H222" s="12" t="s">
        <v>63</v>
      </c>
      <c r="I222" s="6" t="str">
        <f t="shared" si="99"/>
        <v>당직</v>
      </c>
      <c r="J222" s="6" t="str">
        <f t="shared" si="100"/>
        <v/>
      </c>
      <c r="K222" s="6" t="str">
        <f>IF(J222="","",COUNT($J$3:J222))</f>
        <v/>
      </c>
      <c r="L222" s="6" t="str">
        <f t="shared" si="106"/>
        <v/>
      </c>
      <c r="M222" s="6" t="str">
        <f t="shared" si="107"/>
        <v/>
      </c>
      <c r="N222" s="6" t="str">
        <f t="shared" si="108"/>
        <v/>
      </c>
      <c r="O222" s="6" t="str">
        <f t="shared" si="109"/>
        <v/>
      </c>
      <c r="P222" s="32" t="str">
        <f t="shared" si="101"/>
        <v/>
      </c>
      <c r="Q222" s="13" t="str">
        <f t="shared" si="120"/>
        <v>-</v>
      </c>
      <c r="R222" s="13" t="str">
        <f t="shared" si="121"/>
        <v>-</v>
      </c>
      <c r="S222" s="13" t="str">
        <f t="shared" si="122"/>
        <v>-</v>
      </c>
      <c r="T222" s="13" t="str">
        <f t="shared" si="123"/>
        <v>-</v>
      </c>
      <c r="U222" s="31" t="str">
        <f t="shared" si="102"/>
        <v>-</v>
      </c>
      <c r="V222" s="6">
        <f t="shared" si="103"/>
        <v>1</v>
      </c>
      <c r="W222" s="6">
        <f>IF(V222="","",COUNT($V$3:V222))</f>
        <v>74</v>
      </c>
      <c r="X222" s="6">
        <f t="shared" si="110"/>
        <v>2</v>
      </c>
      <c r="Y222" s="6">
        <f t="shared" si="111"/>
        <v>3</v>
      </c>
      <c r="Z222" s="6">
        <f t="shared" si="112"/>
        <v>4</v>
      </c>
      <c r="AA222" s="6">
        <f t="shared" si="113"/>
        <v>1</v>
      </c>
      <c r="AB222" s="32">
        <f t="shared" si="104"/>
        <v>4</v>
      </c>
      <c r="AC222" s="13" t="str">
        <f t="shared" si="114"/>
        <v>박성현</v>
      </c>
      <c r="AD222" s="13" t="str">
        <f t="shared" si="115"/>
        <v>허지웅</v>
      </c>
      <c r="AE222" s="13" t="str">
        <f t="shared" si="116"/>
        <v>정윤준</v>
      </c>
      <c r="AF222" s="13" t="str">
        <f t="shared" si="117"/>
        <v>이기수</v>
      </c>
      <c r="AG222" s="31" t="e">
        <f t="shared" si="105"/>
        <v>#VALUE!</v>
      </c>
      <c r="AH222" s="2" t="str">
        <f t="shared" si="118"/>
        <v/>
      </c>
      <c r="AI222" s="2" t="str">
        <f>IF(AH222="","",COUNT($AH$3:AH222))</f>
        <v/>
      </c>
      <c r="AJ222" s="60" t="str">
        <f t="shared" si="119"/>
        <v/>
      </c>
    </row>
    <row r="223" spans="1:36" ht="16.5">
      <c r="A223" s="6">
        <v>221</v>
      </c>
      <c r="B223" s="9">
        <f t="shared" si="94"/>
        <v>46243</v>
      </c>
      <c r="C223" s="7">
        <f t="shared" si="95"/>
        <v>8</v>
      </c>
      <c r="D223" s="7">
        <f t="shared" si="96"/>
        <v>9</v>
      </c>
      <c r="E223" s="15">
        <f t="shared" si="97"/>
        <v>1</v>
      </c>
      <c r="F223" s="8" t="str">
        <f t="shared" si="98"/>
        <v>휴</v>
      </c>
      <c r="G223" s="58"/>
      <c r="H223" s="12" t="s">
        <v>64</v>
      </c>
      <c r="I223" s="6" t="str">
        <f t="shared" si="99"/>
        <v>비번</v>
      </c>
      <c r="J223" s="6" t="str">
        <f t="shared" si="100"/>
        <v/>
      </c>
      <c r="K223" s="6" t="str">
        <f>IF(J223="","",COUNT($J$3:J223))</f>
        <v/>
      </c>
      <c r="L223" s="6" t="str">
        <f t="shared" si="106"/>
        <v/>
      </c>
      <c r="M223" s="6" t="str">
        <f t="shared" si="107"/>
        <v/>
      </c>
      <c r="N223" s="6" t="str">
        <f t="shared" si="108"/>
        <v/>
      </c>
      <c r="O223" s="6" t="str">
        <f t="shared" si="109"/>
        <v/>
      </c>
      <c r="P223" s="32" t="str">
        <f t="shared" si="101"/>
        <v/>
      </c>
      <c r="Q223" s="13" t="str">
        <f t="shared" si="120"/>
        <v>-</v>
      </c>
      <c r="R223" s="13" t="str">
        <f t="shared" si="121"/>
        <v>-</v>
      </c>
      <c r="S223" s="13" t="str">
        <f t="shared" si="122"/>
        <v>-</v>
      </c>
      <c r="T223" s="13" t="str">
        <f t="shared" si="123"/>
        <v>-</v>
      </c>
      <c r="U223" s="31" t="str">
        <f t="shared" si="102"/>
        <v>-</v>
      </c>
      <c r="V223" s="6" t="str">
        <f t="shared" si="103"/>
        <v/>
      </c>
      <c r="W223" s="6" t="str">
        <f>IF(V223="","",COUNT($V$3:V223))</f>
        <v/>
      </c>
      <c r="X223" s="6" t="str">
        <f t="shared" si="110"/>
        <v/>
      </c>
      <c r="Y223" s="6" t="str">
        <f t="shared" si="111"/>
        <v/>
      </c>
      <c r="Z223" s="6" t="str">
        <f t="shared" si="112"/>
        <v/>
      </c>
      <c r="AA223" s="6" t="str">
        <f t="shared" si="113"/>
        <v/>
      </c>
      <c r="AB223" s="32" t="str">
        <f t="shared" si="104"/>
        <v/>
      </c>
      <c r="AC223" s="13" t="str">
        <f t="shared" si="114"/>
        <v>-</v>
      </c>
      <c r="AD223" s="13" t="str">
        <f t="shared" si="115"/>
        <v>-</v>
      </c>
      <c r="AE223" s="13" t="str">
        <f t="shared" si="116"/>
        <v>-</v>
      </c>
      <c r="AF223" s="13" t="str">
        <f t="shared" si="117"/>
        <v>-</v>
      </c>
      <c r="AG223" s="31" t="str">
        <f t="shared" si="105"/>
        <v>-</v>
      </c>
      <c r="AH223" s="2" t="str">
        <f t="shared" si="118"/>
        <v/>
      </c>
      <c r="AI223" s="2" t="str">
        <f>IF(AH223="","",COUNT($AH$3:AH223))</f>
        <v/>
      </c>
      <c r="AJ223" s="60" t="str">
        <f t="shared" si="119"/>
        <v/>
      </c>
    </row>
    <row r="224" spans="1:36" ht="16.5">
      <c r="A224" s="6">
        <v>222</v>
      </c>
      <c r="B224" s="9">
        <f t="shared" si="94"/>
        <v>46244</v>
      </c>
      <c r="C224" s="7">
        <f t="shared" si="95"/>
        <v>8</v>
      </c>
      <c r="D224" s="7">
        <f t="shared" si="96"/>
        <v>10</v>
      </c>
      <c r="E224" s="15">
        <f t="shared" si="97"/>
        <v>2</v>
      </c>
      <c r="F224" s="8" t="str">
        <f t="shared" si="98"/>
        <v/>
      </c>
      <c r="G224" s="58"/>
      <c r="H224" s="12" t="s">
        <v>65</v>
      </c>
      <c r="I224" s="6" t="str">
        <f t="shared" si="99"/>
        <v>주간</v>
      </c>
      <c r="J224" s="6">
        <f t="shared" si="100"/>
        <v>1</v>
      </c>
      <c r="K224" s="6">
        <f>IF(J224="","",COUNT($J$3:J224))</f>
        <v>51</v>
      </c>
      <c r="L224" s="6">
        <f t="shared" si="106"/>
        <v>1</v>
      </c>
      <c r="M224" s="6">
        <f t="shared" si="107"/>
        <v>2</v>
      </c>
      <c r="N224" s="6">
        <f t="shared" si="108"/>
        <v>3</v>
      </c>
      <c r="O224" s="6">
        <f t="shared" si="109"/>
        <v>4</v>
      </c>
      <c r="P224" s="32">
        <f t="shared" si="101"/>
        <v>1</v>
      </c>
      <c r="Q224" s="13" t="str">
        <f t="shared" si="120"/>
        <v>이기수</v>
      </c>
      <c r="R224" s="13" t="str">
        <f t="shared" si="121"/>
        <v>박성현</v>
      </c>
      <c r="S224" s="13" t="str">
        <f t="shared" si="122"/>
        <v>허지웅</v>
      </c>
      <c r="T224" s="13" t="str">
        <f t="shared" si="123"/>
        <v>정윤준</v>
      </c>
      <c r="U224" s="31" t="str">
        <f t="shared" si="102"/>
        <v>이기수</v>
      </c>
      <c r="V224" s="6" t="str">
        <f t="shared" si="103"/>
        <v/>
      </c>
      <c r="W224" s="6" t="str">
        <f>IF(V224="","",COUNT($V$3:V224))</f>
        <v/>
      </c>
      <c r="X224" s="6" t="str">
        <f t="shared" si="110"/>
        <v/>
      </c>
      <c r="Y224" s="6" t="str">
        <f t="shared" si="111"/>
        <v/>
      </c>
      <c r="Z224" s="6" t="str">
        <f t="shared" si="112"/>
        <v/>
      </c>
      <c r="AA224" s="6" t="str">
        <f t="shared" si="113"/>
        <v/>
      </c>
      <c r="AB224" s="32" t="str">
        <f t="shared" si="104"/>
        <v/>
      </c>
      <c r="AC224" s="13" t="str">
        <f t="shared" si="114"/>
        <v>-</v>
      </c>
      <c r="AD224" s="13" t="str">
        <f t="shared" si="115"/>
        <v>-</v>
      </c>
      <c r="AE224" s="13" t="str">
        <f t="shared" si="116"/>
        <v>-</v>
      </c>
      <c r="AF224" s="13" t="str">
        <f t="shared" si="117"/>
        <v>-</v>
      </c>
      <c r="AG224" s="31" t="str">
        <f t="shared" si="105"/>
        <v>-</v>
      </c>
      <c r="AH224" s="2" t="str">
        <f t="shared" si="118"/>
        <v/>
      </c>
      <c r="AI224" s="2" t="str">
        <f>IF(AH224="","",COUNT($AH$3:AH224))</f>
        <v/>
      </c>
      <c r="AJ224" s="60" t="str">
        <f t="shared" si="119"/>
        <v/>
      </c>
    </row>
    <row r="225" spans="1:36" ht="16.5">
      <c r="A225" s="6">
        <v>223</v>
      </c>
      <c r="B225" s="9">
        <f t="shared" si="94"/>
        <v>46245</v>
      </c>
      <c r="C225" s="7">
        <f t="shared" si="95"/>
        <v>8</v>
      </c>
      <c r="D225" s="7">
        <f t="shared" si="96"/>
        <v>11</v>
      </c>
      <c r="E225" s="15">
        <f t="shared" si="97"/>
        <v>3</v>
      </c>
      <c r="F225" s="8" t="str">
        <f t="shared" si="98"/>
        <v/>
      </c>
      <c r="G225" s="58"/>
      <c r="H225" s="12" t="s">
        <v>63</v>
      </c>
      <c r="I225" s="6" t="str">
        <f t="shared" si="99"/>
        <v>야간</v>
      </c>
      <c r="J225" s="6" t="str">
        <f t="shared" si="100"/>
        <v/>
      </c>
      <c r="K225" s="6" t="str">
        <f>IF(J225="","",COUNT($J$3:J225))</f>
        <v/>
      </c>
      <c r="L225" s="6" t="str">
        <f t="shared" si="106"/>
        <v/>
      </c>
      <c r="M225" s="6" t="str">
        <f t="shared" si="107"/>
        <v/>
      </c>
      <c r="N225" s="6" t="str">
        <f t="shared" si="108"/>
        <v/>
      </c>
      <c r="O225" s="6" t="str">
        <f t="shared" si="109"/>
        <v/>
      </c>
      <c r="P225" s="32" t="str">
        <f t="shared" si="101"/>
        <v/>
      </c>
      <c r="Q225" s="13" t="str">
        <f t="shared" si="120"/>
        <v>-</v>
      </c>
      <c r="R225" s="13" t="str">
        <f t="shared" si="121"/>
        <v>-</v>
      </c>
      <c r="S225" s="13" t="str">
        <f t="shared" si="122"/>
        <v>-</v>
      </c>
      <c r="T225" s="13" t="str">
        <f t="shared" si="123"/>
        <v>-</v>
      </c>
      <c r="U225" s="31" t="str">
        <f t="shared" si="102"/>
        <v>-</v>
      </c>
      <c r="V225" s="6">
        <f t="shared" si="103"/>
        <v>1</v>
      </c>
      <c r="W225" s="6">
        <f>IF(V225="","",COUNT($V$3:V225))</f>
        <v>75</v>
      </c>
      <c r="X225" s="6">
        <f t="shared" si="110"/>
        <v>1</v>
      </c>
      <c r="Y225" s="6">
        <f t="shared" si="111"/>
        <v>2</v>
      </c>
      <c r="Z225" s="6">
        <f t="shared" si="112"/>
        <v>3</v>
      </c>
      <c r="AA225" s="6">
        <f t="shared" si="113"/>
        <v>4</v>
      </c>
      <c r="AB225" s="32">
        <f t="shared" si="104"/>
        <v>0</v>
      </c>
      <c r="AC225" s="13" t="str">
        <f t="shared" si="114"/>
        <v>이기수</v>
      </c>
      <c r="AD225" s="13" t="str">
        <f t="shared" si="115"/>
        <v>박성현</v>
      </c>
      <c r="AE225" s="13" t="str">
        <f t="shared" si="116"/>
        <v>허지웅</v>
      </c>
      <c r="AF225" s="13" t="str">
        <f t="shared" si="117"/>
        <v>정윤준</v>
      </c>
      <c r="AG225" s="31" t="str">
        <f t="shared" si="105"/>
        <v>정윤준</v>
      </c>
      <c r="AH225" s="2">
        <f t="shared" si="118"/>
        <v>1</v>
      </c>
      <c r="AI225" s="2">
        <f>IF(AH225="","",COUNT($AH$3:AH225))</f>
        <v>19</v>
      </c>
      <c r="AJ225" s="60" t="str">
        <f t="shared" si="119"/>
        <v>정윤준</v>
      </c>
    </row>
    <row r="226" spans="1:36" ht="16.5">
      <c r="A226" s="6">
        <v>224</v>
      </c>
      <c r="B226" s="9">
        <f t="shared" si="94"/>
        <v>46246</v>
      </c>
      <c r="C226" s="7">
        <f t="shared" si="95"/>
        <v>8</v>
      </c>
      <c r="D226" s="7">
        <f t="shared" si="96"/>
        <v>12</v>
      </c>
      <c r="E226" s="15">
        <f t="shared" si="97"/>
        <v>4</v>
      </c>
      <c r="F226" s="8" t="str">
        <f t="shared" si="98"/>
        <v/>
      </c>
      <c r="G226" s="58"/>
      <c r="H226" s="12" t="s">
        <v>64</v>
      </c>
      <c r="I226" s="6" t="str">
        <f t="shared" si="99"/>
        <v>비번</v>
      </c>
      <c r="J226" s="6" t="str">
        <f t="shared" si="100"/>
        <v/>
      </c>
      <c r="K226" s="6" t="str">
        <f>IF(J226="","",COUNT($J$3:J226))</f>
        <v/>
      </c>
      <c r="L226" s="6" t="str">
        <f t="shared" si="106"/>
        <v/>
      </c>
      <c r="M226" s="6" t="str">
        <f t="shared" si="107"/>
        <v/>
      </c>
      <c r="N226" s="6" t="str">
        <f t="shared" si="108"/>
        <v/>
      </c>
      <c r="O226" s="6" t="str">
        <f t="shared" si="109"/>
        <v/>
      </c>
      <c r="P226" s="32" t="str">
        <f t="shared" si="101"/>
        <v/>
      </c>
      <c r="Q226" s="13" t="str">
        <f t="shared" si="120"/>
        <v>-</v>
      </c>
      <c r="R226" s="13" t="str">
        <f t="shared" si="121"/>
        <v>-</v>
      </c>
      <c r="S226" s="13" t="str">
        <f t="shared" si="122"/>
        <v>-</v>
      </c>
      <c r="T226" s="13" t="str">
        <f t="shared" si="123"/>
        <v>-</v>
      </c>
      <c r="U226" s="31" t="str">
        <f t="shared" si="102"/>
        <v>-</v>
      </c>
      <c r="V226" s="6" t="str">
        <f t="shared" si="103"/>
        <v/>
      </c>
      <c r="W226" s="6" t="str">
        <f>IF(V226="","",COUNT($V$3:V226))</f>
        <v/>
      </c>
      <c r="X226" s="6" t="str">
        <f t="shared" si="110"/>
        <v/>
      </c>
      <c r="Y226" s="6" t="str">
        <f t="shared" si="111"/>
        <v/>
      </c>
      <c r="Z226" s="6" t="str">
        <f t="shared" si="112"/>
        <v/>
      </c>
      <c r="AA226" s="6" t="str">
        <f t="shared" si="113"/>
        <v/>
      </c>
      <c r="AB226" s="32" t="str">
        <f t="shared" si="104"/>
        <v/>
      </c>
      <c r="AC226" s="13" t="str">
        <f t="shared" si="114"/>
        <v>-</v>
      </c>
      <c r="AD226" s="13" t="str">
        <f t="shared" si="115"/>
        <v>-</v>
      </c>
      <c r="AE226" s="13" t="str">
        <f t="shared" si="116"/>
        <v>-</v>
      </c>
      <c r="AF226" s="13" t="str">
        <f t="shared" si="117"/>
        <v>-</v>
      </c>
      <c r="AG226" s="31" t="str">
        <f t="shared" si="105"/>
        <v>-</v>
      </c>
      <c r="AH226" s="2" t="str">
        <f t="shared" si="118"/>
        <v/>
      </c>
      <c r="AI226" s="2" t="str">
        <f>IF(AH226="","",COUNT($AH$3:AH226))</f>
        <v/>
      </c>
      <c r="AJ226" s="60" t="str">
        <f t="shared" si="119"/>
        <v/>
      </c>
    </row>
    <row r="227" spans="1:36" ht="16.5">
      <c r="A227" s="6">
        <v>225</v>
      </c>
      <c r="B227" s="9">
        <f t="shared" si="94"/>
        <v>46247</v>
      </c>
      <c r="C227" s="7">
        <f t="shared" si="95"/>
        <v>8</v>
      </c>
      <c r="D227" s="7">
        <f t="shared" si="96"/>
        <v>13</v>
      </c>
      <c r="E227" s="15">
        <f t="shared" si="97"/>
        <v>5</v>
      </c>
      <c r="F227" s="8" t="str">
        <f t="shared" si="98"/>
        <v/>
      </c>
      <c r="G227" s="58"/>
      <c r="H227" s="12" t="s">
        <v>65</v>
      </c>
      <c r="I227" s="6" t="str">
        <f t="shared" si="99"/>
        <v>주간</v>
      </c>
      <c r="J227" s="6">
        <f t="shared" si="100"/>
        <v>1</v>
      </c>
      <c r="K227" s="6">
        <f>IF(J227="","",COUNT($J$3:J227))</f>
        <v>52</v>
      </c>
      <c r="L227" s="6">
        <f t="shared" si="106"/>
        <v>4</v>
      </c>
      <c r="M227" s="6">
        <f t="shared" si="107"/>
        <v>1</v>
      </c>
      <c r="N227" s="6">
        <f t="shared" si="108"/>
        <v>2</v>
      </c>
      <c r="O227" s="6">
        <f t="shared" si="109"/>
        <v>3</v>
      </c>
      <c r="P227" s="32">
        <f t="shared" si="101"/>
        <v>2</v>
      </c>
      <c r="Q227" s="13" t="str">
        <f t="shared" si="120"/>
        <v>정윤준</v>
      </c>
      <c r="R227" s="13" t="str">
        <f t="shared" si="121"/>
        <v>이기수</v>
      </c>
      <c r="S227" s="13" t="str">
        <f t="shared" si="122"/>
        <v>박성현</v>
      </c>
      <c r="T227" s="13" t="str">
        <f t="shared" si="123"/>
        <v>허지웅</v>
      </c>
      <c r="U227" s="31" t="str">
        <f t="shared" si="102"/>
        <v>정윤준</v>
      </c>
      <c r="V227" s="6" t="str">
        <f t="shared" si="103"/>
        <v/>
      </c>
      <c r="W227" s="6" t="str">
        <f>IF(V227="","",COUNT($V$3:V227))</f>
        <v/>
      </c>
      <c r="X227" s="6" t="str">
        <f t="shared" si="110"/>
        <v/>
      </c>
      <c r="Y227" s="6" t="str">
        <f t="shared" si="111"/>
        <v/>
      </c>
      <c r="Z227" s="6" t="str">
        <f t="shared" si="112"/>
        <v/>
      </c>
      <c r="AA227" s="6" t="str">
        <f t="shared" si="113"/>
        <v/>
      </c>
      <c r="AB227" s="32" t="str">
        <f t="shared" si="104"/>
        <v/>
      </c>
      <c r="AC227" s="13" t="str">
        <f t="shared" si="114"/>
        <v>-</v>
      </c>
      <c r="AD227" s="13" t="str">
        <f t="shared" si="115"/>
        <v>-</v>
      </c>
      <c r="AE227" s="13" t="str">
        <f t="shared" si="116"/>
        <v>-</v>
      </c>
      <c r="AF227" s="13" t="str">
        <f t="shared" si="117"/>
        <v>-</v>
      </c>
      <c r="AG227" s="31" t="str">
        <f t="shared" si="105"/>
        <v>-</v>
      </c>
      <c r="AH227" s="2" t="str">
        <f t="shared" si="118"/>
        <v/>
      </c>
      <c r="AI227" s="2" t="str">
        <f>IF(AH227="","",COUNT($AH$3:AH227))</f>
        <v/>
      </c>
      <c r="AJ227" s="60" t="str">
        <f t="shared" si="119"/>
        <v/>
      </c>
    </row>
    <row r="228" spans="1:36" ht="16.5">
      <c r="A228" s="6">
        <v>226</v>
      </c>
      <c r="B228" s="9">
        <f t="shared" si="94"/>
        <v>46248</v>
      </c>
      <c r="C228" s="7">
        <f t="shared" si="95"/>
        <v>8</v>
      </c>
      <c r="D228" s="7">
        <f t="shared" si="96"/>
        <v>14</v>
      </c>
      <c r="E228" s="15">
        <f t="shared" si="97"/>
        <v>6</v>
      </c>
      <c r="F228" s="8" t="str">
        <f t="shared" si="98"/>
        <v/>
      </c>
      <c r="G228" s="58"/>
      <c r="H228" s="12" t="s">
        <v>63</v>
      </c>
      <c r="I228" s="6" t="str">
        <f t="shared" si="99"/>
        <v>야간</v>
      </c>
      <c r="J228" s="6" t="str">
        <f t="shared" si="100"/>
        <v/>
      </c>
      <c r="K228" s="6" t="str">
        <f>IF(J228="","",COUNT($J$3:J228))</f>
        <v/>
      </c>
      <c r="L228" s="6" t="str">
        <f t="shared" si="106"/>
        <v/>
      </c>
      <c r="M228" s="6" t="str">
        <f t="shared" si="107"/>
        <v/>
      </c>
      <c r="N228" s="6" t="str">
        <f t="shared" si="108"/>
        <v/>
      </c>
      <c r="O228" s="6" t="str">
        <f t="shared" si="109"/>
        <v/>
      </c>
      <c r="P228" s="32" t="str">
        <f t="shared" si="101"/>
        <v/>
      </c>
      <c r="Q228" s="13" t="str">
        <f t="shared" si="120"/>
        <v>-</v>
      </c>
      <c r="R228" s="13" t="str">
        <f t="shared" si="121"/>
        <v>-</v>
      </c>
      <c r="S228" s="13" t="str">
        <f t="shared" si="122"/>
        <v>-</v>
      </c>
      <c r="T228" s="13" t="str">
        <f t="shared" si="123"/>
        <v>-</v>
      </c>
      <c r="U228" s="31" t="str">
        <f t="shared" si="102"/>
        <v>-</v>
      </c>
      <c r="V228" s="6">
        <f t="shared" si="103"/>
        <v>1</v>
      </c>
      <c r="W228" s="6">
        <f>IF(V228="","",COUNT($V$3:V228))</f>
        <v>76</v>
      </c>
      <c r="X228" s="6">
        <f t="shared" si="110"/>
        <v>4</v>
      </c>
      <c r="Y228" s="6">
        <f t="shared" si="111"/>
        <v>1</v>
      </c>
      <c r="Z228" s="6">
        <f t="shared" si="112"/>
        <v>2</v>
      </c>
      <c r="AA228" s="6">
        <f t="shared" si="113"/>
        <v>3</v>
      </c>
      <c r="AB228" s="32">
        <f t="shared" si="104"/>
        <v>1</v>
      </c>
      <c r="AC228" s="13" t="str">
        <f t="shared" si="114"/>
        <v>정윤준</v>
      </c>
      <c r="AD228" s="13" t="str">
        <f t="shared" si="115"/>
        <v>이기수</v>
      </c>
      <c r="AE228" s="13" t="str">
        <f t="shared" si="116"/>
        <v>박성현</v>
      </c>
      <c r="AF228" s="13" t="str">
        <f t="shared" si="117"/>
        <v>허지웅</v>
      </c>
      <c r="AG228" s="31" t="str">
        <f t="shared" si="105"/>
        <v>허지웅</v>
      </c>
      <c r="AH228" s="2" t="str">
        <f t="shared" si="118"/>
        <v/>
      </c>
      <c r="AI228" s="2" t="str">
        <f>IF(AH228="","",COUNT($AH$3:AH228))</f>
        <v/>
      </c>
      <c r="AJ228" s="60" t="str">
        <f t="shared" si="119"/>
        <v/>
      </c>
    </row>
    <row r="229" spans="1:36" ht="16.5">
      <c r="A229" s="6">
        <v>227</v>
      </c>
      <c r="B229" s="9">
        <f t="shared" si="94"/>
        <v>46249</v>
      </c>
      <c r="C229" s="7">
        <f t="shared" si="95"/>
        <v>8</v>
      </c>
      <c r="D229" s="7">
        <f t="shared" si="96"/>
        <v>15</v>
      </c>
      <c r="E229" s="15">
        <f t="shared" si="97"/>
        <v>7</v>
      </c>
      <c r="F229" s="8" t="str">
        <f t="shared" si="98"/>
        <v>휴</v>
      </c>
      <c r="G229" s="58" t="s">
        <v>75</v>
      </c>
      <c r="H229" s="12" t="s">
        <v>64</v>
      </c>
      <c r="I229" s="6" t="str">
        <f t="shared" si="99"/>
        <v>비번</v>
      </c>
      <c r="J229" s="6" t="str">
        <f t="shared" si="100"/>
        <v/>
      </c>
      <c r="K229" s="6" t="str">
        <f>IF(J229="","",COUNT($J$3:J229))</f>
        <v/>
      </c>
      <c r="L229" s="6" t="str">
        <f t="shared" si="106"/>
        <v/>
      </c>
      <c r="M229" s="6" t="str">
        <f t="shared" si="107"/>
        <v/>
      </c>
      <c r="N229" s="6" t="str">
        <f t="shared" si="108"/>
        <v/>
      </c>
      <c r="O229" s="6" t="str">
        <f t="shared" si="109"/>
        <v/>
      </c>
      <c r="P229" s="32" t="str">
        <f t="shared" si="101"/>
        <v/>
      </c>
      <c r="Q229" s="13" t="str">
        <f t="shared" si="120"/>
        <v>-</v>
      </c>
      <c r="R229" s="13" t="str">
        <f t="shared" si="121"/>
        <v>-</v>
      </c>
      <c r="S229" s="13" t="str">
        <f t="shared" si="122"/>
        <v>-</v>
      </c>
      <c r="T229" s="13" t="str">
        <f t="shared" si="123"/>
        <v>-</v>
      </c>
      <c r="U229" s="31" t="str">
        <f t="shared" si="102"/>
        <v>-</v>
      </c>
      <c r="V229" s="6" t="str">
        <f t="shared" si="103"/>
        <v/>
      </c>
      <c r="W229" s="6" t="str">
        <f>IF(V229="","",COUNT($V$3:V229))</f>
        <v/>
      </c>
      <c r="X229" s="6" t="str">
        <f t="shared" si="110"/>
        <v/>
      </c>
      <c r="Y229" s="6" t="str">
        <f t="shared" si="111"/>
        <v/>
      </c>
      <c r="Z229" s="6" t="str">
        <f t="shared" si="112"/>
        <v/>
      </c>
      <c r="AA229" s="6" t="str">
        <f t="shared" si="113"/>
        <v/>
      </c>
      <c r="AB229" s="32" t="str">
        <f t="shared" si="104"/>
        <v/>
      </c>
      <c r="AC229" s="13" t="str">
        <f t="shared" si="114"/>
        <v>-</v>
      </c>
      <c r="AD229" s="13" t="str">
        <f t="shared" si="115"/>
        <v>-</v>
      </c>
      <c r="AE229" s="13" t="str">
        <f t="shared" si="116"/>
        <v>-</v>
      </c>
      <c r="AF229" s="13" t="str">
        <f t="shared" si="117"/>
        <v>-</v>
      </c>
      <c r="AG229" s="31" t="str">
        <f t="shared" si="105"/>
        <v>-</v>
      </c>
      <c r="AH229" s="2" t="str">
        <f t="shared" si="118"/>
        <v/>
      </c>
      <c r="AI229" s="2" t="str">
        <f>IF(AH229="","",COUNT($AH$3:AH229))</f>
        <v/>
      </c>
      <c r="AJ229" s="60" t="str">
        <f t="shared" si="119"/>
        <v/>
      </c>
    </row>
    <row r="230" spans="1:36" ht="16.5">
      <c r="A230" s="6">
        <v>228</v>
      </c>
      <c r="B230" s="9">
        <f t="shared" si="94"/>
        <v>46250</v>
      </c>
      <c r="C230" s="7">
        <f t="shared" si="95"/>
        <v>8</v>
      </c>
      <c r="D230" s="7">
        <f t="shared" si="96"/>
        <v>16</v>
      </c>
      <c r="E230" s="15">
        <f t="shared" si="97"/>
        <v>1</v>
      </c>
      <c r="F230" s="8" t="str">
        <f t="shared" si="98"/>
        <v>휴</v>
      </c>
      <c r="G230" s="58"/>
      <c r="H230" s="12" t="s">
        <v>65</v>
      </c>
      <c r="I230" s="6" t="str">
        <f t="shared" si="99"/>
        <v>휴무</v>
      </c>
      <c r="J230" s="6" t="str">
        <f t="shared" si="100"/>
        <v/>
      </c>
      <c r="K230" s="6" t="str">
        <f>IF(J230="","",COUNT($J$3:J230))</f>
        <v/>
      </c>
      <c r="L230" s="6" t="str">
        <f t="shared" si="106"/>
        <v/>
      </c>
      <c r="M230" s="6" t="str">
        <f t="shared" si="107"/>
        <v/>
      </c>
      <c r="N230" s="6" t="str">
        <f t="shared" si="108"/>
        <v/>
      </c>
      <c r="O230" s="6" t="str">
        <f t="shared" si="109"/>
        <v/>
      </c>
      <c r="P230" s="32" t="str">
        <f t="shared" si="101"/>
        <v/>
      </c>
      <c r="Q230" s="13" t="str">
        <f t="shared" si="120"/>
        <v>-</v>
      </c>
      <c r="R230" s="13" t="str">
        <f t="shared" si="121"/>
        <v>-</v>
      </c>
      <c r="S230" s="13" t="str">
        <f t="shared" si="122"/>
        <v>-</v>
      </c>
      <c r="T230" s="13" t="str">
        <f t="shared" si="123"/>
        <v>-</v>
      </c>
      <c r="U230" s="31" t="str">
        <f t="shared" si="102"/>
        <v>-</v>
      </c>
      <c r="V230" s="6" t="str">
        <f t="shared" si="103"/>
        <v/>
      </c>
      <c r="W230" s="6" t="str">
        <f>IF(V230="","",COUNT($V$3:V230))</f>
        <v/>
      </c>
      <c r="X230" s="6" t="str">
        <f t="shared" si="110"/>
        <v/>
      </c>
      <c r="Y230" s="6" t="str">
        <f t="shared" si="111"/>
        <v/>
      </c>
      <c r="Z230" s="6" t="str">
        <f t="shared" si="112"/>
        <v/>
      </c>
      <c r="AA230" s="6" t="str">
        <f t="shared" si="113"/>
        <v/>
      </c>
      <c r="AB230" s="32" t="str">
        <f t="shared" si="104"/>
        <v/>
      </c>
      <c r="AC230" s="13" t="str">
        <f t="shared" si="114"/>
        <v>-</v>
      </c>
      <c r="AD230" s="13" t="str">
        <f t="shared" si="115"/>
        <v>-</v>
      </c>
      <c r="AE230" s="13" t="str">
        <f t="shared" si="116"/>
        <v>-</v>
      </c>
      <c r="AF230" s="13" t="str">
        <f t="shared" si="117"/>
        <v>-</v>
      </c>
      <c r="AG230" s="31" t="str">
        <f t="shared" si="105"/>
        <v>-</v>
      </c>
      <c r="AH230" s="2" t="str">
        <f t="shared" si="118"/>
        <v/>
      </c>
      <c r="AI230" s="2" t="str">
        <f>IF(AH230="","",COUNT($AH$3:AH230))</f>
        <v/>
      </c>
      <c r="AJ230" s="60" t="str">
        <f t="shared" si="119"/>
        <v/>
      </c>
    </row>
    <row r="231" spans="1:36" ht="16.5">
      <c r="A231" s="6">
        <v>229</v>
      </c>
      <c r="B231" s="9">
        <f t="shared" si="94"/>
        <v>46251</v>
      </c>
      <c r="C231" s="7">
        <f t="shared" si="95"/>
        <v>8</v>
      </c>
      <c r="D231" s="7">
        <f t="shared" si="96"/>
        <v>17</v>
      </c>
      <c r="E231" s="15">
        <f t="shared" si="97"/>
        <v>2</v>
      </c>
      <c r="F231" s="8" t="str">
        <f t="shared" si="98"/>
        <v>휴</v>
      </c>
      <c r="G231" s="58" t="s">
        <v>76</v>
      </c>
      <c r="H231" s="12" t="s">
        <v>63</v>
      </c>
      <c r="I231" s="6" t="str">
        <f t="shared" si="99"/>
        <v>당직</v>
      </c>
      <c r="J231" s="6" t="str">
        <f t="shared" si="100"/>
        <v/>
      </c>
      <c r="K231" s="6" t="str">
        <f>IF(J231="","",COUNT($J$3:J231))</f>
        <v/>
      </c>
      <c r="L231" s="6" t="str">
        <f t="shared" si="106"/>
        <v/>
      </c>
      <c r="M231" s="6" t="str">
        <f t="shared" si="107"/>
        <v/>
      </c>
      <c r="N231" s="6" t="str">
        <f t="shared" si="108"/>
        <v/>
      </c>
      <c r="O231" s="6" t="str">
        <f t="shared" si="109"/>
        <v/>
      </c>
      <c r="P231" s="32" t="str">
        <f t="shared" si="101"/>
        <v/>
      </c>
      <c r="Q231" s="13" t="str">
        <f t="shared" si="120"/>
        <v>-</v>
      </c>
      <c r="R231" s="13" t="str">
        <f t="shared" si="121"/>
        <v>-</v>
      </c>
      <c r="S231" s="13" t="str">
        <f t="shared" si="122"/>
        <v>-</v>
      </c>
      <c r="T231" s="13" t="str">
        <f t="shared" si="123"/>
        <v>-</v>
      </c>
      <c r="U231" s="31" t="str">
        <f t="shared" si="102"/>
        <v>-</v>
      </c>
      <c r="V231" s="6">
        <f t="shared" si="103"/>
        <v>1</v>
      </c>
      <c r="W231" s="6">
        <f>IF(V231="","",COUNT($V$3:V231))</f>
        <v>77</v>
      </c>
      <c r="X231" s="6">
        <f t="shared" si="110"/>
        <v>3</v>
      </c>
      <c r="Y231" s="6">
        <f t="shared" si="111"/>
        <v>4</v>
      </c>
      <c r="Z231" s="6">
        <f t="shared" si="112"/>
        <v>1</v>
      </c>
      <c r="AA231" s="6">
        <f t="shared" si="113"/>
        <v>2</v>
      </c>
      <c r="AB231" s="32">
        <f t="shared" si="104"/>
        <v>2</v>
      </c>
      <c r="AC231" s="13" t="str">
        <f t="shared" si="114"/>
        <v>허지웅</v>
      </c>
      <c r="AD231" s="13" t="str">
        <f t="shared" si="115"/>
        <v>정윤준</v>
      </c>
      <c r="AE231" s="13" t="str">
        <f t="shared" si="116"/>
        <v>이기수</v>
      </c>
      <c r="AF231" s="13" t="str">
        <f t="shared" si="117"/>
        <v>박성현</v>
      </c>
      <c r="AG231" s="31" t="str">
        <f t="shared" si="105"/>
        <v>장혁진</v>
      </c>
      <c r="AH231" s="2" t="str">
        <f t="shared" si="118"/>
        <v/>
      </c>
      <c r="AI231" s="2" t="str">
        <f>IF(AH231="","",COUNT($AH$3:AH231))</f>
        <v/>
      </c>
      <c r="AJ231" s="60" t="str">
        <f t="shared" si="119"/>
        <v/>
      </c>
    </row>
    <row r="232" spans="1:36" ht="16.5">
      <c r="A232" s="6">
        <v>230</v>
      </c>
      <c r="B232" s="9">
        <f t="shared" si="94"/>
        <v>46252</v>
      </c>
      <c r="C232" s="7">
        <f t="shared" si="95"/>
        <v>8</v>
      </c>
      <c r="D232" s="7">
        <f t="shared" si="96"/>
        <v>18</v>
      </c>
      <c r="E232" s="15">
        <f t="shared" si="97"/>
        <v>3</v>
      </c>
      <c r="F232" s="8" t="str">
        <f t="shared" si="98"/>
        <v/>
      </c>
      <c r="G232" s="58"/>
      <c r="H232" s="12" t="s">
        <v>64</v>
      </c>
      <c r="I232" s="6" t="str">
        <f t="shared" si="99"/>
        <v>비번</v>
      </c>
      <c r="J232" s="6" t="str">
        <f t="shared" si="100"/>
        <v/>
      </c>
      <c r="K232" s="6" t="str">
        <f>IF(J232="","",COUNT($J$3:J232))</f>
        <v/>
      </c>
      <c r="L232" s="6" t="str">
        <f t="shared" si="106"/>
        <v/>
      </c>
      <c r="M232" s="6" t="str">
        <f t="shared" si="107"/>
        <v/>
      </c>
      <c r="N232" s="6" t="str">
        <f t="shared" si="108"/>
        <v/>
      </c>
      <c r="O232" s="6" t="str">
        <f t="shared" si="109"/>
        <v/>
      </c>
      <c r="P232" s="32" t="str">
        <f t="shared" si="101"/>
        <v/>
      </c>
      <c r="Q232" s="13" t="str">
        <f t="shared" si="120"/>
        <v>-</v>
      </c>
      <c r="R232" s="13" t="str">
        <f t="shared" si="121"/>
        <v>-</v>
      </c>
      <c r="S232" s="13" t="str">
        <f t="shared" si="122"/>
        <v>-</v>
      </c>
      <c r="T232" s="13" t="str">
        <f t="shared" si="123"/>
        <v>-</v>
      </c>
      <c r="U232" s="31" t="str">
        <f t="shared" si="102"/>
        <v>-</v>
      </c>
      <c r="V232" s="6" t="str">
        <f t="shared" si="103"/>
        <v/>
      </c>
      <c r="W232" s="6" t="str">
        <f>IF(V232="","",COUNT($V$3:V232))</f>
        <v/>
      </c>
      <c r="X232" s="6" t="str">
        <f t="shared" si="110"/>
        <v/>
      </c>
      <c r="Y232" s="6" t="str">
        <f t="shared" si="111"/>
        <v/>
      </c>
      <c r="Z232" s="6" t="str">
        <f t="shared" si="112"/>
        <v/>
      </c>
      <c r="AA232" s="6" t="str">
        <f t="shared" si="113"/>
        <v/>
      </c>
      <c r="AB232" s="32" t="str">
        <f t="shared" si="104"/>
        <v/>
      </c>
      <c r="AC232" s="13" t="str">
        <f t="shared" si="114"/>
        <v>-</v>
      </c>
      <c r="AD232" s="13" t="str">
        <f t="shared" si="115"/>
        <v>-</v>
      </c>
      <c r="AE232" s="13" t="str">
        <f t="shared" si="116"/>
        <v>-</v>
      </c>
      <c r="AF232" s="13" t="str">
        <f t="shared" si="117"/>
        <v>-</v>
      </c>
      <c r="AG232" s="31" t="str">
        <f t="shared" si="105"/>
        <v>-</v>
      </c>
      <c r="AH232" s="2" t="str">
        <f t="shared" si="118"/>
        <v/>
      </c>
      <c r="AI232" s="2" t="str">
        <f>IF(AH232="","",COUNT($AH$3:AH232))</f>
        <v/>
      </c>
      <c r="AJ232" s="60" t="str">
        <f t="shared" si="119"/>
        <v/>
      </c>
    </row>
    <row r="233" spans="1:36" ht="16.5">
      <c r="A233" s="6">
        <v>231</v>
      </c>
      <c r="B233" s="9">
        <f t="shared" si="94"/>
        <v>46253</v>
      </c>
      <c r="C233" s="7">
        <f t="shared" si="95"/>
        <v>8</v>
      </c>
      <c r="D233" s="7">
        <f t="shared" si="96"/>
        <v>19</v>
      </c>
      <c r="E233" s="15">
        <f t="shared" si="97"/>
        <v>4</v>
      </c>
      <c r="F233" s="8" t="str">
        <f t="shared" si="98"/>
        <v/>
      </c>
      <c r="G233" s="58"/>
      <c r="H233" s="12" t="s">
        <v>65</v>
      </c>
      <c r="I233" s="6" t="str">
        <f t="shared" si="99"/>
        <v>주간</v>
      </c>
      <c r="J233" s="6">
        <f t="shared" si="100"/>
        <v>1</v>
      </c>
      <c r="K233" s="6">
        <f>IF(J233="","",COUNT($J$3:J233))</f>
        <v>53</v>
      </c>
      <c r="L233" s="6">
        <f t="shared" si="106"/>
        <v>3</v>
      </c>
      <c r="M233" s="6">
        <f t="shared" si="107"/>
        <v>4</v>
      </c>
      <c r="N233" s="6">
        <f t="shared" si="108"/>
        <v>1</v>
      </c>
      <c r="O233" s="6">
        <f t="shared" si="109"/>
        <v>2</v>
      </c>
      <c r="P233" s="32">
        <f t="shared" si="101"/>
        <v>3</v>
      </c>
      <c r="Q233" s="13" t="str">
        <f t="shared" si="120"/>
        <v>허지웅</v>
      </c>
      <c r="R233" s="13" t="str">
        <f t="shared" si="121"/>
        <v>정윤준</v>
      </c>
      <c r="S233" s="13" t="str">
        <f t="shared" si="122"/>
        <v>이기수</v>
      </c>
      <c r="T233" s="13" t="str">
        <f t="shared" si="123"/>
        <v>박성현</v>
      </c>
      <c r="U233" s="31" t="str">
        <f t="shared" si="102"/>
        <v>허지웅</v>
      </c>
      <c r="V233" s="6" t="str">
        <f t="shared" si="103"/>
        <v/>
      </c>
      <c r="W233" s="6" t="str">
        <f>IF(V233="","",COUNT($V$3:V233))</f>
        <v/>
      </c>
      <c r="X233" s="6" t="str">
        <f t="shared" si="110"/>
        <v/>
      </c>
      <c r="Y233" s="6" t="str">
        <f t="shared" si="111"/>
        <v/>
      </c>
      <c r="Z233" s="6" t="str">
        <f t="shared" si="112"/>
        <v/>
      </c>
      <c r="AA233" s="6" t="str">
        <f t="shared" si="113"/>
        <v/>
      </c>
      <c r="AB233" s="32" t="str">
        <f t="shared" si="104"/>
        <v/>
      </c>
      <c r="AC233" s="13" t="str">
        <f t="shared" si="114"/>
        <v>-</v>
      </c>
      <c r="AD233" s="13" t="str">
        <f t="shared" si="115"/>
        <v>-</v>
      </c>
      <c r="AE233" s="13" t="str">
        <f t="shared" si="116"/>
        <v>-</v>
      </c>
      <c r="AF233" s="13" t="str">
        <f t="shared" si="117"/>
        <v>-</v>
      </c>
      <c r="AG233" s="31" t="str">
        <f t="shared" si="105"/>
        <v>-</v>
      </c>
      <c r="AH233" s="2" t="str">
        <f t="shared" si="118"/>
        <v/>
      </c>
      <c r="AI233" s="2" t="str">
        <f>IF(AH233="","",COUNT($AH$3:AH233))</f>
        <v/>
      </c>
      <c r="AJ233" s="60" t="str">
        <f t="shared" si="119"/>
        <v/>
      </c>
    </row>
    <row r="234" spans="1:36" ht="16.5">
      <c r="A234" s="6">
        <v>232</v>
      </c>
      <c r="B234" s="9">
        <f t="shared" si="94"/>
        <v>46254</v>
      </c>
      <c r="C234" s="7">
        <f t="shared" si="95"/>
        <v>8</v>
      </c>
      <c r="D234" s="7">
        <f t="shared" si="96"/>
        <v>20</v>
      </c>
      <c r="E234" s="15">
        <f t="shared" si="97"/>
        <v>5</v>
      </c>
      <c r="F234" s="8" t="str">
        <f t="shared" si="98"/>
        <v/>
      </c>
      <c r="G234" s="58"/>
      <c r="H234" s="12" t="s">
        <v>63</v>
      </c>
      <c r="I234" s="6" t="str">
        <f t="shared" si="99"/>
        <v>야간</v>
      </c>
      <c r="J234" s="6" t="str">
        <f t="shared" si="100"/>
        <v/>
      </c>
      <c r="K234" s="6" t="str">
        <f>IF(J234="","",COUNT($J$3:J234))</f>
        <v/>
      </c>
      <c r="L234" s="6" t="str">
        <f t="shared" si="106"/>
        <v/>
      </c>
      <c r="M234" s="6" t="str">
        <f t="shared" si="107"/>
        <v/>
      </c>
      <c r="N234" s="6" t="str">
        <f t="shared" si="108"/>
        <v/>
      </c>
      <c r="O234" s="6" t="str">
        <f t="shared" si="109"/>
        <v/>
      </c>
      <c r="P234" s="32" t="str">
        <f t="shared" si="101"/>
        <v/>
      </c>
      <c r="Q234" s="13" t="str">
        <f t="shared" si="120"/>
        <v>-</v>
      </c>
      <c r="R234" s="13" t="str">
        <f t="shared" si="121"/>
        <v>-</v>
      </c>
      <c r="S234" s="13" t="str">
        <f t="shared" si="122"/>
        <v>-</v>
      </c>
      <c r="T234" s="13" t="str">
        <f t="shared" si="123"/>
        <v>-</v>
      </c>
      <c r="U234" s="31" t="str">
        <f t="shared" si="102"/>
        <v>-</v>
      </c>
      <c r="V234" s="6">
        <f t="shared" si="103"/>
        <v>1</v>
      </c>
      <c r="W234" s="6">
        <f>IF(V234="","",COUNT($V$3:V234))</f>
        <v>78</v>
      </c>
      <c r="X234" s="6">
        <f t="shared" si="110"/>
        <v>2</v>
      </c>
      <c r="Y234" s="6">
        <f t="shared" si="111"/>
        <v>3</v>
      </c>
      <c r="Z234" s="6">
        <f t="shared" si="112"/>
        <v>4</v>
      </c>
      <c r="AA234" s="6">
        <f t="shared" si="113"/>
        <v>1</v>
      </c>
      <c r="AB234" s="32">
        <f t="shared" si="104"/>
        <v>3</v>
      </c>
      <c r="AC234" s="13" t="str">
        <f t="shared" si="114"/>
        <v>박성현</v>
      </c>
      <c r="AD234" s="13" t="str">
        <f t="shared" si="115"/>
        <v>허지웅</v>
      </c>
      <c r="AE234" s="13" t="str">
        <f t="shared" si="116"/>
        <v>정윤준</v>
      </c>
      <c r="AF234" s="13" t="str">
        <f t="shared" si="117"/>
        <v>이기수</v>
      </c>
      <c r="AG234" s="31" t="str">
        <f t="shared" si="105"/>
        <v>이기수</v>
      </c>
      <c r="AH234" s="2" t="str">
        <f t="shared" si="118"/>
        <v/>
      </c>
      <c r="AI234" s="2" t="str">
        <f>IF(AH234="","",COUNT($AH$3:AH234))</f>
        <v/>
      </c>
      <c r="AJ234" s="60" t="str">
        <f t="shared" si="119"/>
        <v/>
      </c>
    </row>
    <row r="235" spans="1:36" ht="16.5">
      <c r="A235" s="6">
        <v>233</v>
      </c>
      <c r="B235" s="9">
        <f t="shared" si="94"/>
        <v>46255</v>
      </c>
      <c r="C235" s="7">
        <f t="shared" si="95"/>
        <v>8</v>
      </c>
      <c r="D235" s="7">
        <f t="shared" si="96"/>
        <v>21</v>
      </c>
      <c r="E235" s="15">
        <f t="shared" si="97"/>
        <v>6</v>
      </c>
      <c r="F235" s="8" t="str">
        <f t="shared" si="98"/>
        <v/>
      </c>
      <c r="G235" s="58"/>
      <c r="H235" s="12" t="s">
        <v>64</v>
      </c>
      <c r="I235" s="6" t="str">
        <f t="shared" si="99"/>
        <v>비번</v>
      </c>
      <c r="J235" s="6" t="str">
        <f t="shared" si="100"/>
        <v/>
      </c>
      <c r="K235" s="6" t="str">
        <f>IF(J235="","",COUNT($J$3:J235))</f>
        <v/>
      </c>
      <c r="L235" s="6" t="str">
        <f t="shared" si="106"/>
        <v/>
      </c>
      <c r="M235" s="6" t="str">
        <f t="shared" si="107"/>
        <v/>
      </c>
      <c r="N235" s="6" t="str">
        <f t="shared" si="108"/>
        <v/>
      </c>
      <c r="O235" s="6" t="str">
        <f t="shared" si="109"/>
        <v/>
      </c>
      <c r="P235" s="32" t="str">
        <f t="shared" si="101"/>
        <v/>
      </c>
      <c r="Q235" s="13" t="str">
        <f t="shared" si="120"/>
        <v>-</v>
      </c>
      <c r="R235" s="13" t="str">
        <f t="shared" si="121"/>
        <v>-</v>
      </c>
      <c r="S235" s="13" t="str">
        <f t="shared" si="122"/>
        <v>-</v>
      </c>
      <c r="T235" s="13" t="str">
        <f t="shared" si="123"/>
        <v>-</v>
      </c>
      <c r="U235" s="31" t="str">
        <f t="shared" si="102"/>
        <v>-</v>
      </c>
      <c r="V235" s="6" t="str">
        <f t="shared" si="103"/>
        <v/>
      </c>
      <c r="W235" s="6" t="str">
        <f>IF(V235="","",COUNT($V$3:V235))</f>
        <v/>
      </c>
      <c r="X235" s="6" t="str">
        <f t="shared" si="110"/>
        <v/>
      </c>
      <c r="Y235" s="6" t="str">
        <f t="shared" si="111"/>
        <v/>
      </c>
      <c r="Z235" s="6" t="str">
        <f t="shared" si="112"/>
        <v/>
      </c>
      <c r="AA235" s="6" t="str">
        <f t="shared" si="113"/>
        <v/>
      </c>
      <c r="AB235" s="32" t="str">
        <f t="shared" si="104"/>
        <v/>
      </c>
      <c r="AC235" s="13" t="str">
        <f t="shared" si="114"/>
        <v>-</v>
      </c>
      <c r="AD235" s="13" t="str">
        <f t="shared" si="115"/>
        <v>-</v>
      </c>
      <c r="AE235" s="13" t="str">
        <f t="shared" si="116"/>
        <v>-</v>
      </c>
      <c r="AF235" s="13" t="str">
        <f t="shared" si="117"/>
        <v>-</v>
      </c>
      <c r="AG235" s="31" t="str">
        <f t="shared" si="105"/>
        <v>-</v>
      </c>
      <c r="AH235" s="2" t="str">
        <f t="shared" si="118"/>
        <v/>
      </c>
      <c r="AI235" s="2" t="str">
        <f>IF(AH235="","",COUNT($AH$3:AH235))</f>
        <v/>
      </c>
      <c r="AJ235" s="60" t="str">
        <f t="shared" si="119"/>
        <v/>
      </c>
    </row>
    <row r="236" spans="1:36" ht="16.5">
      <c r="A236" s="6">
        <v>234</v>
      </c>
      <c r="B236" s="9">
        <f t="shared" si="94"/>
        <v>46256</v>
      </c>
      <c r="C236" s="7">
        <f t="shared" si="95"/>
        <v>8</v>
      </c>
      <c r="D236" s="7">
        <f t="shared" si="96"/>
        <v>22</v>
      </c>
      <c r="E236" s="15">
        <f t="shared" si="97"/>
        <v>7</v>
      </c>
      <c r="F236" s="8" t="str">
        <f t="shared" si="98"/>
        <v>휴</v>
      </c>
      <c r="G236" s="58"/>
      <c r="H236" s="12" t="s">
        <v>65</v>
      </c>
      <c r="I236" s="6" t="str">
        <f t="shared" si="99"/>
        <v>휴무</v>
      </c>
      <c r="J236" s="6" t="str">
        <f t="shared" si="100"/>
        <v/>
      </c>
      <c r="K236" s="6" t="str">
        <f>IF(J236="","",COUNT($J$3:J236))</f>
        <v/>
      </c>
      <c r="L236" s="6" t="str">
        <f t="shared" si="106"/>
        <v/>
      </c>
      <c r="M236" s="6" t="str">
        <f t="shared" si="107"/>
        <v/>
      </c>
      <c r="N236" s="6" t="str">
        <f t="shared" si="108"/>
        <v/>
      </c>
      <c r="O236" s="6" t="str">
        <f t="shared" si="109"/>
        <v/>
      </c>
      <c r="P236" s="32" t="str">
        <f t="shared" si="101"/>
        <v/>
      </c>
      <c r="Q236" s="13" t="str">
        <f t="shared" si="120"/>
        <v>-</v>
      </c>
      <c r="R236" s="13" t="str">
        <f t="shared" si="121"/>
        <v>-</v>
      </c>
      <c r="S236" s="13" t="str">
        <f t="shared" si="122"/>
        <v>-</v>
      </c>
      <c r="T236" s="13" t="str">
        <f t="shared" si="123"/>
        <v>-</v>
      </c>
      <c r="U236" s="31" t="str">
        <f t="shared" si="102"/>
        <v>-</v>
      </c>
      <c r="V236" s="6" t="str">
        <f t="shared" si="103"/>
        <v/>
      </c>
      <c r="W236" s="6" t="str">
        <f>IF(V236="","",COUNT($V$3:V236))</f>
        <v/>
      </c>
      <c r="X236" s="6" t="str">
        <f t="shared" si="110"/>
        <v/>
      </c>
      <c r="Y236" s="6" t="str">
        <f t="shared" si="111"/>
        <v/>
      </c>
      <c r="Z236" s="6" t="str">
        <f t="shared" si="112"/>
        <v/>
      </c>
      <c r="AA236" s="6" t="str">
        <f t="shared" si="113"/>
        <v/>
      </c>
      <c r="AB236" s="32" t="str">
        <f t="shared" si="104"/>
        <v/>
      </c>
      <c r="AC236" s="13" t="str">
        <f t="shared" si="114"/>
        <v>-</v>
      </c>
      <c r="AD236" s="13" t="str">
        <f t="shared" si="115"/>
        <v>-</v>
      </c>
      <c r="AE236" s="13" t="str">
        <f t="shared" si="116"/>
        <v>-</v>
      </c>
      <c r="AF236" s="13" t="str">
        <f t="shared" si="117"/>
        <v>-</v>
      </c>
      <c r="AG236" s="31" t="str">
        <f t="shared" si="105"/>
        <v>-</v>
      </c>
      <c r="AH236" s="2" t="str">
        <f t="shared" si="118"/>
        <v/>
      </c>
      <c r="AI236" s="2" t="str">
        <f>IF(AH236="","",COUNT($AH$3:AH236))</f>
        <v/>
      </c>
      <c r="AJ236" s="60" t="str">
        <f t="shared" si="119"/>
        <v/>
      </c>
    </row>
    <row r="237" spans="1:36" ht="16.5">
      <c r="A237" s="6">
        <v>235</v>
      </c>
      <c r="B237" s="9">
        <f t="shared" si="94"/>
        <v>46257</v>
      </c>
      <c r="C237" s="7">
        <f t="shared" si="95"/>
        <v>8</v>
      </c>
      <c r="D237" s="7">
        <f t="shared" si="96"/>
        <v>23</v>
      </c>
      <c r="E237" s="15">
        <f t="shared" si="97"/>
        <v>1</v>
      </c>
      <c r="F237" s="8" t="str">
        <f t="shared" si="98"/>
        <v>휴</v>
      </c>
      <c r="G237" s="58"/>
      <c r="H237" s="12" t="s">
        <v>63</v>
      </c>
      <c r="I237" s="6" t="str">
        <f t="shared" si="99"/>
        <v>당직</v>
      </c>
      <c r="J237" s="6" t="str">
        <f t="shared" si="100"/>
        <v/>
      </c>
      <c r="K237" s="6" t="str">
        <f>IF(J237="","",COUNT($J$3:J237))</f>
        <v/>
      </c>
      <c r="L237" s="6" t="str">
        <f t="shared" si="106"/>
        <v/>
      </c>
      <c r="M237" s="6" t="str">
        <f t="shared" si="107"/>
        <v/>
      </c>
      <c r="N237" s="6" t="str">
        <f t="shared" si="108"/>
        <v/>
      </c>
      <c r="O237" s="6" t="str">
        <f t="shared" si="109"/>
        <v/>
      </c>
      <c r="P237" s="32" t="str">
        <f t="shared" si="101"/>
        <v/>
      </c>
      <c r="Q237" s="13" t="str">
        <f t="shared" si="120"/>
        <v>-</v>
      </c>
      <c r="R237" s="13" t="str">
        <f t="shared" si="121"/>
        <v>-</v>
      </c>
      <c r="S237" s="13" t="str">
        <f t="shared" si="122"/>
        <v>-</v>
      </c>
      <c r="T237" s="13" t="str">
        <f t="shared" si="123"/>
        <v>-</v>
      </c>
      <c r="U237" s="31" t="str">
        <f t="shared" si="102"/>
        <v>-</v>
      </c>
      <c r="V237" s="6">
        <f t="shared" si="103"/>
        <v>1</v>
      </c>
      <c r="W237" s="6">
        <f>IF(V237="","",COUNT($V$3:V237))</f>
        <v>79</v>
      </c>
      <c r="X237" s="6">
        <f t="shared" si="110"/>
        <v>1</v>
      </c>
      <c r="Y237" s="6">
        <f t="shared" si="111"/>
        <v>2</v>
      </c>
      <c r="Z237" s="6">
        <f t="shared" si="112"/>
        <v>3</v>
      </c>
      <c r="AA237" s="6">
        <f t="shared" si="113"/>
        <v>4</v>
      </c>
      <c r="AB237" s="32">
        <f t="shared" si="104"/>
        <v>4</v>
      </c>
      <c r="AC237" s="13" t="str">
        <f t="shared" si="114"/>
        <v>이기수</v>
      </c>
      <c r="AD237" s="13" t="str">
        <f t="shared" si="115"/>
        <v>박성현</v>
      </c>
      <c r="AE237" s="13" t="str">
        <f t="shared" si="116"/>
        <v>허지웅</v>
      </c>
      <c r="AF237" s="13" t="str">
        <f t="shared" si="117"/>
        <v>정윤준</v>
      </c>
      <c r="AG237" s="31" t="e">
        <f t="shared" si="105"/>
        <v>#VALUE!</v>
      </c>
      <c r="AH237" s="2">
        <f t="shared" si="118"/>
        <v>1</v>
      </c>
      <c r="AI237" s="2">
        <f>IF(AH237="","",COUNT($AH$3:AH237))</f>
        <v>20</v>
      </c>
      <c r="AJ237" s="60" t="str">
        <f t="shared" si="119"/>
        <v>허지웅</v>
      </c>
    </row>
    <row r="238" spans="1:36" ht="16.5">
      <c r="A238" s="6">
        <v>236</v>
      </c>
      <c r="B238" s="9">
        <f t="shared" si="94"/>
        <v>46258</v>
      </c>
      <c r="C238" s="7">
        <f t="shared" si="95"/>
        <v>8</v>
      </c>
      <c r="D238" s="7">
        <f t="shared" si="96"/>
        <v>24</v>
      </c>
      <c r="E238" s="15">
        <f t="shared" si="97"/>
        <v>2</v>
      </c>
      <c r="F238" s="8" t="str">
        <f t="shared" si="98"/>
        <v/>
      </c>
      <c r="G238" s="58"/>
      <c r="H238" s="12" t="s">
        <v>64</v>
      </c>
      <c r="I238" s="6" t="str">
        <f t="shared" si="99"/>
        <v>비번</v>
      </c>
      <c r="J238" s="6" t="str">
        <f t="shared" si="100"/>
        <v/>
      </c>
      <c r="K238" s="6" t="str">
        <f>IF(J238="","",COUNT($J$3:J238))</f>
        <v/>
      </c>
      <c r="L238" s="6" t="str">
        <f t="shared" si="106"/>
        <v/>
      </c>
      <c r="M238" s="6" t="str">
        <f t="shared" si="107"/>
        <v/>
      </c>
      <c r="N238" s="6" t="str">
        <f t="shared" si="108"/>
        <v/>
      </c>
      <c r="O238" s="6" t="str">
        <f t="shared" si="109"/>
        <v/>
      </c>
      <c r="P238" s="32" t="str">
        <f t="shared" si="101"/>
        <v/>
      </c>
      <c r="Q238" s="13" t="str">
        <f t="shared" si="120"/>
        <v>-</v>
      </c>
      <c r="R238" s="13" t="str">
        <f t="shared" si="121"/>
        <v>-</v>
      </c>
      <c r="S238" s="13" t="str">
        <f t="shared" si="122"/>
        <v>-</v>
      </c>
      <c r="T238" s="13" t="str">
        <f t="shared" si="123"/>
        <v>-</v>
      </c>
      <c r="U238" s="31" t="str">
        <f t="shared" si="102"/>
        <v>-</v>
      </c>
      <c r="V238" s="6" t="str">
        <f t="shared" si="103"/>
        <v/>
      </c>
      <c r="W238" s="6" t="str">
        <f>IF(V238="","",COUNT($V$3:V238))</f>
        <v/>
      </c>
      <c r="X238" s="6" t="str">
        <f t="shared" si="110"/>
        <v/>
      </c>
      <c r="Y238" s="6" t="str">
        <f t="shared" si="111"/>
        <v/>
      </c>
      <c r="Z238" s="6" t="str">
        <f t="shared" si="112"/>
        <v/>
      </c>
      <c r="AA238" s="6" t="str">
        <f t="shared" si="113"/>
        <v/>
      </c>
      <c r="AB238" s="32" t="str">
        <f t="shared" si="104"/>
        <v/>
      </c>
      <c r="AC238" s="13" t="str">
        <f t="shared" si="114"/>
        <v>-</v>
      </c>
      <c r="AD238" s="13" t="str">
        <f t="shared" si="115"/>
        <v>-</v>
      </c>
      <c r="AE238" s="13" t="str">
        <f t="shared" si="116"/>
        <v>-</v>
      </c>
      <c r="AF238" s="13" t="str">
        <f t="shared" si="117"/>
        <v>-</v>
      </c>
      <c r="AG238" s="31" t="str">
        <f t="shared" si="105"/>
        <v>-</v>
      </c>
      <c r="AH238" s="2" t="str">
        <f t="shared" si="118"/>
        <v/>
      </c>
      <c r="AI238" s="2" t="str">
        <f>IF(AH238="","",COUNT($AH$3:AH238))</f>
        <v/>
      </c>
      <c r="AJ238" s="60" t="str">
        <f t="shared" si="119"/>
        <v/>
      </c>
    </row>
    <row r="239" spans="1:36" ht="16.5">
      <c r="A239" s="6">
        <v>237</v>
      </c>
      <c r="B239" s="9">
        <f t="shared" si="94"/>
        <v>46259</v>
      </c>
      <c r="C239" s="7">
        <f t="shared" si="95"/>
        <v>8</v>
      </c>
      <c r="D239" s="7">
        <f t="shared" si="96"/>
        <v>25</v>
      </c>
      <c r="E239" s="15">
        <f t="shared" si="97"/>
        <v>3</v>
      </c>
      <c r="F239" s="8" t="str">
        <f t="shared" si="98"/>
        <v/>
      </c>
      <c r="G239" s="58"/>
      <c r="H239" s="12" t="s">
        <v>65</v>
      </c>
      <c r="I239" s="6" t="str">
        <f t="shared" si="99"/>
        <v>주간</v>
      </c>
      <c r="J239" s="6">
        <f t="shared" si="100"/>
        <v>1</v>
      </c>
      <c r="K239" s="6">
        <f>IF(J239="","",COUNT($J$3:J239))</f>
        <v>54</v>
      </c>
      <c r="L239" s="6">
        <f t="shared" si="106"/>
        <v>2</v>
      </c>
      <c r="M239" s="6">
        <f t="shared" si="107"/>
        <v>3</v>
      </c>
      <c r="N239" s="6">
        <f t="shared" si="108"/>
        <v>4</v>
      </c>
      <c r="O239" s="6">
        <f t="shared" si="109"/>
        <v>1</v>
      </c>
      <c r="P239" s="32">
        <f t="shared" si="101"/>
        <v>4</v>
      </c>
      <c r="Q239" s="13" t="str">
        <f t="shared" si="120"/>
        <v>박성현</v>
      </c>
      <c r="R239" s="13" t="str">
        <f t="shared" si="121"/>
        <v>허지웅</v>
      </c>
      <c r="S239" s="13" t="str">
        <f t="shared" si="122"/>
        <v>정윤준</v>
      </c>
      <c r="T239" s="13" t="str">
        <f t="shared" si="123"/>
        <v>이기수</v>
      </c>
      <c r="U239" s="31" t="e">
        <f t="shared" si="102"/>
        <v>#VALUE!</v>
      </c>
      <c r="V239" s="6" t="str">
        <f t="shared" si="103"/>
        <v/>
      </c>
      <c r="W239" s="6" t="str">
        <f>IF(V239="","",COUNT($V$3:V239))</f>
        <v/>
      </c>
      <c r="X239" s="6" t="str">
        <f t="shared" si="110"/>
        <v/>
      </c>
      <c r="Y239" s="6" t="str">
        <f t="shared" si="111"/>
        <v/>
      </c>
      <c r="Z239" s="6" t="str">
        <f t="shared" si="112"/>
        <v/>
      </c>
      <c r="AA239" s="6" t="str">
        <f t="shared" si="113"/>
        <v/>
      </c>
      <c r="AB239" s="32" t="str">
        <f t="shared" si="104"/>
        <v/>
      </c>
      <c r="AC239" s="13" t="str">
        <f t="shared" si="114"/>
        <v>-</v>
      </c>
      <c r="AD239" s="13" t="str">
        <f t="shared" si="115"/>
        <v>-</v>
      </c>
      <c r="AE239" s="13" t="str">
        <f t="shared" si="116"/>
        <v>-</v>
      </c>
      <c r="AF239" s="13" t="str">
        <f t="shared" si="117"/>
        <v>-</v>
      </c>
      <c r="AG239" s="31" t="str">
        <f t="shared" si="105"/>
        <v>-</v>
      </c>
      <c r="AH239" s="2" t="str">
        <f t="shared" si="118"/>
        <v/>
      </c>
      <c r="AI239" s="2" t="str">
        <f>IF(AH239="","",COUNT($AH$3:AH239))</f>
        <v/>
      </c>
      <c r="AJ239" s="60" t="str">
        <f t="shared" si="119"/>
        <v/>
      </c>
    </row>
    <row r="240" spans="1:36" ht="16.5">
      <c r="A240" s="6">
        <v>238</v>
      </c>
      <c r="B240" s="9">
        <f t="shared" si="94"/>
        <v>46260</v>
      </c>
      <c r="C240" s="7">
        <f t="shared" si="95"/>
        <v>8</v>
      </c>
      <c r="D240" s="7">
        <f t="shared" si="96"/>
        <v>26</v>
      </c>
      <c r="E240" s="15">
        <f t="shared" si="97"/>
        <v>4</v>
      </c>
      <c r="F240" s="8" t="str">
        <f t="shared" si="98"/>
        <v/>
      </c>
      <c r="G240" s="58"/>
      <c r="H240" s="12" t="s">
        <v>63</v>
      </c>
      <c r="I240" s="6" t="str">
        <f t="shared" si="99"/>
        <v>야간</v>
      </c>
      <c r="J240" s="6" t="str">
        <f t="shared" si="100"/>
        <v/>
      </c>
      <c r="K240" s="6" t="str">
        <f>IF(J240="","",COUNT($J$3:J240))</f>
        <v/>
      </c>
      <c r="L240" s="6" t="str">
        <f t="shared" si="106"/>
        <v/>
      </c>
      <c r="M240" s="6" t="str">
        <f t="shared" si="107"/>
        <v/>
      </c>
      <c r="N240" s="6" t="str">
        <f t="shared" si="108"/>
        <v/>
      </c>
      <c r="O240" s="6" t="str">
        <f t="shared" si="109"/>
        <v/>
      </c>
      <c r="P240" s="32" t="str">
        <f t="shared" si="101"/>
        <v/>
      </c>
      <c r="Q240" s="13" t="str">
        <f t="shared" si="120"/>
        <v>-</v>
      </c>
      <c r="R240" s="13" t="str">
        <f t="shared" si="121"/>
        <v>-</v>
      </c>
      <c r="S240" s="13" t="str">
        <f t="shared" si="122"/>
        <v>-</v>
      </c>
      <c r="T240" s="13" t="str">
        <f t="shared" si="123"/>
        <v>-</v>
      </c>
      <c r="U240" s="31" t="str">
        <f t="shared" si="102"/>
        <v>-</v>
      </c>
      <c r="V240" s="6">
        <f t="shared" si="103"/>
        <v>1</v>
      </c>
      <c r="W240" s="6">
        <f>IF(V240="","",COUNT($V$3:V240))</f>
        <v>80</v>
      </c>
      <c r="X240" s="6">
        <f t="shared" si="110"/>
        <v>4</v>
      </c>
      <c r="Y240" s="6">
        <f t="shared" si="111"/>
        <v>1</v>
      </c>
      <c r="Z240" s="6">
        <f t="shared" si="112"/>
        <v>2</v>
      </c>
      <c r="AA240" s="6">
        <f t="shared" si="113"/>
        <v>3</v>
      </c>
      <c r="AB240" s="32">
        <f t="shared" si="104"/>
        <v>0</v>
      </c>
      <c r="AC240" s="13" t="str">
        <f t="shared" si="114"/>
        <v>정윤준</v>
      </c>
      <c r="AD240" s="13" t="str">
        <f t="shared" si="115"/>
        <v>이기수</v>
      </c>
      <c r="AE240" s="13" t="str">
        <f t="shared" si="116"/>
        <v>박성현</v>
      </c>
      <c r="AF240" s="13" t="str">
        <f t="shared" si="117"/>
        <v>허지웅</v>
      </c>
      <c r="AG240" s="31" t="str">
        <f t="shared" si="105"/>
        <v>정윤준</v>
      </c>
      <c r="AH240" s="2" t="str">
        <f t="shared" si="118"/>
        <v/>
      </c>
      <c r="AI240" s="2" t="str">
        <f>IF(AH240="","",COUNT($AH$3:AH240))</f>
        <v/>
      </c>
      <c r="AJ240" s="60" t="str">
        <f t="shared" si="119"/>
        <v/>
      </c>
    </row>
    <row r="241" spans="1:36" ht="16.5">
      <c r="A241" s="6">
        <v>239</v>
      </c>
      <c r="B241" s="9">
        <f t="shared" si="94"/>
        <v>46261</v>
      </c>
      <c r="C241" s="7">
        <f t="shared" si="95"/>
        <v>8</v>
      </c>
      <c r="D241" s="7">
        <f t="shared" si="96"/>
        <v>27</v>
      </c>
      <c r="E241" s="15">
        <f t="shared" si="97"/>
        <v>5</v>
      </c>
      <c r="F241" s="8" t="str">
        <f t="shared" si="98"/>
        <v/>
      </c>
      <c r="G241" s="58"/>
      <c r="H241" s="12" t="s">
        <v>64</v>
      </c>
      <c r="I241" s="6" t="str">
        <f t="shared" si="99"/>
        <v>비번</v>
      </c>
      <c r="J241" s="6" t="str">
        <f t="shared" si="100"/>
        <v/>
      </c>
      <c r="K241" s="6" t="str">
        <f>IF(J241="","",COUNT($J$3:J241))</f>
        <v/>
      </c>
      <c r="L241" s="6" t="str">
        <f t="shared" si="106"/>
        <v/>
      </c>
      <c r="M241" s="6" t="str">
        <f t="shared" si="107"/>
        <v/>
      </c>
      <c r="N241" s="6" t="str">
        <f t="shared" si="108"/>
        <v/>
      </c>
      <c r="O241" s="6" t="str">
        <f t="shared" si="109"/>
        <v/>
      </c>
      <c r="P241" s="32" t="str">
        <f t="shared" si="101"/>
        <v/>
      </c>
      <c r="Q241" s="13" t="str">
        <f t="shared" si="120"/>
        <v>-</v>
      </c>
      <c r="R241" s="13" t="str">
        <f t="shared" si="121"/>
        <v>-</v>
      </c>
      <c r="S241" s="13" t="str">
        <f t="shared" si="122"/>
        <v>-</v>
      </c>
      <c r="T241" s="13" t="str">
        <f t="shared" si="123"/>
        <v>-</v>
      </c>
      <c r="U241" s="31" t="str">
        <f t="shared" si="102"/>
        <v>-</v>
      </c>
      <c r="V241" s="6" t="str">
        <f t="shared" si="103"/>
        <v/>
      </c>
      <c r="W241" s="6" t="str">
        <f>IF(V241="","",COUNT($V$3:V241))</f>
        <v/>
      </c>
      <c r="X241" s="6" t="str">
        <f t="shared" si="110"/>
        <v/>
      </c>
      <c r="Y241" s="6" t="str">
        <f t="shared" si="111"/>
        <v/>
      </c>
      <c r="Z241" s="6" t="str">
        <f t="shared" si="112"/>
        <v/>
      </c>
      <c r="AA241" s="6" t="str">
        <f t="shared" si="113"/>
        <v/>
      </c>
      <c r="AB241" s="32" t="str">
        <f t="shared" si="104"/>
        <v/>
      </c>
      <c r="AC241" s="13" t="str">
        <f t="shared" si="114"/>
        <v>-</v>
      </c>
      <c r="AD241" s="13" t="str">
        <f t="shared" si="115"/>
        <v>-</v>
      </c>
      <c r="AE241" s="13" t="str">
        <f t="shared" si="116"/>
        <v>-</v>
      </c>
      <c r="AF241" s="13" t="str">
        <f t="shared" si="117"/>
        <v>-</v>
      </c>
      <c r="AG241" s="31" t="str">
        <f t="shared" si="105"/>
        <v>-</v>
      </c>
      <c r="AH241" s="2" t="str">
        <f t="shared" si="118"/>
        <v/>
      </c>
      <c r="AI241" s="2" t="str">
        <f>IF(AH241="","",COUNT($AH$3:AH241))</f>
        <v/>
      </c>
      <c r="AJ241" s="60" t="str">
        <f t="shared" si="119"/>
        <v/>
      </c>
    </row>
    <row r="242" spans="1:36" ht="16.5">
      <c r="A242" s="6">
        <v>240</v>
      </c>
      <c r="B242" s="9">
        <f t="shared" si="94"/>
        <v>46262</v>
      </c>
      <c r="C242" s="7">
        <f t="shared" si="95"/>
        <v>8</v>
      </c>
      <c r="D242" s="7">
        <f t="shared" si="96"/>
        <v>28</v>
      </c>
      <c r="E242" s="15">
        <f t="shared" si="97"/>
        <v>6</v>
      </c>
      <c r="F242" s="8" t="str">
        <f t="shared" si="98"/>
        <v/>
      </c>
      <c r="G242" s="58"/>
      <c r="H242" s="12" t="s">
        <v>65</v>
      </c>
      <c r="I242" s="6" t="str">
        <f t="shared" si="99"/>
        <v>주간</v>
      </c>
      <c r="J242" s="6">
        <f t="shared" si="100"/>
        <v>1</v>
      </c>
      <c r="K242" s="6">
        <f>IF(J242="","",COUNT($J$3:J242))</f>
        <v>55</v>
      </c>
      <c r="L242" s="6">
        <f t="shared" si="106"/>
        <v>1</v>
      </c>
      <c r="M242" s="6">
        <f t="shared" si="107"/>
        <v>2</v>
      </c>
      <c r="N242" s="6">
        <f t="shared" si="108"/>
        <v>3</v>
      </c>
      <c r="O242" s="6">
        <f t="shared" si="109"/>
        <v>4</v>
      </c>
      <c r="P242" s="32">
        <f t="shared" si="101"/>
        <v>0</v>
      </c>
      <c r="Q242" s="13" t="str">
        <f t="shared" si="120"/>
        <v>이기수</v>
      </c>
      <c r="R242" s="13" t="str">
        <f t="shared" si="121"/>
        <v>박성현</v>
      </c>
      <c r="S242" s="13" t="str">
        <f t="shared" si="122"/>
        <v>허지웅</v>
      </c>
      <c r="T242" s="13" t="str">
        <f t="shared" si="123"/>
        <v>정윤준</v>
      </c>
      <c r="U242" s="31" t="str">
        <f t="shared" si="102"/>
        <v>장혁진</v>
      </c>
      <c r="V242" s="6" t="str">
        <f t="shared" si="103"/>
        <v/>
      </c>
      <c r="W242" s="6" t="str">
        <f>IF(V242="","",COUNT($V$3:V242))</f>
        <v/>
      </c>
      <c r="X242" s="6" t="str">
        <f t="shared" si="110"/>
        <v/>
      </c>
      <c r="Y242" s="6" t="str">
        <f t="shared" si="111"/>
        <v/>
      </c>
      <c r="Z242" s="6" t="str">
        <f t="shared" si="112"/>
        <v/>
      </c>
      <c r="AA242" s="6" t="str">
        <f t="shared" si="113"/>
        <v/>
      </c>
      <c r="AB242" s="32" t="str">
        <f t="shared" si="104"/>
        <v/>
      </c>
      <c r="AC242" s="13" t="str">
        <f t="shared" si="114"/>
        <v>-</v>
      </c>
      <c r="AD242" s="13" t="str">
        <f t="shared" si="115"/>
        <v>-</v>
      </c>
      <c r="AE242" s="13" t="str">
        <f t="shared" si="116"/>
        <v>-</v>
      </c>
      <c r="AF242" s="13" t="str">
        <f t="shared" si="117"/>
        <v>-</v>
      </c>
      <c r="AG242" s="31" t="str">
        <f t="shared" si="105"/>
        <v>-</v>
      </c>
      <c r="AH242" s="2" t="str">
        <f t="shared" si="118"/>
        <v/>
      </c>
      <c r="AI242" s="2" t="str">
        <f>IF(AH242="","",COUNT($AH$3:AH242))</f>
        <v/>
      </c>
      <c r="AJ242" s="60" t="str">
        <f t="shared" si="119"/>
        <v/>
      </c>
    </row>
    <row r="243" spans="1:36" ht="16.5">
      <c r="A243" s="6">
        <v>241</v>
      </c>
      <c r="B243" s="9">
        <f t="shared" si="94"/>
        <v>46263</v>
      </c>
      <c r="C243" s="7">
        <f t="shared" si="95"/>
        <v>8</v>
      </c>
      <c r="D243" s="7">
        <f t="shared" si="96"/>
        <v>29</v>
      </c>
      <c r="E243" s="15">
        <f t="shared" si="97"/>
        <v>7</v>
      </c>
      <c r="F243" s="8" t="str">
        <f t="shared" si="98"/>
        <v>휴</v>
      </c>
      <c r="G243" s="58"/>
      <c r="H243" s="12" t="s">
        <v>63</v>
      </c>
      <c r="I243" s="6" t="str">
        <f t="shared" si="99"/>
        <v>당직</v>
      </c>
      <c r="J243" s="6" t="str">
        <f t="shared" si="100"/>
        <v/>
      </c>
      <c r="K243" s="6" t="str">
        <f>IF(J243="","",COUNT($J$3:J243))</f>
        <v/>
      </c>
      <c r="L243" s="6" t="str">
        <f t="shared" si="106"/>
        <v/>
      </c>
      <c r="M243" s="6" t="str">
        <f t="shared" si="107"/>
        <v/>
      </c>
      <c r="N243" s="6" t="str">
        <f t="shared" si="108"/>
        <v/>
      </c>
      <c r="O243" s="6" t="str">
        <f t="shared" si="109"/>
        <v/>
      </c>
      <c r="P243" s="32" t="str">
        <f t="shared" si="101"/>
        <v/>
      </c>
      <c r="Q243" s="13" t="str">
        <f t="shared" si="120"/>
        <v>-</v>
      </c>
      <c r="R243" s="13" t="str">
        <f t="shared" si="121"/>
        <v>-</v>
      </c>
      <c r="S243" s="13" t="str">
        <f t="shared" si="122"/>
        <v>-</v>
      </c>
      <c r="T243" s="13" t="str">
        <f t="shared" si="123"/>
        <v>-</v>
      </c>
      <c r="U243" s="31" t="str">
        <f t="shared" si="102"/>
        <v>-</v>
      </c>
      <c r="V243" s="6">
        <f t="shared" si="103"/>
        <v>1</v>
      </c>
      <c r="W243" s="6">
        <f>IF(V243="","",COUNT($V$3:V243))</f>
        <v>81</v>
      </c>
      <c r="X243" s="6">
        <f t="shared" si="110"/>
        <v>3</v>
      </c>
      <c r="Y243" s="6">
        <f t="shared" si="111"/>
        <v>4</v>
      </c>
      <c r="Z243" s="6">
        <f t="shared" si="112"/>
        <v>1</v>
      </c>
      <c r="AA243" s="6">
        <f t="shared" si="113"/>
        <v>2</v>
      </c>
      <c r="AB243" s="32">
        <f t="shared" si="104"/>
        <v>1</v>
      </c>
      <c r="AC243" s="13" t="str">
        <f t="shared" si="114"/>
        <v>허지웅</v>
      </c>
      <c r="AD243" s="13" t="str">
        <f t="shared" si="115"/>
        <v>정윤준</v>
      </c>
      <c r="AE243" s="13" t="str">
        <f t="shared" si="116"/>
        <v>이기수</v>
      </c>
      <c r="AF243" s="13" t="str">
        <f t="shared" si="117"/>
        <v>박성현</v>
      </c>
      <c r="AG243" s="31" t="str">
        <f t="shared" si="105"/>
        <v>허지웅</v>
      </c>
      <c r="AH243" s="2" t="str">
        <f t="shared" si="118"/>
        <v/>
      </c>
      <c r="AI243" s="2" t="str">
        <f>IF(AH243="","",COUNT($AH$3:AH243))</f>
        <v/>
      </c>
      <c r="AJ243" s="60" t="str">
        <f t="shared" si="119"/>
        <v/>
      </c>
    </row>
    <row r="244" spans="1:36" ht="16.5">
      <c r="A244" s="6">
        <v>242</v>
      </c>
      <c r="B244" s="9">
        <f t="shared" si="94"/>
        <v>46264</v>
      </c>
      <c r="C244" s="7">
        <f t="shared" si="95"/>
        <v>8</v>
      </c>
      <c r="D244" s="7">
        <f t="shared" si="96"/>
        <v>30</v>
      </c>
      <c r="E244" s="15">
        <f t="shared" si="97"/>
        <v>1</v>
      </c>
      <c r="F244" s="8" t="str">
        <f t="shared" si="98"/>
        <v>휴</v>
      </c>
      <c r="G244" s="58"/>
      <c r="H244" s="12" t="s">
        <v>64</v>
      </c>
      <c r="I244" s="6" t="str">
        <f t="shared" si="99"/>
        <v>비번</v>
      </c>
      <c r="J244" s="6" t="str">
        <f t="shared" si="100"/>
        <v/>
      </c>
      <c r="K244" s="6" t="str">
        <f>IF(J244="","",COUNT($J$3:J244))</f>
        <v/>
      </c>
      <c r="L244" s="6" t="str">
        <f t="shared" si="106"/>
        <v/>
      </c>
      <c r="M244" s="6" t="str">
        <f t="shared" si="107"/>
        <v/>
      </c>
      <c r="N244" s="6" t="str">
        <f t="shared" si="108"/>
        <v/>
      </c>
      <c r="O244" s="6" t="str">
        <f t="shared" si="109"/>
        <v/>
      </c>
      <c r="P244" s="32" t="str">
        <f t="shared" si="101"/>
        <v/>
      </c>
      <c r="Q244" s="13" t="str">
        <f t="shared" si="120"/>
        <v>-</v>
      </c>
      <c r="R244" s="13" t="str">
        <f t="shared" si="121"/>
        <v>-</v>
      </c>
      <c r="S244" s="13" t="str">
        <f t="shared" si="122"/>
        <v>-</v>
      </c>
      <c r="T244" s="13" t="str">
        <f t="shared" si="123"/>
        <v>-</v>
      </c>
      <c r="U244" s="31" t="str">
        <f t="shared" si="102"/>
        <v>-</v>
      </c>
      <c r="V244" s="6" t="str">
        <f t="shared" si="103"/>
        <v/>
      </c>
      <c r="W244" s="6" t="str">
        <f>IF(V244="","",COUNT($V$3:V244))</f>
        <v/>
      </c>
      <c r="X244" s="6" t="str">
        <f t="shared" si="110"/>
        <v/>
      </c>
      <c r="Y244" s="6" t="str">
        <f t="shared" si="111"/>
        <v/>
      </c>
      <c r="Z244" s="6" t="str">
        <f t="shared" si="112"/>
        <v/>
      </c>
      <c r="AA244" s="6" t="str">
        <f t="shared" si="113"/>
        <v/>
      </c>
      <c r="AB244" s="32" t="str">
        <f t="shared" si="104"/>
        <v/>
      </c>
      <c r="AC244" s="13" t="str">
        <f t="shared" si="114"/>
        <v>-</v>
      </c>
      <c r="AD244" s="13" t="str">
        <f t="shared" si="115"/>
        <v>-</v>
      </c>
      <c r="AE244" s="13" t="str">
        <f t="shared" si="116"/>
        <v>-</v>
      </c>
      <c r="AF244" s="13" t="str">
        <f t="shared" si="117"/>
        <v>-</v>
      </c>
      <c r="AG244" s="31" t="str">
        <f t="shared" si="105"/>
        <v>-</v>
      </c>
      <c r="AH244" s="2" t="str">
        <f t="shared" si="118"/>
        <v/>
      </c>
      <c r="AI244" s="2" t="str">
        <f>IF(AH244="","",COUNT($AH$3:AH244))</f>
        <v/>
      </c>
      <c r="AJ244" s="60" t="str">
        <f t="shared" si="119"/>
        <v/>
      </c>
    </row>
    <row r="245" spans="1:36" ht="16.5">
      <c r="A245" s="6">
        <v>243</v>
      </c>
      <c r="B245" s="9">
        <f t="shared" si="94"/>
        <v>46265</v>
      </c>
      <c r="C245" s="7">
        <f t="shared" si="95"/>
        <v>8</v>
      </c>
      <c r="D245" s="7">
        <f t="shared" si="96"/>
        <v>31</v>
      </c>
      <c r="E245" s="15">
        <f t="shared" si="97"/>
        <v>2</v>
      </c>
      <c r="F245" s="8" t="str">
        <f t="shared" si="98"/>
        <v/>
      </c>
      <c r="G245" s="58"/>
      <c r="H245" s="12" t="s">
        <v>65</v>
      </c>
      <c r="I245" s="6" t="str">
        <f t="shared" si="99"/>
        <v>주간</v>
      </c>
      <c r="J245" s="6">
        <f t="shared" si="100"/>
        <v>1</v>
      </c>
      <c r="K245" s="6">
        <f>IF(J245="","",COUNT($J$3:J245))</f>
        <v>56</v>
      </c>
      <c r="L245" s="6">
        <f t="shared" si="106"/>
        <v>4</v>
      </c>
      <c r="M245" s="6">
        <f t="shared" si="107"/>
        <v>1</v>
      </c>
      <c r="N245" s="6">
        <f t="shared" si="108"/>
        <v>2</v>
      </c>
      <c r="O245" s="6">
        <f t="shared" si="109"/>
        <v>3</v>
      </c>
      <c r="P245" s="32">
        <f t="shared" si="101"/>
        <v>1</v>
      </c>
      <c r="Q245" s="13" t="str">
        <f t="shared" si="120"/>
        <v>정윤준</v>
      </c>
      <c r="R245" s="13" t="str">
        <f t="shared" si="121"/>
        <v>이기수</v>
      </c>
      <c r="S245" s="13" t="str">
        <f t="shared" si="122"/>
        <v>박성현</v>
      </c>
      <c r="T245" s="13" t="str">
        <f t="shared" si="123"/>
        <v>허지웅</v>
      </c>
      <c r="U245" s="31" t="str">
        <f t="shared" si="102"/>
        <v>이기수</v>
      </c>
      <c r="V245" s="6" t="str">
        <f t="shared" si="103"/>
        <v/>
      </c>
      <c r="W245" s="6" t="str">
        <f>IF(V245="","",COUNT($V$3:V245))</f>
        <v/>
      </c>
      <c r="X245" s="6" t="str">
        <f t="shared" si="110"/>
        <v/>
      </c>
      <c r="Y245" s="6" t="str">
        <f t="shared" si="111"/>
        <v/>
      </c>
      <c r="Z245" s="6" t="str">
        <f t="shared" si="112"/>
        <v/>
      </c>
      <c r="AA245" s="6" t="str">
        <f t="shared" si="113"/>
        <v/>
      </c>
      <c r="AB245" s="32" t="str">
        <f t="shared" si="104"/>
        <v/>
      </c>
      <c r="AC245" s="13" t="str">
        <f t="shared" si="114"/>
        <v>-</v>
      </c>
      <c r="AD245" s="13" t="str">
        <f t="shared" si="115"/>
        <v>-</v>
      </c>
      <c r="AE245" s="13" t="str">
        <f t="shared" si="116"/>
        <v>-</v>
      </c>
      <c r="AF245" s="13" t="str">
        <f t="shared" si="117"/>
        <v>-</v>
      </c>
      <c r="AG245" s="31" t="str">
        <f t="shared" si="105"/>
        <v>-</v>
      </c>
      <c r="AH245" s="2" t="str">
        <f t="shared" si="118"/>
        <v/>
      </c>
      <c r="AI245" s="2" t="str">
        <f>IF(AH245="","",COUNT($AH$3:AH245))</f>
        <v/>
      </c>
      <c r="AJ245" s="60" t="str">
        <f t="shared" si="119"/>
        <v/>
      </c>
    </row>
    <row r="246" spans="1:36" ht="16.5">
      <c r="A246" s="6">
        <v>244</v>
      </c>
      <c r="B246" s="9">
        <f t="shared" si="94"/>
        <v>46266</v>
      </c>
      <c r="C246" s="7">
        <f t="shared" si="95"/>
        <v>9</v>
      </c>
      <c r="D246" s="7">
        <f t="shared" si="96"/>
        <v>1</v>
      </c>
      <c r="E246" s="15">
        <f t="shared" si="97"/>
        <v>3</v>
      </c>
      <c r="F246" s="8" t="str">
        <f t="shared" si="98"/>
        <v/>
      </c>
      <c r="G246" s="58"/>
      <c r="H246" s="12" t="s">
        <v>63</v>
      </c>
      <c r="I246" s="6" t="str">
        <f t="shared" si="99"/>
        <v>야간</v>
      </c>
      <c r="J246" s="6" t="str">
        <f t="shared" si="100"/>
        <v/>
      </c>
      <c r="K246" s="6" t="str">
        <f>IF(J246="","",COUNT($J$3:J246))</f>
        <v/>
      </c>
      <c r="L246" s="6" t="str">
        <f t="shared" si="106"/>
        <v/>
      </c>
      <c r="M246" s="6" t="str">
        <f t="shared" si="107"/>
        <v/>
      </c>
      <c r="N246" s="6" t="str">
        <f t="shared" si="108"/>
        <v/>
      </c>
      <c r="O246" s="6" t="str">
        <f t="shared" si="109"/>
        <v/>
      </c>
      <c r="P246" s="32" t="str">
        <f t="shared" si="101"/>
        <v/>
      </c>
      <c r="Q246" s="13" t="str">
        <f t="shared" si="120"/>
        <v>-</v>
      </c>
      <c r="R246" s="13" t="str">
        <f t="shared" si="121"/>
        <v>-</v>
      </c>
      <c r="S246" s="13" t="str">
        <f t="shared" si="122"/>
        <v>-</v>
      </c>
      <c r="T246" s="13" t="str">
        <f t="shared" si="123"/>
        <v>-</v>
      </c>
      <c r="U246" s="31" t="str">
        <f t="shared" si="102"/>
        <v>-</v>
      </c>
      <c r="V246" s="6">
        <f t="shared" si="103"/>
        <v>1</v>
      </c>
      <c r="W246" s="6">
        <f>IF(V246="","",COUNT($V$3:V246))</f>
        <v>82</v>
      </c>
      <c r="X246" s="6">
        <f t="shared" si="110"/>
        <v>2</v>
      </c>
      <c r="Y246" s="6">
        <f t="shared" si="111"/>
        <v>3</v>
      </c>
      <c r="Z246" s="6">
        <f t="shared" si="112"/>
        <v>4</v>
      </c>
      <c r="AA246" s="6">
        <f t="shared" si="113"/>
        <v>1</v>
      </c>
      <c r="AB246" s="32">
        <f t="shared" si="104"/>
        <v>2</v>
      </c>
      <c r="AC246" s="13" t="str">
        <f t="shared" si="114"/>
        <v>박성현</v>
      </c>
      <c r="AD246" s="13" t="str">
        <f t="shared" si="115"/>
        <v>허지웅</v>
      </c>
      <c r="AE246" s="13" t="str">
        <f t="shared" si="116"/>
        <v>정윤준</v>
      </c>
      <c r="AF246" s="13" t="str">
        <f t="shared" si="117"/>
        <v>이기수</v>
      </c>
      <c r="AG246" s="31" t="str">
        <f t="shared" si="105"/>
        <v>장혁진</v>
      </c>
      <c r="AH246" s="2" t="str">
        <f t="shared" si="118"/>
        <v/>
      </c>
      <c r="AI246" s="2" t="str">
        <f>IF(AH246="","",COUNT($AH$3:AH246))</f>
        <v/>
      </c>
      <c r="AJ246" s="60" t="str">
        <f t="shared" si="119"/>
        <v/>
      </c>
    </row>
    <row r="247" spans="1:36" ht="16.5">
      <c r="A247" s="6">
        <v>245</v>
      </c>
      <c r="B247" s="9">
        <f t="shared" si="94"/>
        <v>46267</v>
      </c>
      <c r="C247" s="7">
        <f t="shared" si="95"/>
        <v>9</v>
      </c>
      <c r="D247" s="7">
        <f t="shared" si="96"/>
        <v>2</v>
      </c>
      <c r="E247" s="15">
        <f t="shared" si="97"/>
        <v>4</v>
      </c>
      <c r="F247" s="8" t="str">
        <f t="shared" si="98"/>
        <v/>
      </c>
      <c r="G247" s="58"/>
      <c r="H247" s="12" t="s">
        <v>64</v>
      </c>
      <c r="I247" s="6" t="str">
        <f t="shared" si="99"/>
        <v>비번</v>
      </c>
      <c r="J247" s="6" t="str">
        <f t="shared" si="100"/>
        <v/>
      </c>
      <c r="K247" s="6" t="str">
        <f>IF(J247="","",COUNT($J$3:J247))</f>
        <v/>
      </c>
      <c r="L247" s="6" t="str">
        <f t="shared" si="106"/>
        <v/>
      </c>
      <c r="M247" s="6" t="str">
        <f t="shared" si="107"/>
        <v/>
      </c>
      <c r="N247" s="6" t="str">
        <f t="shared" si="108"/>
        <v/>
      </c>
      <c r="O247" s="6" t="str">
        <f t="shared" si="109"/>
        <v/>
      </c>
      <c r="P247" s="32" t="str">
        <f t="shared" si="101"/>
        <v/>
      </c>
      <c r="Q247" s="13" t="str">
        <f t="shared" si="120"/>
        <v>-</v>
      </c>
      <c r="R247" s="13" t="str">
        <f t="shared" si="121"/>
        <v>-</v>
      </c>
      <c r="S247" s="13" t="str">
        <f t="shared" si="122"/>
        <v>-</v>
      </c>
      <c r="T247" s="13" t="str">
        <f t="shared" si="123"/>
        <v>-</v>
      </c>
      <c r="U247" s="31" t="str">
        <f t="shared" si="102"/>
        <v>-</v>
      </c>
      <c r="V247" s="6" t="str">
        <f t="shared" si="103"/>
        <v/>
      </c>
      <c r="W247" s="6" t="str">
        <f>IF(V247="","",COUNT($V$3:V247))</f>
        <v/>
      </c>
      <c r="X247" s="6" t="str">
        <f t="shared" si="110"/>
        <v/>
      </c>
      <c r="Y247" s="6" t="str">
        <f t="shared" si="111"/>
        <v/>
      </c>
      <c r="Z247" s="6" t="str">
        <f t="shared" si="112"/>
        <v/>
      </c>
      <c r="AA247" s="6" t="str">
        <f t="shared" si="113"/>
        <v/>
      </c>
      <c r="AB247" s="32" t="str">
        <f t="shared" si="104"/>
        <v/>
      </c>
      <c r="AC247" s="13" t="str">
        <f t="shared" si="114"/>
        <v>-</v>
      </c>
      <c r="AD247" s="13" t="str">
        <f t="shared" si="115"/>
        <v>-</v>
      </c>
      <c r="AE247" s="13" t="str">
        <f t="shared" si="116"/>
        <v>-</v>
      </c>
      <c r="AF247" s="13" t="str">
        <f t="shared" si="117"/>
        <v>-</v>
      </c>
      <c r="AG247" s="31" t="str">
        <f t="shared" si="105"/>
        <v>-</v>
      </c>
      <c r="AH247" s="2" t="str">
        <f t="shared" si="118"/>
        <v/>
      </c>
      <c r="AI247" s="2" t="str">
        <f>IF(AH247="","",COUNT($AH$3:AH247))</f>
        <v/>
      </c>
      <c r="AJ247" s="60" t="str">
        <f t="shared" si="119"/>
        <v/>
      </c>
    </row>
    <row r="248" spans="1:36" ht="16.5">
      <c r="A248" s="6">
        <v>246</v>
      </c>
      <c r="B248" s="9">
        <f t="shared" si="94"/>
        <v>46268</v>
      </c>
      <c r="C248" s="7">
        <f t="shared" si="95"/>
        <v>9</v>
      </c>
      <c r="D248" s="7">
        <f t="shared" si="96"/>
        <v>3</v>
      </c>
      <c r="E248" s="15">
        <f t="shared" si="97"/>
        <v>5</v>
      </c>
      <c r="F248" s="8" t="str">
        <f t="shared" si="98"/>
        <v/>
      </c>
      <c r="G248" s="58"/>
      <c r="H248" s="12" t="s">
        <v>65</v>
      </c>
      <c r="I248" s="6" t="str">
        <f t="shared" si="99"/>
        <v>주간</v>
      </c>
      <c r="J248" s="6">
        <f t="shared" si="100"/>
        <v>1</v>
      </c>
      <c r="K248" s="6">
        <f>IF(J248="","",COUNT($J$3:J248))</f>
        <v>57</v>
      </c>
      <c r="L248" s="6">
        <f t="shared" si="106"/>
        <v>3</v>
      </c>
      <c r="M248" s="6">
        <f t="shared" si="107"/>
        <v>4</v>
      </c>
      <c r="N248" s="6">
        <f t="shared" si="108"/>
        <v>1</v>
      </c>
      <c r="O248" s="6">
        <f t="shared" si="109"/>
        <v>2</v>
      </c>
      <c r="P248" s="32">
        <f t="shared" si="101"/>
        <v>2</v>
      </c>
      <c r="Q248" s="13" t="str">
        <f t="shared" si="120"/>
        <v>허지웅</v>
      </c>
      <c r="R248" s="13" t="str">
        <f t="shared" si="121"/>
        <v>정윤준</v>
      </c>
      <c r="S248" s="13" t="str">
        <f t="shared" si="122"/>
        <v>이기수</v>
      </c>
      <c r="T248" s="13" t="str">
        <f t="shared" si="123"/>
        <v>박성현</v>
      </c>
      <c r="U248" s="31" t="str">
        <f t="shared" si="102"/>
        <v>정윤준</v>
      </c>
      <c r="V248" s="6" t="str">
        <f t="shared" si="103"/>
        <v/>
      </c>
      <c r="W248" s="6" t="str">
        <f>IF(V248="","",COUNT($V$3:V248))</f>
        <v/>
      </c>
      <c r="X248" s="6" t="str">
        <f t="shared" si="110"/>
        <v/>
      </c>
      <c r="Y248" s="6" t="str">
        <f t="shared" si="111"/>
        <v/>
      </c>
      <c r="Z248" s="6" t="str">
        <f t="shared" si="112"/>
        <v/>
      </c>
      <c r="AA248" s="6" t="str">
        <f t="shared" si="113"/>
        <v/>
      </c>
      <c r="AB248" s="32" t="str">
        <f t="shared" si="104"/>
        <v/>
      </c>
      <c r="AC248" s="13" t="str">
        <f t="shared" si="114"/>
        <v>-</v>
      </c>
      <c r="AD248" s="13" t="str">
        <f t="shared" si="115"/>
        <v>-</v>
      </c>
      <c r="AE248" s="13" t="str">
        <f t="shared" si="116"/>
        <v>-</v>
      </c>
      <c r="AF248" s="13" t="str">
        <f t="shared" si="117"/>
        <v>-</v>
      </c>
      <c r="AG248" s="31" t="str">
        <f t="shared" si="105"/>
        <v>-</v>
      </c>
      <c r="AH248" s="2" t="str">
        <f t="shared" si="118"/>
        <v/>
      </c>
      <c r="AI248" s="2" t="str">
        <f>IF(AH248="","",COUNT($AH$3:AH248))</f>
        <v/>
      </c>
      <c r="AJ248" s="60" t="str">
        <f t="shared" si="119"/>
        <v/>
      </c>
    </row>
    <row r="249" spans="1:36" ht="16.5">
      <c r="A249" s="6">
        <v>247</v>
      </c>
      <c r="B249" s="9">
        <f t="shared" si="94"/>
        <v>46269</v>
      </c>
      <c r="C249" s="7">
        <f t="shared" si="95"/>
        <v>9</v>
      </c>
      <c r="D249" s="7">
        <f t="shared" si="96"/>
        <v>4</v>
      </c>
      <c r="E249" s="15">
        <f t="shared" si="97"/>
        <v>6</v>
      </c>
      <c r="F249" s="8" t="str">
        <f t="shared" si="98"/>
        <v/>
      </c>
      <c r="G249" s="58"/>
      <c r="H249" s="12" t="s">
        <v>63</v>
      </c>
      <c r="I249" s="6" t="str">
        <f t="shared" si="99"/>
        <v>야간</v>
      </c>
      <c r="J249" s="6" t="str">
        <f t="shared" si="100"/>
        <v/>
      </c>
      <c r="K249" s="6" t="str">
        <f>IF(J249="","",COUNT($J$3:J249))</f>
        <v/>
      </c>
      <c r="L249" s="6" t="str">
        <f t="shared" si="106"/>
        <v/>
      </c>
      <c r="M249" s="6" t="str">
        <f t="shared" si="107"/>
        <v/>
      </c>
      <c r="N249" s="6" t="str">
        <f t="shared" si="108"/>
        <v/>
      </c>
      <c r="O249" s="6" t="str">
        <f t="shared" si="109"/>
        <v/>
      </c>
      <c r="P249" s="32" t="str">
        <f t="shared" si="101"/>
        <v/>
      </c>
      <c r="Q249" s="13" t="str">
        <f t="shared" si="120"/>
        <v>-</v>
      </c>
      <c r="R249" s="13" t="str">
        <f t="shared" si="121"/>
        <v>-</v>
      </c>
      <c r="S249" s="13" t="str">
        <f t="shared" si="122"/>
        <v>-</v>
      </c>
      <c r="T249" s="13" t="str">
        <f t="shared" si="123"/>
        <v>-</v>
      </c>
      <c r="U249" s="31" t="str">
        <f t="shared" si="102"/>
        <v>-</v>
      </c>
      <c r="V249" s="6">
        <f t="shared" si="103"/>
        <v>1</v>
      </c>
      <c r="W249" s="6">
        <f>IF(V249="","",COUNT($V$3:V249))</f>
        <v>83</v>
      </c>
      <c r="X249" s="6">
        <f t="shared" si="110"/>
        <v>1</v>
      </c>
      <c r="Y249" s="6">
        <f t="shared" si="111"/>
        <v>2</v>
      </c>
      <c r="Z249" s="6">
        <f t="shared" si="112"/>
        <v>3</v>
      </c>
      <c r="AA249" s="6">
        <f t="shared" si="113"/>
        <v>4</v>
      </c>
      <c r="AB249" s="32">
        <f t="shared" si="104"/>
        <v>3</v>
      </c>
      <c r="AC249" s="13" t="str">
        <f t="shared" si="114"/>
        <v>이기수</v>
      </c>
      <c r="AD249" s="13" t="str">
        <f t="shared" si="115"/>
        <v>박성현</v>
      </c>
      <c r="AE249" s="13" t="str">
        <f t="shared" si="116"/>
        <v>허지웅</v>
      </c>
      <c r="AF249" s="13" t="str">
        <f t="shared" si="117"/>
        <v>정윤준</v>
      </c>
      <c r="AG249" s="31" t="str">
        <f t="shared" si="105"/>
        <v>이기수</v>
      </c>
      <c r="AH249" s="2">
        <f t="shared" si="118"/>
        <v>1</v>
      </c>
      <c r="AI249" s="2">
        <f>IF(AH249="","",COUNT($AH$3:AH249))</f>
        <v>21</v>
      </c>
      <c r="AJ249" s="60" t="str">
        <f t="shared" si="119"/>
        <v>정윤준</v>
      </c>
    </row>
    <row r="250" spans="1:36" ht="16.5">
      <c r="A250" s="6">
        <v>248</v>
      </c>
      <c r="B250" s="9">
        <f t="shared" si="94"/>
        <v>46270</v>
      </c>
      <c r="C250" s="7">
        <f t="shared" si="95"/>
        <v>9</v>
      </c>
      <c r="D250" s="7">
        <f t="shared" si="96"/>
        <v>5</v>
      </c>
      <c r="E250" s="15">
        <f t="shared" si="97"/>
        <v>7</v>
      </c>
      <c r="F250" s="8" t="str">
        <f t="shared" si="98"/>
        <v>휴</v>
      </c>
      <c r="G250" s="58"/>
      <c r="H250" s="12" t="s">
        <v>64</v>
      </c>
      <c r="I250" s="6" t="str">
        <f t="shared" si="99"/>
        <v>비번</v>
      </c>
      <c r="J250" s="6" t="str">
        <f t="shared" si="100"/>
        <v/>
      </c>
      <c r="K250" s="6" t="str">
        <f>IF(J250="","",COUNT($J$3:J250))</f>
        <v/>
      </c>
      <c r="L250" s="6" t="str">
        <f t="shared" si="106"/>
        <v/>
      </c>
      <c r="M250" s="6" t="str">
        <f t="shared" si="107"/>
        <v/>
      </c>
      <c r="N250" s="6" t="str">
        <f t="shared" si="108"/>
        <v/>
      </c>
      <c r="O250" s="6" t="str">
        <f t="shared" si="109"/>
        <v/>
      </c>
      <c r="P250" s="32" t="str">
        <f t="shared" si="101"/>
        <v/>
      </c>
      <c r="Q250" s="13" t="str">
        <f t="shared" si="120"/>
        <v>-</v>
      </c>
      <c r="R250" s="13" t="str">
        <f t="shared" si="121"/>
        <v>-</v>
      </c>
      <c r="S250" s="13" t="str">
        <f t="shared" si="122"/>
        <v>-</v>
      </c>
      <c r="T250" s="13" t="str">
        <f t="shared" si="123"/>
        <v>-</v>
      </c>
      <c r="U250" s="31" t="str">
        <f t="shared" si="102"/>
        <v>-</v>
      </c>
      <c r="V250" s="6" t="str">
        <f t="shared" si="103"/>
        <v/>
      </c>
      <c r="W250" s="6" t="str">
        <f>IF(V250="","",COUNT($V$3:V250))</f>
        <v/>
      </c>
      <c r="X250" s="6" t="str">
        <f t="shared" si="110"/>
        <v/>
      </c>
      <c r="Y250" s="6" t="str">
        <f t="shared" si="111"/>
        <v/>
      </c>
      <c r="Z250" s="6" t="str">
        <f t="shared" si="112"/>
        <v/>
      </c>
      <c r="AA250" s="6" t="str">
        <f t="shared" si="113"/>
        <v/>
      </c>
      <c r="AB250" s="32" t="str">
        <f t="shared" si="104"/>
        <v/>
      </c>
      <c r="AC250" s="13" t="str">
        <f t="shared" si="114"/>
        <v>-</v>
      </c>
      <c r="AD250" s="13" t="str">
        <f t="shared" si="115"/>
        <v>-</v>
      </c>
      <c r="AE250" s="13" t="str">
        <f t="shared" si="116"/>
        <v>-</v>
      </c>
      <c r="AF250" s="13" t="str">
        <f t="shared" si="117"/>
        <v>-</v>
      </c>
      <c r="AG250" s="31" t="str">
        <f t="shared" si="105"/>
        <v>-</v>
      </c>
      <c r="AH250" s="2" t="str">
        <f t="shared" si="118"/>
        <v/>
      </c>
      <c r="AI250" s="2" t="str">
        <f>IF(AH250="","",COUNT($AH$3:AH250))</f>
        <v/>
      </c>
      <c r="AJ250" s="60" t="str">
        <f t="shared" si="119"/>
        <v/>
      </c>
    </row>
    <row r="251" spans="1:36" ht="16.5">
      <c r="A251" s="6">
        <v>249</v>
      </c>
      <c r="B251" s="9">
        <f t="shared" si="94"/>
        <v>46271</v>
      </c>
      <c r="C251" s="7">
        <f t="shared" si="95"/>
        <v>9</v>
      </c>
      <c r="D251" s="7">
        <f t="shared" si="96"/>
        <v>6</v>
      </c>
      <c r="E251" s="15">
        <f t="shared" si="97"/>
        <v>1</v>
      </c>
      <c r="F251" s="8" t="str">
        <f t="shared" si="98"/>
        <v>휴</v>
      </c>
      <c r="G251" s="58"/>
      <c r="H251" s="12" t="s">
        <v>65</v>
      </c>
      <c r="I251" s="6" t="str">
        <f t="shared" si="99"/>
        <v>휴무</v>
      </c>
      <c r="J251" s="6" t="str">
        <f t="shared" si="100"/>
        <v/>
      </c>
      <c r="K251" s="6" t="str">
        <f>IF(J251="","",COUNT($J$3:J251))</f>
        <v/>
      </c>
      <c r="L251" s="6" t="str">
        <f t="shared" si="106"/>
        <v/>
      </c>
      <c r="M251" s="6" t="str">
        <f t="shared" si="107"/>
        <v/>
      </c>
      <c r="N251" s="6" t="str">
        <f t="shared" si="108"/>
        <v/>
      </c>
      <c r="O251" s="6" t="str">
        <f t="shared" si="109"/>
        <v/>
      </c>
      <c r="P251" s="32" t="str">
        <f t="shared" si="101"/>
        <v/>
      </c>
      <c r="Q251" s="13" t="str">
        <f t="shared" si="120"/>
        <v>-</v>
      </c>
      <c r="R251" s="13" t="str">
        <f t="shared" si="121"/>
        <v>-</v>
      </c>
      <c r="S251" s="13" t="str">
        <f t="shared" si="122"/>
        <v>-</v>
      </c>
      <c r="T251" s="13" t="str">
        <f t="shared" si="123"/>
        <v>-</v>
      </c>
      <c r="U251" s="31" t="str">
        <f t="shared" si="102"/>
        <v>-</v>
      </c>
      <c r="V251" s="6" t="str">
        <f t="shared" si="103"/>
        <v/>
      </c>
      <c r="W251" s="6" t="str">
        <f>IF(V251="","",COUNT($V$3:V251))</f>
        <v/>
      </c>
      <c r="X251" s="6" t="str">
        <f t="shared" si="110"/>
        <v/>
      </c>
      <c r="Y251" s="6" t="str">
        <f t="shared" si="111"/>
        <v/>
      </c>
      <c r="Z251" s="6" t="str">
        <f t="shared" si="112"/>
        <v/>
      </c>
      <c r="AA251" s="6" t="str">
        <f t="shared" si="113"/>
        <v/>
      </c>
      <c r="AB251" s="32" t="str">
        <f t="shared" si="104"/>
        <v/>
      </c>
      <c r="AC251" s="13" t="str">
        <f t="shared" si="114"/>
        <v>-</v>
      </c>
      <c r="AD251" s="13" t="str">
        <f t="shared" si="115"/>
        <v>-</v>
      </c>
      <c r="AE251" s="13" t="str">
        <f t="shared" si="116"/>
        <v>-</v>
      </c>
      <c r="AF251" s="13" t="str">
        <f t="shared" si="117"/>
        <v>-</v>
      </c>
      <c r="AG251" s="31" t="str">
        <f t="shared" si="105"/>
        <v>-</v>
      </c>
      <c r="AH251" s="2" t="str">
        <f t="shared" si="118"/>
        <v/>
      </c>
      <c r="AI251" s="2" t="str">
        <f>IF(AH251="","",COUNT($AH$3:AH251))</f>
        <v/>
      </c>
      <c r="AJ251" s="60" t="str">
        <f t="shared" si="119"/>
        <v/>
      </c>
    </row>
    <row r="252" spans="1:36" ht="16.5">
      <c r="A252" s="6">
        <v>250</v>
      </c>
      <c r="B252" s="9">
        <f t="shared" si="94"/>
        <v>46272</v>
      </c>
      <c r="C252" s="7">
        <f t="shared" si="95"/>
        <v>9</v>
      </c>
      <c r="D252" s="7">
        <f t="shared" si="96"/>
        <v>7</v>
      </c>
      <c r="E252" s="15">
        <f t="shared" si="97"/>
        <v>2</v>
      </c>
      <c r="F252" s="8" t="str">
        <f t="shared" si="98"/>
        <v/>
      </c>
      <c r="G252" s="58"/>
      <c r="H252" s="12" t="s">
        <v>63</v>
      </c>
      <c r="I252" s="6" t="str">
        <f t="shared" si="99"/>
        <v>야간</v>
      </c>
      <c r="J252" s="6" t="str">
        <f t="shared" si="100"/>
        <v/>
      </c>
      <c r="K252" s="6" t="str">
        <f>IF(J252="","",COUNT($J$3:J252))</f>
        <v/>
      </c>
      <c r="L252" s="6" t="str">
        <f t="shared" si="106"/>
        <v/>
      </c>
      <c r="M252" s="6" t="str">
        <f t="shared" si="107"/>
        <v/>
      </c>
      <c r="N252" s="6" t="str">
        <f t="shared" si="108"/>
        <v/>
      </c>
      <c r="O252" s="6" t="str">
        <f t="shared" si="109"/>
        <v/>
      </c>
      <c r="P252" s="32" t="str">
        <f t="shared" si="101"/>
        <v/>
      </c>
      <c r="Q252" s="13" t="str">
        <f t="shared" si="120"/>
        <v>-</v>
      </c>
      <c r="R252" s="13" t="str">
        <f t="shared" si="121"/>
        <v>-</v>
      </c>
      <c r="S252" s="13" t="str">
        <f t="shared" si="122"/>
        <v>-</v>
      </c>
      <c r="T252" s="13" t="str">
        <f t="shared" si="123"/>
        <v>-</v>
      </c>
      <c r="U252" s="31" t="str">
        <f t="shared" si="102"/>
        <v>-</v>
      </c>
      <c r="V252" s="6">
        <f t="shared" si="103"/>
        <v>1</v>
      </c>
      <c r="W252" s="6">
        <f>IF(V252="","",COUNT($V$3:V252))</f>
        <v>84</v>
      </c>
      <c r="X252" s="6">
        <f t="shared" si="110"/>
        <v>4</v>
      </c>
      <c r="Y252" s="6">
        <f t="shared" si="111"/>
        <v>1</v>
      </c>
      <c r="Z252" s="6">
        <f t="shared" si="112"/>
        <v>2</v>
      </c>
      <c r="AA252" s="6">
        <f t="shared" si="113"/>
        <v>3</v>
      </c>
      <c r="AB252" s="32">
        <f t="shared" si="104"/>
        <v>4</v>
      </c>
      <c r="AC252" s="13" t="str">
        <f t="shared" si="114"/>
        <v>정윤준</v>
      </c>
      <c r="AD252" s="13" t="str">
        <f t="shared" si="115"/>
        <v>이기수</v>
      </c>
      <c r="AE252" s="13" t="str">
        <f t="shared" si="116"/>
        <v>박성현</v>
      </c>
      <c r="AF252" s="13" t="str">
        <f t="shared" si="117"/>
        <v>허지웅</v>
      </c>
      <c r="AG252" s="31" t="e">
        <f t="shared" si="105"/>
        <v>#VALUE!</v>
      </c>
      <c r="AH252" s="2" t="str">
        <f t="shared" si="118"/>
        <v/>
      </c>
      <c r="AI252" s="2" t="str">
        <f>IF(AH252="","",COUNT($AH$3:AH252))</f>
        <v/>
      </c>
      <c r="AJ252" s="60" t="str">
        <f t="shared" si="119"/>
        <v/>
      </c>
    </row>
    <row r="253" spans="1:36" ht="16.5">
      <c r="A253" s="6">
        <v>251</v>
      </c>
      <c r="B253" s="9">
        <f t="shared" si="94"/>
        <v>46273</v>
      </c>
      <c r="C253" s="7">
        <f t="shared" si="95"/>
        <v>9</v>
      </c>
      <c r="D253" s="7">
        <f t="shared" si="96"/>
        <v>8</v>
      </c>
      <c r="E253" s="15">
        <f t="shared" si="97"/>
        <v>3</v>
      </c>
      <c r="F253" s="8" t="str">
        <f t="shared" si="98"/>
        <v/>
      </c>
      <c r="G253" s="58"/>
      <c r="H253" s="12" t="s">
        <v>64</v>
      </c>
      <c r="I253" s="6" t="str">
        <f t="shared" si="99"/>
        <v>비번</v>
      </c>
      <c r="J253" s="6" t="str">
        <f t="shared" si="100"/>
        <v/>
      </c>
      <c r="K253" s="6" t="str">
        <f>IF(J253="","",COUNT($J$3:J253))</f>
        <v/>
      </c>
      <c r="L253" s="6" t="str">
        <f t="shared" si="106"/>
        <v/>
      </c>
      <c r="M253" s="6" t="str">
        <f t="shared" si="107"/>
        <v/>
      </c>
      <c r="N253" s="6" t="str">
        <f t="shared" si="108"/>
        <v/>
      </c>
      <c r="O253" s="6" t="str">
        <f t="shared" si="109"/>
        <v/>
      </c>
      <c r="P253" s="32" t="str">
        <f t="shared" si="101"/>
        <v/>
      </c>
      <c r="Q253" s="13" t="str">
        <f t="shared" si="120"/>
        <v>-</v>
      </c>
      <c r="R253" s="13" t="str">
        <f t="shared" si="121"/>
        <v>-</v>
      </c>
      <c r="S253" s="13" t="str">
        <f t="shared" si="122"/>
        <v>-</v>
      </c>
      <c r="T253" s="13" t="str">
        <f t="shared" si="123"/>
        <v>-</v>
      </c>
      <c r="U253" s="31" t="str">
        <f t="shared" si="102"/>
        <v>-</v>
      </c>
      <c r="V253" s="6" t="str">
        <f t="shared" si="103"/>
        <v/>
      </c>
      <c r="W253" s="6" t="str">
        <f>IF(V253="","",COUNT($V$3:V253))</f>
        <v/>
      </c>
      <c r="X253" s="6" t="str">
        <f t="shared" si="110"/>
        <v/>
      </c>
      <c r="Y253" s="6" t="str">
        <f t="shared" si="111"/>
        <v/>
      </c>
      <c r="Z253" s="6" t="str">
        <f t="shared" si="112"/>
        <v/>
      </c>
      <c r="AA253" s="6" t="str">
        <f t="shared" si="113"/>
        <v/>
      </c>
      <c r="AB253" s="32" t="str">
        <f t="shared" si="104"/>
        <v/>
      </c>
      <c r="AC253" s="13" t="str">
        <f t="shared" si="114"/>
        <v>-</v>
      </c>
      <c r="AD253" s="13" t="str">
        <f t="shared" si="115"/>
        <v>-</v>
      </c>
      <c r="AE253" s="13" t="str">
        <f t="shared" si="116"/>
        <v>-</v>
      </c>
      <c r="AF253" s="13" t="str">
        <f t="shared" si="117"/>
        <v>-</v>
      </c>
      <c r="AG253" s="31" t="str">
        <f t="shared" si="105"/>
        <v>-</v>
      </c>
      <c r="AH253" s="2" t="str">
        <f t="shared" si="118"/>
        <v/>
      </c>
      <c r="AI253" s="2" t="str">
        <f>IF(AH253="","",COUNT($AH$3:AH253))</f>
        <v/>
      </c>
      <c r="AJ253" s="60" t="str">
        <f t="shared" si="119"/>
        <v/>
      </c>
    </row>
    <row r="254" spans="1:36" ht="16.5">
      <c r="A254" s="6">
        <v>252</v>
      </c>
      <c r="B254" s="9">
        <f t="shared" si="94"/>
        <v>46274</v>
      </c>
      <c r="C254" s="7">
        <f t="shared" si="95"/>
        <v>9</v>
      </c>
      <c r="D254" s="7">
        <f t="shared" si="96"/>
        <v>9</v>
      </c>
      <c r="E254" s="15">
        <f t="shared" si="97"/>
        <v>4</v>
      </c>
      <c r="F254" s="8" t="str">
        <f t="shared" si="98"/>
        <v/>
      </c>
      <c r="G254" s="58"/>
      <c r="H254" s="12" t="s">
        <v>65</v>
      </c>
      <c r="I254" s="6" t="str">
        <f t="shared" si="99"/>
        <v>주간</v>
      </c>
      <c r="J254" s="6">
        <f t="shared" si="100"/>
        <v>1</v>
      </c>
      <c r="K254" s="6">
        <f>IF(J254="","",COUNT($J$3:J254))</f>
        <v>58</v>
      </c>
      <c r="L254" s="6">
        <f t="shared" si="106"/>
        <v>2</v>
      </c>
      <c r="M254" s="6">
        <f t="shared" si="107"/>
        <v>3</v>
      </c>
      <c r="N254" s="6">
        <f t="shared" si="108"/>
        <v>4</v>
      </c>
      <c r="O254" s="6">
        <f t="shared" si="109"/>
        <v>1</v>
      </c>
      <c r="P254" s="32">
        <f t="shared" si="101"/>
        <v>3</v>
      </c>
      <c r="Q254" s="13" t="str">
        <f t="shared" si="120"/>
        <v>박성현</v>
      </c>
      <c r="R254" s="13" t="str">
        <f t="shared" si="121"/>
        <v>허지웅</v>
      </c>
      <c r="S254" s="13" t="str">
        <f t="shared" si="122"/>
        <v>정윤준</v>
      </c>
      <c r="T254" s="13" t="str">
        <f t="shared" si="123"/>
        <v>이기수</v>
      </c>
      <c r="U254" s="31" t="str">
        <f t="shared" si="102"/>
        <v>허지웅</v>
      </c>
      <c r="V254" s="6" t="str">
        <f t="shared" si="103"/>
        <v/>
      </c>
      <c r="W254" s="6" t="str">
        <f>IF(V254="","",COUNT($V$3:V254))</f>
        <v/>
      </c>
      <c r="X254" s="6" t="str">
        <f t="shared" si="110"/>
        <v/>
      </c>
      <c r="Y254" s="6" t="str">
        <f t="shared" si="111"/>
        <v/>
      </c>
      <c r="Z254" s="6" t="str">
        <f t="shared" si="112"/>
        <v/>
      </c>
      <c r="AA254" s="6" t="str">
        <f t="shared" si="113"/>
        <v/>
      </c>
      <c r="AB254" s="32" t="str">
        <f t="shared" si="104"/>
        <v/>
      </c>
      <c r="AC254" s="13" t="str">
        <f t="shared" si="114"/>
        <v>-</v>
      </c>
      <c r="AD254" s="13" t="str">
        <f t="shared" si="115"/>
        <v>-</v>
      </c>
      <c r="AE254" s="13" t="str">
        <f t="shared" si="116"/>
        <v>-</v>
      </c>
      <c r="AF254" s="13" t="str">
        <f t="shared" si="117"/>
        <v>-</v>
      </c>
      <c r="AG254" s="31" t="str">
        <f t="shared" si="105"/>
        <v>-</v>
      </c>
      <c r="AH254" s="2" t="str">
        <f t="shared" si="118"/>
        <v/>
      </c>
      <c r="AI254" s="2" t="str">
        <f>IF(AH254="","",COUNT($AH$3:AH254))</f>
        <v/>
      </c>
      <c r="AJ254" s="60" t="str">
        <f t="shared" si="119"/>
        <v/>
      </c>
    </row>
    <row r="255" spans="1:36" ht="16.5">
      <c r="A255" s="6">
        <v>253</v>
      </c>
      <c r="B255" s="9">
        <f t="shared" si="94"/>
        <v>46275</v>
      </c>
      <c r="C255" s="7">
        <f t="shared" si="95"/>
        <v>9</v>
      </c>
      <c r="D255" s="7">
        <f t="shared" si="96"/>
        <v>10</v>
      </c>
      <c r="E255" s="15">
        <f t="shared" si="97"/>
        <v>5</v>
      </c>
      <c r="F255" s="8" t="str">
        <f t="shared" si="98"/>
        <v/>
      </c>
      <c r="G255" s="58"/>
      <c r="H255" s="12" t="s">
        <v>63</v>
      </c>
      <c r="I255" s="6" t="str">
        <f t="shared" si="99"/>
        <v>야간</v>
      </c>
      <c r="J255" s="6" t="str">
        <f t="shared" si="100"/>
        <v/>
      </c>
      <c r="K255" s="6" t="str">
        <f>IF(J255="","",COUNT($J$3:J255))</f>
        <v/>
      </c>
      <c r="L255" s="6" t="str">
        <f t="shared" si="106"/>
        <v/>
      </c>
      <c r="M255" s="6" t="str">
        <f t="shared" si="107"/>
        <v/>
      </c>
      <c r="N255" s="6" t="str">
        <f t="shared" si="108"/>
        <v/>
      </c>
      <c r="O255" s="6" t="str">
        <f t="shared" si="109"/>
        <v/>
      </c>
      <c r="P255" s="32" t="str">
        <f t="shared" si="101"/>
        <v/>
      </c>
      <c r="Q255" s="13" t="str">
        <f t="shared" si="120"/>
        <v>-</v>
      </c>
      <c r="R255" s="13" t="str">
        <f t="shared" si="121"/>
        <v>-</v>
      </c>
      <c r="S255" s="13" t="str">
        <f t="shared" si="122"/>
        <v>-</v>
      </c>
      <c r="T255" s="13" t="str">
        <f t="shared" si="123"/>
        <v>-</v>
      </c>
      <c r="U255" s="31" t="str">
        <f t="shared" si="102"/>
        <v>-</v>
      </c>
      <c r="V255" s="6">
        <f t="shared" si="103"/>
        <v>1</v>
      </c>
      <c r="W255" s="6">
        <f>IF(V255="","",COUNT($V$3:V255))</f>
        <v>85</v>
      </c>
      <c r="X255" s="6">
        <f t="shared" si="110"/>
        <v>3</v>
      </c>
      <c r="Y255" s="6">
        <f t="shared" si="111"/>
        <v>4</v>
      </c>
      <c r="Z255" s="6">
        <f t="shared" si="112"/>
        <v>1</v>
      </c>
      <c r="AA255" s="6">
        <f t="shared" si="113"/>
        <v>2</v>
      </c>
      <c r="AB255" s="32">
        <f t="shared" si="104"/>
        <v>0</v>
      </c>
      <c r="AC255" s="13" t="str">
        <f t="shared" si="114"/>
        <v>허지웅</v>
      </c>
      <c r="AD255" s="13" t="str">
        <f t="shared" si="115"/>
        <v>정윤준</v>
      </c>
      <c r="AE255" s="13" t="str">
        <f t="shared" si="116"/>
        <v>이기수</v>
      </c>
      <c r="AF255" s="13" t="str">
        <f t="shared" si="117"/>
        <v>박성현</v>
      </c>
      <c r="AG255" s="31" t="str">
        <f t="shared" si="105"/>
        <v>정윤준</v>
      </c>
      <c r="AH255" s="2" t="str">
        <f t="shared" si="118"/>
        <v/>
      </c>
      <c r="AI255" s="2" t="str">
        <f>IF(AH255="","",COUNT($AH$3:AH255))</f>
        <v/>
      </c>
      <c r="AJ255" s="60" t="str">
        <f t="shared" si="119"/>
        <v/>
      </c>
    </row>
    <row r="256" spans="1:36" ht="16.5">
      <c r="A256" s="6">
        <v>254</v>
      </c>
      <c r="B256" s="9">
        <f t="shared" si="94"/>
        <v>46276</v>
      </c>
      <c r="C256" s="7">
        <f t="shared" si="95"/>
        <v>9</v>
      </c>
      <c r="D256" s="7">
        <f t="shared" si="96"/>
        <v>11</v>
      </c>
      <c r="E256" s="15">
        <f t="shared" si="97"/>
        <v>6</v>
      </c>
      <c r="F256" s="8" t="str">
        <f t="shared" si="98"/>
        <v/>
      </c>
      <c r="G256" s="58"/>
      <c r="H256" s="12" t="s">
        <v>64</v>
      </c>
      <c r="I256" s="6" t="str">
        <f t="shared" si="99"/>
        <v>비번</v>
      </c>
      <c r="J256" s="6" t="str">
        <f t="shared" si="100"/>
        <v/>
      </c>
      <c r="K256" s="6" t="str">
        <f>IF(J256="","",COUNT($J$3:J256))</f>
        <v/>
      </c>
      <c r="L256" s="6" t="str">
        <f t="shared" si="106"/>
        <v/>
      </c>
      <c r="M256" s="6" t="str">
        <f t="shared" si="107"/>
        <v/>
      </c>
      <c r="N256" s="6" t="str">
        <f t="shared" si="108"/>
        <v/>
      </c>
      <c r="O256" s="6" t="str">
        <f t="shared" si="109"/>
        <v/>
      </c>
      <c r="P256" s="32" t="str">
        <f t="shared" si="101"/>
        <v/>
      </c>
      <c r="Q256" s="13" t="str">
        <f t="shared" si="120"/>
        <v>-</v>
      </c>
      <c r="R256" s="13" t="str">
        <f t="shared" si="121"/>
        <v>-</v>
      </c>
      <c r="S256" s="13" t="str">
        <f t="shared" si="122"/>
        <v>-</v>
      </c>
      <c r="T256" s="13" t="str">
        <f t="shared" si="123"/>
        <v>-</v>
      </c>
      <c r="U256" s="31" t="str">
        <f t="shared" si="102"/>
        <v>-</v>
      </c>
      <c r="V256" s="6" t="str">
        <f t="shared" si="103"/>
        <v/>
      </c>
      <c r="W256" s="6" t="str">
        <f>IF(V256="","",COUNT($V$3:V256))</f>
        <v/>
      </c>
      <c r="X256" s="6" t="str">
        <f t="shared" si="110"/>
        <v/>
      </c>
      <c r="Y256" s="6" t="str">
        <f t="shared" si="111"/>
        <v/>
      </c>
      <c r="Z256" s="6" t="str">
        <f t="shared" si="112"/>
        <v/>
      </c>
      <c r="AA256" s="6" t="str">
        <f t="shared" si="113"/>
        <v/>
      </c>
      <c r="AB256" s="32" t="str">
        <f t="shared" si="104"/>
        <v/>
      </c>
      <c r="AC256" s="13" t="str">
        <f t="shared" si="114"/>
        <v>-</v>
      </c>
      <c r="AD256" s="13" t="str">
        <f t="shared" si="115"/>
        <v>-</v>
      </c>
      <c r="AE256" s="13" t="str">
        <f t="shared" si="116"/>
        <v>-</v>
      </c>
      <c r="AF256" s="13" t="str">
        <f t="shared" si="117"/>
        <v>-</v>
      </c>
      <c r="AG256" s="31" t="str">
        <f t="shared" si="105"/>
        <v>-</v>
      </c>
      <c r="AH256" s="2" t="str">
        <f t="shared" si="118"/>
        <v/>
      </c>
      <c r="AI256" s="2" t="str">
        <f>IF(AH256="","",COUNT($AH$3:AH256))</f>
        <v/>
      </c>
      <c r="AJ256" s="60" t="str">
        <f t="shared" si="119"/>
        <v/>
      </c>
    </row>
    <row r="257" spans="1:36" ht="16.5">
      <c r="A257" s="6">
        <v>255</v>
      </c>
      <c r="B257" s="9">
        <f t="shared" si="94"/>
        <v>46277</v>
      </c>
      <c r="C257" s="7">
        <f t="shared" si="95"/>
        <v>9</v>
      </c>
      <c r="D257" s="7">
        <f t="shared" si="96"/>
        <v>12</v>
      </c>
      <c r="E257" s="15">
        <f t="shared" si="97"/>
        <v>7</v>
      </c>
      <c r="F257" s="8" t="str">
        <f t="shared" si="98"/>
        <v>휴</v>
      </c>
      <c r="G257" s="58"/>
      <c r="H257" s="12" t="s">
        <v>65</v>
      </c>
      <c r="I257" s="6" t="str">
        <f t="shared" si="99"/>
        <v>휴무</v>
      </c>
      <c r="J257" s="6" t="str">
        <f t="shared" si="100"/>
        <v/>
      </c>
      <c r="K257" s="6" t="str">
        <f>IF(J257="","",COUNT($J$3:J257))</f>
        <v/>
      </c>
      <c r="L257" s="6" t="str">
        <f t="shared" si="106"/>
        <v/>
      </c>
      <c r="M257" s="6" t="str">
        <f t="shared" si="107"/>
        <v/>
      </c>
      <c r="N257" s="6" t="str">
        <f t="shared" si="108"/>
        <v/>
      </c>
      <c r="O257" s="6" t="str">
        <f t="shared" si="109"/>
        <v/>
      </c>
      <c r="P257" s="32" t="str">
        <f t="shared" si="101"/>
        <v/>
      </c>
      <c r="Q257" s="13" t="str">
        <f t="shared" si="120"/>
        <v>-</v>
      </c>
      <c r="R257" s="13" t="str">
        <f t="shared" si="121"/>
        <v>-</v>
      </c>
      <c r="S257" s="13" t="str">
        <f t="shared" si="122"/>
        <v>-</v>
      </c>
      <c r="T257" s="13" t="str">
        <f t="shared" si="123"/>
        <v>-</v>
      </c>
      <c r="U257" s="31" t="str">
        <f t="shared" si="102"/>
        <v>-</v>
      </c>
      <c r="V257" s="6" t="str">
        <f t="shared" si="103"/>
        <v/>
      </c>
      <c r="W257" s="6" t="str">
        <f>IF(V257="","",COUNT($V$3:V257))</f>
        <v/>
      </c>
      <c r="X257" s="6" t="str">
        <f t="shared" si="110"/>
        <v/>
      </c>
      <c r="Y257" s="6" t="str">
        <f t="shared" si="111"/>
        <v/>
      </c>
      <c r="Z257" s="6" t="str">
        <f t="shared" si="112"/>
        <v/>
      </c>
      <c r="AA257" s="6" t="str">
        <f t="shared" si="113"/>
        <v/>
      </c>
      <c r="AB257" s="32" t="str">
        <f t="shared" si="104"/>
        <v/>
      </c>
      <c r="AC257" s="13" t="str">
        <f t="shared" si="114"/>
        <v>-</v>
      </c>
      <c r="AD257" s="13" t="str">
        <f t="shared" si="115"/>
        <v>-</v>
      </c>
      <c r="AE257" s="13" t="str">
        <f t="shared" si="116"/>
        <v>-</v>
      </c>
      <c r="AF257" s="13" t="str">
        <f t="shared" si="117"/>
        <v>-</v>
      </c>
      <c r="AG257" s="31" t="str">
        <f t="shared" si="105"/>
        <v>-</v>
      </c>
      <c r="AH257" s="2" t="str">
        <f t="shared" si="118"/>
        <v/>
      </c>
      <c r="AI257" s="2" t="str">
        <f>IF(AH257="","",COUNT($AH$3:AH257))</f>
        <v/>
      </c>
      <c r="AJ257" s="60" t="str">
        <f t="shared" si="119"/>
        <v/>
      </c>
    </row>
    <row r="258" spans="1:36" ht="16.5">
      <c r="A258" s="6">
        <v>256</v>
      </c>
      <c r="B258" s="9">
        <f t="shared" si="94"/>
        <v>46278</v>
      </c>
      <c r="C258" s="7">
        <f t="shared" si="95"/>
        <v>9</v>
      </c>
      <c r="D258" s="7">
        <f t="shared" si="96"/>
        <v>13</v>
      </c>
      <c r="E258" s="15">
        <f t="shared" si="97"/>
        <v>1</v>
      </c>
      <c r="F258" s="8" t="str">
        <f t="shared" si="98"/>
        <v>휴</v>
      </c>
      <c r="G258" s="58"/>
      <c r="H258" s="12" t="s">
        <v>63</v>
      </c>
      <c r="I258" s="6" t="str">
        <f t="shared" si="99"/>
        <v>당직</v>
      </c>
      <c r="J258" s="6" t="str">
        <f t="shared" si="100"/>
        <v/>
      </c>
      <c r="K258" s="6" t="str">
        <f>IF(J258="","",COUNT($J$3:J258))</f>
        <v/>
      </c>
      <c r="L258" s="6" t="str">
        <f t="shared" si="106"/>
        <v/>
      </c>
      <c r="M258" s="6" t="str">
        <f t="shared" si="107"/>
        <v/>
      </c>
      <c r="N258" s="6" t="str">
        <f t="shared" si="108"/>
        <v/>
      </c>
      <c r="O258" s="6" t="str">
        <f t="shared" si="109"/>
        <v/>
      </c>
      <c r="P258" s="32" t="str">
        <f t="shared" si="101"/>
        <v/>
      </c>
      <c r="Q258" s="13" t="str">
        <f t="shared" si="120"/>
        <v>-</v>
      </c>
      <c r="R258" s="13" t="str">
        <f t="shared" si="121"/>
        <v>-</v>
      </c>
      <c r="S258" s="13" t="str">
        <f t="shared" si="122"/>
        <v>-</v>
      </c>
      <c r="T258" s="13" t="str">
        <f t="shared" si="123"/>
        <v>-</v>
      </c>
      <c r="U258" s="31" t="str">
        <f t="shared" si="102"/>
        <v>-</v>
      </c>
      <c r="V258" s="6">
        <f t="shared" si="103"/>
        <v>1</v>
      </c>
      <c r="W258" s="6">
        <f>IF(V258="","",COUNT($V$3:V258))</f>
        <v>86</v>
      </c>
      <c r="X258" s="6">
        <f t="shared" si="110"/>
        <v>2</v>
      </c>
      <c r="Y258" s="6">
        <f t="shared" si="111"/>
        <v>3</v>
      </c>
      <c r="Z258" s="6">
        <f t="shared" si="112"/>
        <v>4</v>
      </c>
      <c r="AA258" s="6">
        <f t="shared" si="113"/>
        <v>1</v>
      </c>
      <c r="AB258" s="32">
        <f t="shared" si="104"/>
        <v>1</v>
      </c>
      <c r="AC258" s="13" t="str">
        <f t="shared" si="114"/>
        <v>박성현</v>
      </c>
      <c r="AD258" s="13" t="str">
        <f t="shared" si="115"/>
        <v>허지웅</v>
      </c>
      <c r="AE258" s="13" t="str">
        <f t="shared" si="116"/>
        <v>정윤준</v>
      </c>
      <c r="AF258" s="13" t="str">
        <f t="shared" si="117"/>
        <v>이기수</v>
      </c>
      <c r="AG258" s="31" t="str">
        <f t="shared" si="105"/>
        <v>허지웅</v>
      </c>
      <c r="AH258" s="2" t="str">
        <f t="shared" si="118"/>
        <v/>
      </c>
      <c r="AI258" s="2" t="str">
        <f>IF(AH258="","",COUNT($AH$3:AH258))</f>
        <v/>
      </c>
      <c r="AJ258" s="60" t="str">
        <f t="shared" si="119"/>
        <v/>
      </c>
    </row>
    <row r="259" spans="1:36" ht="16.5">
      <c r="A259" s="6">
        <v>257</v>
      </c>
      <c r="B259" s="9">
        <f t="shared" ref="B259:B322" si="124">B258+1</f>
        <v>46279</v>
      </c>
      <c r="C259" s="7">
        <f t="shared" ref="C259:C322" si="125">MONTH(B259)</f>
        <v>9</v>
      </c>
      <c r="D259" s="7">
        <f t="shared" ref="D259:D322" si="126">DAY(B259)</f>
        <v>14</v>
      </c>
      <c r="E259" s="15">
        <f t="shared" ref="E259:E322" si="127">WEEKDAY(B259)</f>
        <v>2</v>
      </c>
      <c r="F259" s="8" t="str">
        <f t="shared" ref="F259:F322" si="128">IF(OR(TEXT(E259,"aaa")="토",TEXT(E259,"aaa")="일",NOT(ISBLANK(G259))),"휴","")</f>
        <v/>
      </c>
      <c r="G259" s="58"/>
      <c r="H259" s="12" t="s">
        <v>64</v>
      </c>
      <c r="I259" s="6" t="str">
        <f t="shared" ref="I259:I322" si="129">IF(AND(F259="휴",H259="주간"),"휴무",
  IF(AND(F259="휴",H259="야간"),"당직",
  H259
))</f>
        <v>비번</v>
      </c>
      <c r="J259" s="6" t="str">
        <f t="shared" ref="J259:J322" si="130">IF(OR(I259="주간"),1,"")</f>
        <v/>
      </c>
      <c r="K259" s="6" t="str">
        <f>IF(J259="","",COUNT($J$3:J259))</f>
        <v/>
      </c>
      <c r="L259" s="6" t="str">
        <f t="shared" si="106"/>
        <v/>
      </c>
      <c r="M259" s="6" t="str">
        <f t="shared" si="107"/>
        <v/>
      </c>
      <c r="N259" s="6" t="str">
        <f t="shared" si="108"/>
        <v/>
      </c>
      <c r="O259" s="6" t="str">
        <f t="shared" si="109"/>
        <v/>
      </c>
      <c r="P259" s="32" t="str">
        <f t="shared" ref="P259:P322" si="131">IF(ISERR(MOD($K259,5)),"",MOD($K259,5))</f>
        <v/>
      </c>
      <c r="Q259" s="13" t="str">
        <f t="shared" si="120"/>
        <v>-</v>
      </c>
      <c r="R259" s="13" t="str">
        <f t="shared" si="121"/>
        <v>-</v>
      </c>
      <c r="S259" s="13" t="str">
        <f t="shared" si="122"/>
        <v>-</v>
      </c>
      <c r="T259" s="13" t="str">
        <f t="shared" si="123"/>
        <v>-</v>
      </c>
      <c r="U259" s="31" t="str">
        <f t="shared" ref="U259:U322" si="132">IF(P259="","-",CHOOSE(P259+1,"장혁진","이기수","정윤준","허지웅"))</f>
        <v>-</v>
      </c>
      <c r="V259" s="6" t="str">
        <f t="shared" ref="V259:V322" si="133">IF(OR(I259="당직",I259="야간"),1,"")</f>
        <v/>
      </c>
      <c r="W259" s="6" t="str">
        <f>IF(V259="","",COUNT($V$3:V259))</f>
        <v/>
      </c>
      <c r="X259" s="6" t="str">
        <f t="shared" si="110"/>
        <v/>
      </c>
      <c r="Y259" s="6" t="str">
        <f t="shared" si="111"/>
        <v/>
      </c>
      <c r="Z259" s="6" t="str">
        <f t="shared" si="112"/>
        <v/>
      </c>
      <c r="AA259" s="6" t="str">
        <f t="shared" si="113"/>
        <v/>
      </c>
      <c r="AB259" s="32" t="str">
        <f t="shared" ref="AB259:AB322" si="134">IF(ISERR(MOD($W259,5)),"",MOD($W259,5))</f>
        <v/>
      </c>
      <c r="AC259" s="13" t="str">
        <f t="shared" si="114"/>
        <v>-</v>
      </c>
      <c r="AD259" s="13" t="str">
        <f t="shared" si="115"/>
        <v>-</v>
      </c>
      <c r="AE259" s="13" t="str">
        <f t="shared" si="116"/>
        <v>-</v>
      </c>
      <c r="AF259" s="13" t="str">
        <f t="shared" si="117"/>
        <v>-</v>
      </c>
      <c r="AG259" s="31" t="str">
        <f t="shared" ref="AG259:AG322" si="135">IF(AB259="","-",CHOOSE(AB259+1,"정윤준","허지웅","장혁진","이기수"))</f>
        <v>-</v>
      </c>
      <c r="AH259" s="2" t="str">
        <f t="shared" si="118"/>
        <v/>
      </c>
      <c r="AI259" s="2" t="str">
        <f>IF(AH259="","",COUNT($AH$3:AH259))</f>
        <v/>
      </c>
      <c r="AJ259" s="60" t="str">
        <f t="shared" si="119"/>
        <v/>
      </c>
    </row>
    <row r="260" spans="1:36" ht="16.5">
      <c r="A260" s="6">
        <v>258</v>
      </c>
      <c r="B260" s="9">
        <f t="shared" si="124"/>
        <v>46280</v>
      </c>
      <c r="C260" s="7">
        <f t="shared" si="125"/>
        <v>9</v>
      </c>
      <c r="D260" s="7">
        <f t="shared" si="126"/>
        <v>15</v>
      </c>
      <c r="E260" s="15">
        <f t="shared" si="127"/>
        <v>3</v>
      </c>
      <c r="F260" s="8" t="str">
        <f t="shared" si="128"/>
        <v/>
      </c>
      <c r="G260" s="58"/>
      <c r="H260" s="12" t="s">
        <v>65</v>
      </c>
      <c r="I260" s="6" t="str">
        <f t="shared" si="129"/>
        <v>주간</v>
      </c>
      <c r="J260" s="6">
        <f t="shared" si="130"/>
        <v>1</v>
      </c>
      <c r="K260" s="6">
        <f>IF(J260="","",COUNT($J$3:J260))</f>
        <v>59</v>
      </c>
      <c r="L260" s="6">
        <f t="shared" ref="L260:L323" si="136">IF(ISERR(4-MOD($K260,4)),"",4-MOD($K260,4))</f>
        <v>1</v>
      </c>
      <c r="M260" s="6">
        <f t="shared" ref="M260:M323" si="137">IF(ISERR(4-MOD($K260-1,4)),"",4-MOD($K260-1,4))</f>
        <v>2</v>
      </c>
      <c r="N260" s="6">
        <f t="shared" ref="N260:N323" si="138">IF(ISERR(4-MOD($K260-2,4)),"",4-MOD($K260-2,4))</f>
        <v>3</v>
      </c>
      <c r="O260" s="6">
        <f t="shared" ref="O260:O323" si="139">IF(ISERR(4-MOD($K260-3,4)),"",4-MOD($K260-3,4))</f>
        <v>4</v>
      </c>
      <c r="P260" s="32">
        <f t="shared" si="131"/>
        <v>4</v>
      </c>
      <c r="Q260" s="13" t="str">
        <f t="shared" si="120"/>
        <v>이기수</v>
      </c>
      <c r="R260" s="13" t="str">
        <f t="shared" si="121"/>
        <v>박성현</v>
      </c>
      <c r="S260" s="13" t="str">
        <f t="shared" si="122"/>
        <v>허지웅</v>
      </c>
      <c r="T260" s="13" t="str">
        <f t="shared" si="123"/>
        <v>정윤준</v>
      </c>
      <c r="U260" s="31" t="e">
        <f t="shared" si="132"/>
        <v>#VALUE!</v>
      </c>
      <c r="V260" s="6" t="str">
        <f t="shared" si="133"/>
        <v/>
      </c>
      <c r="W260" s="6" t="str">
        <f>IF(V260="","",COUNT($V$3:V260))</f>
        <v/>
      </c>
      <c r="X260" s="6" t="str">
        <f t="shared" ref="X260:X323" si="140">IF(ISERR(4-MOD($W260,4)),"",4-MOD($W260,4))</f>
        <v/>
      </c>
      <c r="Y260" s="6" t="str">
        <f t="shared" ref="Y260:Y323" si="141">IF(ISERR(4-MOD($W260-1,4)),"",4-MOD($W260-1,4))</f>
        <v/>
      </c>
      <c r="Z260" s="6" t="str">
        <f t="shared" ref="Z260:Z323" si="142">IF(ISERR(4-MOD($W260-2,4)),"",4-MOD($W260-2,4))</f>
        <v/>
      </c>
      <c r="AA260" s="6" t="str">
        <f t="shared" ref="AA260:AA323" si="143">IF(ISERR(4-MOD($W260-3,4)),"",4-MOD($W260-3,4))</f>
        <v/>
      </c>
      <c r="AB260" s="32" t="str">
        <f t="shared" si="134"/>
        <v/>
      </c>
      <c r="AC260" s="13" t="str">
        <f t="shared" ref="AC260:AC323" si="144">IF(X260="","-",CHOOSE(MOD(X260+$AD$1,4)+1,$X$1,$Y$1,$Z$1,$AA$1))</f>
        <v>-</v>
      </c>
      <c r="AD260" s="13" t="str">
        <f t="shared" ref="AD260:AD323" si="145">IF(Y260="","-",CHOOSE(MOD(Y260+$AD$1,4)+1,$X$1,$Y$1,$Z$1,$AA$1))</f>
        <v>-</v>
      </c>
      <c r="AE260" s="13" t="str">
        <f t="shared" ref="AE260:AE323" si="146">IF(Z260="","-",CHOOSE(MOD(Z260+$AD$1,4)+1,$X$1,$Y$1,$Z$1,$AA$1))</f>
        <v>-</v>
      </c>
      <c r="AF260" s="13" t="str">
        <f t="shared" ref="AF260:AF323" si="147">IF(AA260="","-",CHOOSE(MOD(AA260+$AD$1,4)+1,$X$1,$Y$1,$Z$1,$AA$1))</f>
        <v>-</v>
      </c>
      <c r="AG260" s="31" t="str">
        <f t="shared" si="135"/>
        <v>-</v>
      </c>
      <c r="AH260" s="2" t="str">
        <f t="shared" ref="AH260:AH323" si="148">IF(OR(AE260&amp;AF260="허지웅정윤준", AE260&amp;AF260="정윤준허지웅"),1,"")</f>
        <v/>
      </c>
      <c r="AI260" s="2" t="str">
        <f>IF(AH260="","",COUNT($AH$3:AH260))</f>
        <v/>
      </c>
      <c r="AJ260" s="60" t="str">
        <f t="shared" ref="AJ260:AJ323" si="149">IF(AI260&lt;&gt;"", CHOOSE(MOD(AI260, 2) + 1, $X$1, $Y$1), "")</f>
        <v/>
      </c>
    </row>
    <row r="261" spans="1:36" ht="16.5">
      <c r="A261" s="6">
        <v>259</v>
      </c>
      <c r="B261" s="9">
        <f t="shared" si="124"/>
        <v>46281</v>
      </c>
      <c r="C261" s="7">
        <f t="shared" si="125"/>
        <v>9</v>
      </c>
      <c r="D261" s="7">
        <f t="shared" si="126"/>
        <v>16</v>
      </c>
      <c r="E261" s="15">
        <f t="shared" si="127"/>
        <v>4</v>
      </c>
      <c r="F261" s="8" t="str">
        <f t="shared" si="128"/>
        <v/>
      </c>
      <c r="G261" s="58"/>
      <c r="H261" s="12" t="s">
        <v>63</v>
      </c>
      <c r="I261" s="6" t="str">
        <f t="shared" si="129"/>
        <v>야간</v>
      </c>
      <c r="J261" s="6" t="str">
        <f t="shared" si="130"/>
        <v/>
      </c>
      <c r="K261" s="6" t="str">
        <f>IF(J261="","",COUNT($J$3:J261))</f>
        <v/>
      </c>
      <c r="L261" s="6" t="str">
        <f t="shared" si="136"/>
        <v/>
      </c>
      <c r="M261" s="6" t="str">
        <f t="shared" si="137"/>
        <v/>
      </c>
      <c r="N261" s="6" t="str">
        <f t="shared" si="138"/>
        <v/>
      </c>
      <c r="O261" s="6" t="str">
        <f t="shared" si="139"/>
        <v/>
      </c>
      <c r="P261" s="32" t="str">
        <f t="shared" si="131"/>
        <v/>
      </c>
      <c r="Q261" s="13" t="str">
        <f t="shared" si="120"/>
        <v>-</v>
      </c>
      <c r="R261" s="13" t="str">
        <f t="shared" si="121"/>
        <v>-</v>
      </c>
      <c r="S261" s="13" t="str">
        <f t="shared" si="122"/>
        <v>-</v>
      </c>
      <c r="T261" s="13" t="str">
        <f t="shared" si="123"/>
        <v>-</v>
      </c>
      <c r="U261" s="31" t="str">
        <f t="shared" si="132"/>
        <v>-</v>
      </c>
      <c r="V261" s="6">
        <f t="shared" si="133"/>
        <v>1</v>
      </c>
      <c r="W261" s="6">
        <f>IF(V261="","",COUNT($V$3:V261))</f>
        <v>87</v>
      </c>
      <c r="X261" s="6">
        <f t="shared" si="140"/>
        <v>1</v>
      </c>
      <c r="Y261" s="6">
        <f t="shared" si="141"/>
        <v>2</v>
      </c>
      <c r="Z261" s="6">
        <f t="shared" si="142"/>
        <v>3</v>
      </c>
      <c r="AA261" s="6">
        <f t="shared" si="143"/>
        <v>4</v>
      </c>
      <c r="AB261" s="32">
        <f t="shared" si="134"/>
        <v>2</v>
      </c>
      <c r="AC261" s="13" t="str">
        <f t="shared" si="144"/>
        <v>이기수</v>
      </c>
      <c r="AD261" s="13" t="str">
        <f t="shared" si="145"/>
        <v>박성현</v>
      </c>
      <c r="AE261" s="13" t="str">
        <f t="shared" si="146"/>
        <v>허지웅</v>
      </c>
      <c r="AF261" s="13" t="str">
        <f t="shared" si="147"/>
        <v>정윤준</v>
      </c>
      <c r="AG261" s="31" t="str">
        <f t="shared" si="135"/>
        <v>장혁진</v>
      </c>
      <c r="AH261" s="2">
        <f t="shared" si="148"/>
        <v>1</v>
      </c>
      <c r="AI261" s="2">
        <f>IF(AH261="","",COUNT($AH$3:AH261))</f>
        <v>22</v>
      </c>
      <c r="AJ261" s="60" t="str">
        <f t="shared" si="149"/>
        <v>허지웅</v>
      </c>
    </row>
    <row r="262" spans="1:36" ht="16.5">
      <c r="A262" s="6">
        <v>260</v>
      </c>
      <c r="B262" s="9">
        <f t="shared" si="124"/>
        <v>46282</v>
      </c>
      <c r="C262" s="7">
        <f t="shared" si="125"/>
        <v>9</v>
      </c>
      <c r="D262" s="7">
        <f t="shared" si="126"/>
        <v>17</v>
      </c>
      <c r="E262" s="15">
        <f t="shared" si="127"/>
        <v>5</v>
      </c>
      <c r="F262" s="8" t="str">
        <f t="shared" si="128"/>
        <v/>
      </c>
      <c r="G262" s="58"/>
      <c r="H262" s="12" t="s">
        <v>64</v>
      </c>
      <c r="I262" s="6" t="str">
        <f t="shared" si="129"/>
        <v>비번</v>
      </c>
      <c r="J262" s="6" t="str">
        <f t="shared" si="130"/>
        <v/>
      </c>
      <c r="K262" s="6" t="str">
        <f>IF(J262="","",COUNT($J$3:J262))</f>
        <v/>
      </c>
      <c r="L262" s="6" t="str">
        <f t="shared" si="136"/>
        <v/>
      </c>
      <c r="M262" s="6" t="str">
        <f t="shared" si="137"/>
        <v/>
      </c>
      <c r="N262" s="6" t="str">
        <f t="shared" si="138"/>
        <v/>
      </c>
      <c r="O262" s="6" t="str">
        <f t="shared" si="139"/>
        <v/>
      </c>
      <c r="P262" s="32" t="str">
        <f t="shared" si="131"/>
        <v/>
      </c>
      <c r="Q262" s="13" t="str">
        <f t="shared" si="120"/>
        <v>-</v>
      </c>
      <c r="R262" s="13" t="str">
        <f t="shared" si="121"/>
        <v>-</v>
      </c>
      <c r="S262" s="13" t="str">
        <f t="shared" si="122"/>
        <v>-</v>
      </c>
      <c r="T262" s="13" t="str">
        <f t="shared" si="123"/>
        <v>-</v>
      </c>
      <c r="U262" s="31" t="str">
        <f t="shared" si="132"/>
        <v>-</v>
      </c>
      <c r="V262" s="6" t="str">
        <f t="shared" si="133"/>
        <v/>
      </c>
      <c r="W262" s="6" t="str">
        <f>IF(V262="","",COUNT($V$3:V262))</f>
        <v/>
      </c>
      <c r="X262" s="6" t="str">
        <f t="shared" si="140"/>
        <v/>
      </c>
      <c r="Y262" s="6" t="str">
        <f t="shared" si="141"/>
        <v/>
      </c>
      <c r="Z262" s="6" t="str">
        <f t="shared" si="142"/>
        <v/>
      </c>
      <c r="AA262" s="6" t="str">
        <f t="shared" si="143"/>
        <v/>
      </c>
      <c r="AB262" s="32" t="str">
        <f t="shared" si="134"/>
        <v/>
      </c>
      <c r="AC262" s="13" t="str">
        <f t="shared" si="144"/>
        <v>-</v>
      </c>
      <c r="AD262" s="13" t="str">
        <f t="shared" si="145"/>
        <v>-</v>
      </c>
      <c r="AE262" s="13" t="str">
        <f t="shared" si="146"/>
        <v>-</v>
      </c>
      <c r="AF262" s="13" t="str">
        <f t="shared" si="147"/>
        <v>-</v>
      </c>
      <c r="AG262" s="31" t="str">
        <f t="shared" si="135"/>
        <v>-</v>
      </c>
      <c r="AH262" s="2" t="str">
        <f t="shared" si="148"/>
        <v/>
      </c>
      <c r="AI262" s="2" t="str">
        <f>IF(AH262="","",COUNT($AH$3:AH262))</f>
        <v/>
      </c>
      <c r="AJ262" s="60" t="str">
        <f t="shared" si="149"/>
        <v/>
      </c>
    </row>
    <row r="263" spans="1:36" ht="16.5">
      <c r="A263" s="6">
        <v>261</v>
      </c>
      <c r="B263" s="9">
        <f t="shared" si="124"/>
        <v>46283</v>
      </c>
      <c r="C263" s="7">
        <f t="shared" si="125"/>
        <v>9</v>
      </c>
      <c r="D263" s="7">
        <f t="shared" si="126"/>
        <v>18</v>
      </c>
      <c r="E263" s="15">
        <f t="shared" si="127"/>
        <v>6</v>
      </c>
      <c r="F263" s="8" t="str">
        <f t="shared" si="128"/>
        <v/>
      </c>
      <c r="G263" s="58"/>
      <c r="H263" s="12" t="s">
        <v>65</v>
      </c>
      <c r="I263" s="6" t="str">
        <f t="shared" si="129"/>
        <v>주간</v>
      </c>
      <c r="J263" s="6">
        <f t="shared" si="130"/>
        <v>1</v>
      </c>
      <c r="K263" s="6">
        <f>IF(J263="","",COUNT($J$3:J263))</f>
        <v>60</v>
      </c>
      <c r="L263" s="6">
        <f t="shared" si="136"/>
        <v>4</v>
      </c>
      <c r="M263" s="6">
        <f t="shared" si="137"/>
        <v>1</v>
      </c>
      <c r="N263" s="6">
        <f t="shared" si="138"/>
        <v>2</v>
      </c>
      <c r="O263" s="6">
        <f t="shared" si="139"/>
        <v>3</v>
      </c>
      <c r="P263" s="32">
        <f t="shared" si="131"/>
        <v>0</v>
      </c>
      <c r="Q263" s="13" t="str">
        <f t="shared" si="120"/>
        <v>정윤준</v>
      </c>
      <c r="R263" s="13" t="str">
        <f t="shared" si="121"/>
        <v>이기수</v>
      </c>
      <c r="S263" s="13" t="str">
        <f t="shared" si="122"/>
        <v>박성현</v>
      </c>
      <c r="T263" s="13" t="str">
        <f t="shared" si="123"/>
        <v>허지웅</v>
      </c>
      <c r="U263" s="31" t="str">
        <f t="shared" si="132"/>
        <v>장혁진</v>
      </c>
      <c r="V263" s="6" t="str">
        <f t="shared" si="133"/>
        <v/>
      </c>
      <c r="W263" s="6" t="str">
        <f>IF(V263="","",COUNT($V$3:V263))</f>
        <v/>
      </c>
      <c r="X263" s="6" t="str">
        <f t="shared" si="140"/>
        <v/>
      </c>
      <c r="Y263" s="6" t="str">
        <f t="shared" si="141"/>
        <v/>
      </c>
      <c r="Z263" s="6" t="str">
        <f t="shared" si="142"/>
        <v/>
      </c>
      <c r="AA263" s="6" t="str">
        <f t="shared" si="143"/>
        <v/>
      </c>
      <c r="AB263" s="32" t="str">
        <f t="shared" si="134"/>
        <v/>
      </c>
      <c r="AC263" s="13" t="str">
        <f t="shared" si="144"/>
        <v>-</v>
      </c>
      <c r="AD263" s="13" t="str">
        <f t="shared" si="145"/>
        <v>-</v>
      </c>
      <c r="AE263" s="13" t="str">
        <f t="shared" si="146"/>
        <v>-</v>
      </c>
      <c r="AF263" s="13" t="str">
        <f t="shared" si="147"/>
        <v>-</v>
      </c>
      <c r="AG263" s="31" t="str">
        <f t="shared" si="135"/>
        <v>-</v>
      </c>
      <c r="AH263" s="2" t="str">
        <f t="shared" si="148"/>
        <v/>
      </c>
      <c r="AI263" s="2" t="str">
        <f>IF(AH263="","",COUNT($AH$3:AH263))</f>
        <v/>
      </c>
      <c r="AJ263" s="60" t="str">
        <f t="shared" si="149"/>
        <v/>
      </c>
    </row>
    <row r="264" spans="1:36" ht="16.5">
      <c r="A264" s="6">
        <v>262</v>
      </c>
      <c r="B264" s="9">
        <f t="shared" si="124"/>
        <v>46284</v>
      </c>
      <c r="C264" s="7">
        <f t="shared" si="125"/>
        <v>9</v>
      </c>
      <c r="D264" s="7">
        <f t="shared" si="126"/>
        <v>19</v>
      </c>
      <c r="E264" s="15">
        <f t="shared" si="127"/>
        <v>7</v>
      </c>
      <c r="F264" s="8" t="str">
        <f t="shared" si="128"/>
        <v>휴</v>
      </c>
      <c r="G264" s="58"/>
      <c r="H264" s="12" t="s">
        <v>63</v>
      </c>
      <c r="I264" s="6" t="str">
        <f t="shared" si="129"/>
        <v>당직</v>
      </c>
      <c r="J264" s="6" t="str">
        <f t="shared" si="130"/>
        <v/>
      </c>
      <c r="K264" s="6" t="str">
        <f>IF(J264="","",COUNT($J$3:J264))</f>
        <v/>
      </c>
      <c r="L264" s="6" t="str">
        <f t="shared" si="136"/>
        <v/>
      </c>
      <c r="M264" s="6" t="str">
        <f t="shared" si="137"/>
        <v/>
      </c>
      <c r="N264" s="6" t="str">
        <f t="shared" si="138"/>
        <v/>
      </c>
      <c r="O264" s="6" t="str">
        <f t="shared" si="139"/>
        <v/>
      </c>
      <c r="P264" s="32" t="str">
        <f t="shared" si="131"/>
        <v/>
      </c>
      <c r="Q264" s="13" t="str">
        <f t="shared" si="120"/>
        <v>-</v>
      </c>
      <c r="R264" s="13" t="str">
        <f t="shared" si="121"/>
        <v>-</v>
      </c>
      <c r="S264" s="13" t="str">
        <f t="shared" si="122"/>
        <v>-</v>
      </c>
      <c r="T264" s="13" t="str">
        <f t="shared" si="123"/>
        <v>-</v>
      </c>
      <c r="U264" s="31" t="str">
        <f t="shared" si="132"/>
        <v>-</v>
      </c>
      <c r="V264" s="6">
        <f t="shared" si="133"/>
        <v>1</v>
      </c>
      <c r="W264" s="6">
        <f>IF(V264="","",COUNT($V$3:V264))</f>
        <v>88</v>
      </c>
      <c r="X264" s="6">
        <f t="shared" si="140"/>
        <v>4</v>
      </c>
      <c r="Y264" s="6">
        <f t="shared" si="141"/>
        <v>1</v>
      </c>
      <c r="Z264" s="6">
        <f t="shared" si="142"/>
        <v>2</v>
      </c>
      <c r="AA264" s="6">
        <f t="shared" si="143"/>
        <v>3</v>
      </c>
      <c r="AB264" s="32">
        <f t="shared" si="134"/>
        <v>3</v>
      </c>
      <c r="AC264" s="13" t="str">
        <f t="shared" si="144"/>
        <v>정윤준</v>
      </c>
      <c r="AD264" s="13" t="str">
        <f t="shared" si="145"/>
        <v>이기수</v>
      </c>
      <c r="AE264" s="13" t="str">
        <f t="shared" si="146"/>
        <v>박성현</v>
      </c>
      <c r="AF264" s="13" t="str">
        <f t="shared" si="147"/>
        <v>허지웅</v>
      </c>
      <c r="AG264" s="31" t="str">
        <f t="shared" si="135"/>
        <v>이기수</v>
      </c>
      <c r="AH264" s="2" t="str">
        <f t="shared" si="148"/>
        <v/>
      </c>
      <c r="AI264" s="2" t="str">
        <f>IF(AH264="","",COUNT($AH$3:AH264))</f>
        <v/>
      </c>
      <c r="AJ264" s="60" t="str">
        <f t="shared" si="149"/>
        <v/>
      </c>
    </row>
    <row r="265" spans="1:36" ht="16.5">
      <c r="A265" s="6">
        <v>263</v>
      </c>
      <c r="B265" s="9">
        <f t="shared" si="124"/>
        <v>46285</v>
      </c>
      <c r="C265" s="7">
        <f t="shared" si="125"/>
        <v>9</v>
      </c>
      <c r="D265" s="7">
        <f t="shared" si="126"/>
        <v>20</v>
      </c>
      <c r="E265" s="15">
        <f t="shared" si="127"/>
        <v>1</v>
      </c>
      <c r="F265" s="8" t="str">
        <f t="shared" si="128"/>
        <v>휴</v>
      </c>
      <c r="G265" s="58"/>
      <c r="H265" s="12" t="s">
        <v>64</v>
      </c>
      <c r="I265" s="6" t="str">
        <f t="shared" si="129"/>
        <v>비번</v>
      </c>
      <c r="J265" s="6" t="str">
        <f t="shared" si="130"/>
        <v/>
      </c>
      <c r="K265" s="6" t="str">
        <f>IF(J265="","",COUNT($J$3:J265))</f>
        <v/>
      </c>
      <c r="L265" s="6" t="str">
        <f t="shared" si="136"/>
        <v/>
      </c>
      <c r="M265" s="6" t="str">
        <f t="shared" si="137"/>
        <v/>
      </c>
      <c r="N265" s="6" t="str">
        <f t="shared" si="138"/>
        <v/>
      </c>
      <c r="O265" s="6" t="str">
        <f t="shared" si="139"/>
        <v/>
      </c>
      <c r="P265" s="32" t="str">
        <f t="shared" si="131"/>
        <v/>
      </c>
      <c r="Q265" s="13" t="str">
        <f t="shared" ref="Q265:Q328" si="150">IF(L265="","-",CHOOSE(MOD(L265+$R$1,4)+1,$L$1,$M$1,$N$1,$O$1))</f>
        <v>-</v>
      </c>
      <c r="R265" s="13" t="str">
        <f t="shared" ref="R265:R328" si="151">IF(M265="","-",CHOOSE(MOD(M265+$R$1,4)+1,$L$1,$M$1,$N$1,$O$1))</f>
        <v>-</v>
      </c>
      <c r="S265" s="13" t="str">
        <f t="shared" ref="S265:S328" si="152">IF(N265="","-",CHOOSE(MOD(N265+$R$1,4)+1,$L$1,$M$1,$N$1,$O$1))</f>
        <v>-</v>
      </c>
      <c r="T265" s="13" t="str">
        <f t="shared" ref="T265:T328" si="153">IF(O265="","-",CHOOSE(MOD(O265+$R$1,4)+1,$L$1,$M$1,$N$1,$O$1))</f>
        <v>-</v>
      </c>
      <c r="U265" s="31" t="str">
        <f t="shared" si="132"/>
        <v>-</v>
      </c>
      <c r="V265" s="6" t="str">
        <f t="shared" si="133"/>
        <v/>
      </c>
      <c r="W265" s="6" t="str">
        <f>IF(V265="","",COUNT($V$3:V265))</f>
        <v/>
      </c>
      <c r="X265" s="6" t="str">
        <f t="shared" si="140"/>
        <v/>
      </c>
      <c r="Y265" s="6" t="str">
        <f t="shared" si="141"/>
        <v/>
      </c>
      <c r="Z265" s="6" t="str">
        <f t="shared" si="142"/>
        <v/>
      </c>
      <c r="AA265" s="6" t="str">
        <f t="shared" si="143"/>
        <v/>
      </c>
      <c r="AB265" s="32" t="str">
        <f t="shared" si="134"/>
        <v/>
      </c>
      <c r="AC265" s="13" t="str">
        <f t="shared" si="144"/>
        <v>-</v>
      </c>
      <c r="AD265" s="13" t="str">
        <f t="shared" si="145"/>
        <v>-</v>
      </c>
      <c r="AE265" s="13" t="str">
        <f t="shared" si="146"/>
        <v>-</v>
      </c>
      <c r="AF265" s="13" t="str">
        <f t="shared" si="147"/>
        <v>-</v>
      </c>
      <c r="AG265" s="31" t="str">
        <f t="shared" si="135"/>
        <v>-</v>
      </c>
      <c r="AH265" s="2" t="str">
        <f t="shared" si="148"/>
        <v/>
      </c>
      <c r="AI265" s="2" t="str">
        <f>IF(AH265="","",COUNT($AH$3:AH265))</f>
        <v/>
      </c>
      <c r="AJ265" s="60" t="str">
        <f t="shared" si="149"/>
        <v/>
      </c>
    </row>
    <row r="266" spans="1:36" ht="16.5">
      <c r="A266" s="6">
        <v>264</v>
      </c>
      <c r="B266" s="9">
        <f t="shared" si="124"/>
        <v>46286</v>
      </c>
      <c r="C266" s="7">
        <f t="shared" si="125"/>
        <v>9</v>
      </c>
      <c r="D266" s="7">
        <f t="shared" si="126"/>
        <v>21</v>
      </c>
      <c r="E266" s="15">
        <f t="shared" si="127"/>
        <v>2</v>
      </c>
      <c r="F266" s="8" t="str">
        <f t="shared" si="128"/>
        <v/>
      </c>
      <c r="G266" s="58"/>
      <c r="H266" s="12" t="s">
        <v>65</v>
      </c>
      <c r="I266" s="6" t="str">
        <f t="shared" si="129"/>
        <v>주간</v>
      </c>
      <c r="J266" s="6">
        <f t="shared" si="130"/>
        <v>1</v>
      </c>
      <c r="K266" s="6">
        <f>IF(J266="","",COUNT($J$3:J266))</f>
        <v>61</v>
      </c>
      <c r="L266" s="6">
        <f t="shared" si="136"/>
        <v>3</v>
      </c>
      <c r="M266" s="6">
        <f t="shared" si="137"/>
        <v>4</v>
      </c>
      <c r="N266" s="6">
        <f t="shared" si="138"/>
        <v>1</v>
      </c>
      <c r="O266" s="6">
        <f t="shared" si="139"/>
        <v>2</v>
      </c>
      <c r="P266" s="32">
        <f t="shared" si="131"/>
        <v>1</v>
      </c>
      <c r="Q266" s="13" t="str">
        <f t="shared" si="150"/>
        <v>허지웅</v>
      </c>
      <c r="R266" s="13" t="str">
        <f t="shared" si="151"/>
        <v>정윤준</v>
      </c>
      <c r="S266" s="13" t="str">
        <f t="shared" si="152"/>
        <v>이기수</v>
      </c>
      <c r="T266" s="13" t="str">
        <f t="shared" si="153"/>
        <v>박성현</v>
      </c>
      <c r="U266" s="31" t="str">
        <f t="shared" si="132"/>
        <v>이기수</v>
      </c>
      <c r="V266" s="6" t="str">
        <f t="shared" si="133"/>
        <v/>
      </c>
      <c r="W266" s="6" t="str">
        <f>IF(V266="","",COUNT($V$3:V266))</f>
        <v/>
      </c>
      <c r="X266" s="6" t="str">
        <f t="shared" si="140"/>
        <v/>
      </c>
      <c r="Y266" s="6" t="str">
        <f t="shared" si="141"/>
        <v/>
      </c>
      <c r="Z266" s="6" t="str">
        <f t="shared" si="142"/>
        <v/>
      </c>
      <c r="AA266" s="6" t="str">
        <f t="shared" si="143"/>
        <v/>
      </c>
      <c r="AB266" s="32" t="str">
        <f t="shared" si="134"/>
        <v/>
      </c>
      <c r="AC266" s="13" t="str">
        <f t="shared" si="144"/>
        <v>-</v>
      </c>
      <c r="AD266" s="13" t="str">
        <f t="shared" si="145"/>
        <v>-</v>
      </c>
      <c r="AE266" s="13" t="str">
        <f t="shared" si="146"/>
        <v>-</v>
      </c>
      <c r="AF266" s="13" t="str">
        <f t="shared" si="147"/>
        <v>-</v>
      </c>
      <c r="AG266" s="31" t="str">
        <f t="shared" si="135"/>
        <v>-</v>
      </c>
      <c r="AH266" s="2" t="str">
        <f t="shared" si="148"/>
        <v/>
      </c>
      <c r="AI266" s="2" t="str">
        <f>IF(AH266="","",COUNT($AH$3:AH266))</f>
        <v/>
      </c>
      <c r="AJ266" s="60" t="str">
        <f t="shared" si="149"/>
        <v/>
      </c>
    </row>
    <row r="267" spans="1:36" ht="16.5">
      <c r="A267" s="6">
        <v>265</v>
      </c>
      <c r="B267" s="9">
        <f t="shared" si="124"/>
        <v>46287</v>
      </c>
      <c r="C267" s="7">
        <f t="shared" si="125"/>
        <v>9</v>
      </c>
      <c r="D267" s="7">
        <f t="shared" si="126"/>
        <v>22</v>
      </c>
      <c r="E267" s="15">
        <f t="shared" si="127"/>
        <v>3</v>
      </c>
      <c r="F267" s="8" t="str">
        <f t="shared" si="128"/>
        <v/>
      </c>
      <c r="G267" s="58"/>
      <c r="H267" s="12" t="s">
        <v>63</v>
      </c>
      <c r="I267" s="6" t="str">
        <f t="shared" si="129"/>
        <v>야간</v>
      </c>
      <c r="J267" s="6" t="str">
        <f t="shared" si="130"/>
        <v/>
      </c>
      <c r="K267" s="6" t="str">
        <f>IF(J267="","",COUNT($J$3:J267))</f>
        <v/>
      </c>
      <c r="L267" s="6" t="str">
        <f t="shared" si="136"/>
        <v/>
      </c>
      <c r="M267" s="6" t="str">
        <f t="shared" si="137"/>
        <v/>
      </c>
      <c r="N267" s="6" t="str">
        <f t="shared" si="138"/>
        <v/>
      </c>
      <c r="O267" s="6" t="str">
        <f t="shared" si="139"/>
        <v/>
      </c>
      <c r="P267" s="32" t="str">
        <f t="shared" si="131"/>
        <v/>
      </c>
      <c r="Q267" s="13" t="str">
        <f t="shared" si="150"/>
        <v>-</v>
      </c>
      <c r="R267" s="13" t="str">
        <f t="shared" si="151"/>
        <v>-</v>
      </c>
      <c r="S267" s="13" t="str">
        <f t="shared" si="152"/>
        <v>-</v>
      </c>
      <c r="T267" s="13" t="str">
        <f t="shared" si="153"/>
        <v>-</v>
      </c>
      <c r="U267" s="31" t="str">
        <f t="shared" si="132"/>
        <v>-</v>
      </c>
      <c r="V267" s="6">
        <f t="shared" si="133"/>
        <v>1</v>
      </c>
      <c r="W267" s="6">
        <f>IF(V267="","",COUNT($V$3:V267))</f>
        <v>89</v>
      </c>
      <c r="X267" s="6">
        <f t="shared" si="140"/>
        <v>3</v>
      </c>
      <c r="Y267" s="6">
        <f t="shared" si="141"/>
        <v>4</v>
      </c>
      <c r="Z267" s="6">
        <f t="shared" si="142"/>
        <v>1</v>
      </c>
      <c r="AA267" s="6">
        <f t="shared" si="143"/>
        <v>2</v>
      </c>
      <c r="AB267" s="32">
        <f t="shared" si="134"/>
        <v>4</v>
      </c>
      <c r="AC267" s="13" t="str">
        <f t="shared" si="144"/>
        <v>허지웅</v>
      </c>
      <c r="AD267" s="13" t="str">
        <f t="shared" si="145"/>
        <v>정윤준</v>
      </c>
      <c r="AE267" s="13" t="str">
        <f t="shared" si="146"/>
        <v>이기수</v>
      </c>
      <c r="AF267" s="13" t="str">
        <f t="shared" si="147"/>
        <v>박성현</v>
      </c>
      <c r="AG267" s="31" t="e">
        <f t="shared" si="135"/>
        <v>#VALUE!</v>
      </c>
      <c r="AH267" s="2" t="str">
        <f t="shared" si="148"/>
        <v/>
      </c>
      <c r="AI267" s="2" t="str">
        <f>IF(AH267="","",COUNT($AH$3:AH267))</f>
        <v/>
      </c>
      <c r="AJ267" s="60" t="str">
        <f t="shared" si="149"/>
        <v/>
      </c>
    </row>
    <row r="268" spans="1:36" ht="16.5">
      <c r="A268" s="6">
        <v>266</v>
      </c>
      <c r="B268" s="9">
        <f t="shared" si="124"/>
        <v>46288</v>
      </c>
      <c r="C268" s="7">
        <f t="shared" si="125"/>
        <v>9</v>
      </c>
      <c r="D268" s="7">
        <f t="shared" si="126"/>
        <v>23</v>
      </c>
      <c r="E268" s="15">
        <f t="shared" si="127"/>
        <v>4</v>
      </c>
      <c r="F268" s="8" t="str">
        <f t="shared" si="128"/>
        <v/>
      </c>
      <c r="G268" s="58"/>
      <c r="H268" s="12" t="s">
        <v>64</v>
      </c>
      <c r="I268" s="6" t="str">
        <f t="shared" si="129"/>
        <v>비번</v>
      </c>
      <c r="J268" s="6" t="str">
        <f t="shared" si="130"/>
        <v/>
      </c>
      <c r="K268" s="6" t="str">
        <f>IF(J268="","",COUNT($J$3:J268))</f>
        <v/>
      </c>
      <c r="L268" s="6" t="str">
        <f t="shared" si="136"/>
        <v/>
      </c>
      <c r="M268" s="6" t="str">
        <f t="shared" si="137"/>
        <v/>
      </c>
      <c r="N268" s="6" t="str">
        <f t="shared" si="138"/>
        <v/>
      </c>
      <c r="O268" s="6" t="str">
        <f t="shared" si="139"/>
        <v/>
      </c>
      <c r="P268" s="32" t="str">
        <f t="shared" si="131"/>
        <v/>
      </c>
      <c r="Q268" s="13" t="str">
        <f t="shared" si="150"/>
        <v>-</v>
      </c>
      <c r="R268" s="13" t="str">
        <f t="shared" si="151"/>
        <v>-</v>
      </c>
      <c r="S268" s="13" t="str">
        <f t="shared" si="152"/>
        <v>-</v>
      </c>
      <c r="T268" s="13" t="str">
        <f t="shared" si="153"/>
        <v>-</v>
      </c>
      <c r="U268" s="31" t="str">
        <f t="shared" si="132"/>
        <v>-</v>
      </c>
      <c r="V268" s="6" t="str">
        <f t="shared" si="133"/>
        <v/>
      </c>
      <c r="W268" s="6" t="str">
        <f>IF(V268="","",COUNT($V$3:V268))</f>
        <v/>
      </c>
      <c r="X268" s="6" t="str">
        <f t="shared" si="140"/>
        <v/>
      </c>
      <c r="Y268" s="6" t="str">
        <f t="shared" si="141"/>
        <v/>
      </c>
      <c r="Z268" s="6" t="str">
        <f t="shared" si="142"/>
        <v/>
      </c>
      <c r="AA268" s="6" t="str">
        <f t="shared" si="143"/>
        <v/>
      </c>
      <c r="AB268" s="32" t="str">
        <f t="shared" si="134"/>
        <v/>
      </c>
      <c r="AC268" s="13" t="str">
        <f t="shared" si="144"/>
        <v>-</v>
      </c>
      <c r="AD268" s="13" t="str">
        <f t="shared" si="145"/>
        <v>-</v>
      </c>
      <c r="AE268" s="13" t="str">
        <f t="shared" si="146"/>
        <v>-</v>
      </c>
      <c r="AF268" s="13" t="str">
        <f t="shared" si="147"/>
        <v>-</v>
      </c>
      <c r="AG268" s="31" t="str">
        <f t="shared" si="135"/>
        <v>-</v>
      </c>
      <c r="AH268" s="2" t="str">
        <f t="shared" si="148"/>
        <v/>
      </c>
      <c r="AI268" s="2" t="str">
        <f>IF(AH268="","",COUNT($AH$3:AH268))</f>
        <v/>
      </c>
      <c r="AJ268" s="60" t="str">
        <f t="shared" si="149"/>
        <v/>
      </c>
    </row>
    <row r="269" spans="1:36" ht="16.5">
      <c r="A269" s="6">
        <v>267</v>
      </c>
      <c r="B269" s="9">
        <f t="shared" si="124"/>
        <v>46289</v>
      </c>
      <c r="C269" s="7">
        <f t="shared" si="125"/>
        <v>9</v>
      </c>
      <c r="D269" s="7">
        <f t="shared" si="126"/>
        <v>24</v>
      </c>
      <c r="E269" s="15">
        <f t="shared" si="127"/>
        <v>5</v>
      </c>
      <c r="F269" s="8" t="str">
        <f t="shared" si="128"/>
        <v>휴</v>
      </c>
      <c r="G269" s="58" t="s">
        <v>77</v>
      </c>
      <c r="H269" s="12" t="s">
        <v>65</v>
      </c>
      <c r="I269" s="6" t="str">
        <f t="shared" si="129"/>
        <v>휴무</v>
      </c>
      <c r="J269" s="6" t="str">
        <f t="shared" si="130"/>
        <v/>
      </c>
      <c r="K269" s="6" t="str">
        <f>IF(J269="","",COUNT($J$3:J269))</f>
        <v/>
      </c>
      <c r="L269" s="6" t="str">
        <f t="shared" si="136"/>
        <v/>
      </c>
      <c r="M269" s="6" t="str">
        <f t="shared" si="137"/>
        <v/>
      </c>
      <c r="N269" s="6" t="str">
        <f t="shared" si="138"/>
        <v/>
      </c>
      <c r="O269" s="6" t="str">
        <f t="shared" si="139"/>
        <v/>
      </c>
      <c r="P269" s="32" t="str">
        <f t="shared" si="131"/>
        <v/>
      </c>
      <c r="Q269" s="13" t="str">
        <f t="shared" si="150"/>
        <v>-</v>
      </c>
      <c r="R269" s="13" t="str">
        <f t="shared" si="151"/>
        <v>-</v>
      </c>
      <c r="S269" s="13" t="str">
        <f t="shared" si="152"/>
        <v>-</v>
      </c>
      <c r="T269" s="13" t="str">
        <f t="shared" si="153"/>
        <v>-</v>
      </c>
      <c r="U269" s="31" t="str">
        <f t="shared" si="132"/>
        <v>-</v>
      </c>
      <c r="V269" s="6" t="str">
        <f t="shared" si="133"/>
        <v/>
      </c>
      <c r="W269" s="6" t="str">
        <f>IF(V269="","",COUNT($V$3:V269))</f>
        <v/>
      </c>
      <c r="X269" s="6" t="str">
        <f t="shared" si="140"/>
        <v/>
      </c>
      <c r="Y269" s="6" t="str">
        <f t="shared" si="141"/>
        <v/>
      </c>
      <c r="Z269" s="6" t="str">
        <f t="shared" si="142"/>
        <v/>
      </c>
      <c r="AA269" s="6" t="str">
        <f t="shared" si="143"/>
        <v/>
      </c>
      <c r="AB269" s="32" t="str">
        <f t="shared" si="134"/>
        <v/>
      </c>
      <c r="AC269" s="13" t="str">
        <f t="shared" si="144"/>
        <v>-</v>
      </c>
      <c r="AD269" s="13" t="str">
        <f t="shared" si="145"/>
        <v>-</v>
      </c>
      <c r="AE269" s="13" t="str">
        <f t="shared" si="146"/>
        <v>-</v>
      </c>
      <c r="AF269" s="13" t="str">
        <f t="shared" si="147"/>
        <v>-</v>
      </c>
      <c r="AG269" s="31" t="str">
        <f t="shared" si="135"/>
        <v>-</v>
      </c>
      <c r="AH269" s="2" t="str">
        <f t="shared" si="148"/>
        <v/>
      </c>
      <c r="AI269" s="2" t="str">
        <f>IF(AH269="","",COUNT($AH$3:AH269))</f>
        <v/>
      </c>
      <c r="AJ269" s="60" t="str">
        <f t="shared" si="149"/>
        <v/>
      </c>
    </row>
    <row r="270" spans="1:36" ht="16.5">
      <c r="A270" s="6">
        <v>268</v>
      </c>
      <c r="B270" s="9">
        <f t="shared" si="124"/>
        <v>46290</v>
      </c>
      <c r="C270" s="7">
        <f t="shared" si="125"/>
        <v>9</v>
      </c>
      <c r="D270" s="7">
        <f t="shared" si="126"/>
        <v>25</v>
      </c>
      <c r="E270" s="15">
        <f t="shared" si="127"/>
        <v>6</v>
      </c>
      <c r="F270" s="8" t="str">
        <f t="shared" si="128"/>
        <v>휴</v>
      </c>
      <c r="G270" s="58" t="s">
        <v>78</v>
      </c>
      <c r="H270" s="12" t="s">
        <v>63</v>
      </c>
      <c r="I270" s="6" t="str">
        <f t="shared" si="129"/>
        <v>당직</v>
      </c>
      <c r="J270" s="6" t="str">
        <f t="shared" si="130"/>
        <v/>
      </c>
      <c r="K270" s="6" t="str">
        <f>IF(J270="","",COUNT($J$3:J270))</f>
        <v/>
      </c>
      <c r="L270" s="6" t="str">
        <f t="shared" si="136"/>
        <v/>
      </c>
      <c r="M270" s="6" t="str">
        <f t="shared" si="137"/>
        <v/>
      </c>
      <c r="N270" s="6" t="str">
        <f t="shared" si="138"/>
        <v/>
      </c>
      <c r="O270" s="6" t="str">
        <f t="shared" si="139"/>
        <v/>
      </c>
      <c r="P270" s="32" t="str">
        <f t="shared" si="131"/>
        <v/>
      </c>
      <c r="Q270" s="13" t="str">
        <f t="shared" si="150"/>
        <v>-</v>
      </c>
      <c r="R270" s="13" t="str">
        <f t="shared" si="151"/>
        <v>-</v>
      </c>
      <c r="S270" s="13" t="str">
        <f t="shared" si="152"/>
        <v>-</v>
      </c>
      <c r="T270" s="13" t="str">
        <f t="shared" si="153"/>
        <v>-</v>
      </c>
      <c r="U270" s="31" t="str">
        <f t="shared" si="132"/>
        <v>-</v>
      </c>
      <c r="V270" s="6">
        <f t="shared" si="133"/>
        <v>1</v>
      </c>
      <c r="W270" s="6">
        <f>IF(V270="","",COUNT($V$3:V270))</f>
        <v>90</v>
      </c>
      <c r="X270" s="6">
        <f t="shared" si="140"/>
        <v>2</v>
      </c>
      <c r="Y270" s="6">
        <f t="shared" si="141"/>
        <v>3</v>
      </c>
      <c r="Z270" s="6">
        <f t="shared" si="142"/>
        <v>4</v>
      </c>
      <c r="AA270" s="6">
        <f t="shared" si="143"/>
        <v>1</v>
      </c>
      <c r="AB270" s="32">
        <f t="shared" si="134"/>
        <v>0</v>
      </c>
      <c r="AC270" s="13" t="str">
        <f t="shared" si="144"/>
        <v>박성현</v>
      </c>
      <c r="AD270" s="13" t="str">
        <f t="shared" si="145"/>
        <v>허지웅</v>
      </c>
      <c r="AE270" s="13" t="str">
        <f t="shared" si="146"/>
        <v>정윤준</v>
      </c>
      <c r="AF270" s="13" t="str">
        <f t="shared" si="147"/>
        <v>이기수</v>
      </c>
      <c r="AG270" s="31" t="str">
        <f t="shared" si="135"/>
        <v>정윤준</v>
      </c>
      <c r="AH270" s="2" t="str">
        <f t="shared" si="148"/>
        <v/>
      </c>
      <c r="AI270" s="2" t="str">
        <f>IF(AH270="","",COUNT($AH$3:AH270))</f>
        <v/>
      </c>
      <c r="AJ270" s="60" t="str">
        <f t="shared" si="149"/>
        <v/>
      </c>
    </row>
    <row r="271" spans="1:36" ht="16.5">
      <c r="A271" s="6">
        <v>269</v>
      </c>
      <c r="B271" s="9">
        <f t="shared" si="124"/>
        <v>46291</v>
      </c>
      <c r="C271" s="7">
        <f t="shared" si="125"/>
        <v>9</v>
      </c>
      <c r="D271" s="7">
        <f t="shared" si="126"/>
        <v>26</v>
      </c>
      <c r="E271" s="15">
        <f t="shared" si="127"/>
        <v>7</v>
      </c>
      <c r="F271" s="8" t="str">
        <f t="shared" si="128"/>
        <v>휴</v>
      </c>
      <c r="G271" s="58"/>
      <c r="H271" s="12" t="s">
        <v>64</v>
      </c>
      <c r="I271" s="6" t="str">
        <f t="shared" si="129"/>
        <v>비번</v>
      </c>
      <c r="J271" s="6" t="str">
        <f t="shared" si="130"/>
        <v/>
      </c>
      <c r="K271" s="6" t="str">
        <f>IF(J271="","",COUNT($J$3:J271))</f>
        <v/>
      </c>
      <c r="L271" s="6" t="str">
        <f t="shared" si="136"/>
        <v/>
      </c>
      <c r="M271" s="6" t="str">
        <f t="shared" si="137"/>
        <v/>
      </c>
      <c r="N271" s="6" t="str">
        <f t="shared" si="138"/>
        <v/>
      </c>
      <c r="O271" s="6" t="str">
        <f t="shared" si="139"/>
        <v/>
      </c>
      <c r="P271" s="32" t="str">
        <f t="shared" si="131"/>
        <v/>
      </c>
      <c r="Q271" s="13" t="str">
        <f t="shared" si="150"/>
        <v>-</v>
      </c>
      <c r="R271" s="13" t="str">
        <f t="shared" si="151"/>
        <v>-</v>
      </c>
      <c r="S271" s="13" t="str">
        <f t="shared" si="152"/>
        <v>-</v>
      </c>
      <c r="T271" s="13" t="str">
        <f t="shared" si="153"/>
        <v>-</v>
      </c>
      <c r="U271" s="31" t="str">
        <f t="shared" si="132"/>
        <v>-</v>
      </c>
      <c r="V271" s="6" t="str">
        <f t="shared" si="133"/>
        <v/>
      </c>
      <c r="W271" s="6" t="str">
        <f>IF(V271="","",COUNT($V$3:V271))</f>
        <v/>
      </c>
      <c r="X271" s="6" t="str">
        <f t="shared" si="140"/>
        <v/>
      </c>
      <c r="Y271" s="6" t="str">
        <f t="shared" si="141"/>
        <v/>
      </c>
      <c r="Z271" s="6" t="str">
        <f t="shared" si="142"/>
        <v/>
      </c>
      <c r="AA271" s="6" t="str">
        <f t="shared" si="143"/>
        <v/>
      </c>
      <c r="AB271" s="32" t="str">
        <f t="shared" si="134"/>
        <v/>
      </c>
      <c r="AC271" s="13" t="str">
        <f t="shared" si="144"/>
        <v>-</v>
      </c>
      <c r="AD271" s="13" t="str">
        <f t="shared" si="145"/>
        <v>-</v>
      </c>
      <c r="AE271" s="13" t="str">
        <f t="shared" si="146"/>
        <v>-</v>
      </c>
      <c r="AF271" s="13" t="str">
        <f t="shared" si="147"/>
        <v>-</v>
      </c>
      <c r="AG271" s="31" t="str">
        <f t="shared" si="135"/>
        <v>-</v>
      </c>
      <c r="AH271" s="2" t="str">
        <f t="shared" si="148"/>
        <v/>
      </c>
      <c r="AI271" s="2" t="str">
        <f>IF(AH271="","",COUNT($AH$3:AH271))</f>
        <v/>
      </c>
      <c r="AJ271" s="60" t="str">
        <f t="shared" si="149"/>
        <v/>
      </c>
    </row>
    <row r="272" spans="1:36" ht="16.5">
      <c r="A272" s="6">
        <v>270</v>
      </c>
      <c r="B272" s="9">
        <f t="shared" si="124"/>
        <v>46292</v>
      </c>
      <c r="C272" s="7">
        <f t="shared" si="125"/>
        <v>9</v>
      </c>
      <c r="D272" s="7">
        <f t="shared" si="126"/>
        <v>27</v>
      </c>
      <c r="E272" s="15">
        <f t="shared" si="127"/>
        <v>1</v>
      </c>
      <c r="F272" s="8" t="str">
        <f t="shared" si="128"/>
        <v>휴</v>
      </c>
      <c r="G272" s="58"/>
      <c r="H272" s="12" t="s">
        <v>65</v>
      </c>
      <c r="I272" s="6" t="str">
        <f t="shared" si="129"/>
        <v>휴무</v>
      </c>
      <c r="J272" s="6" t="str">
        <f t="shared" si="130"/>
        <v/>
      </c>
      <c r="K272" s="6" t="str">
        <f>IF(J272="","",COUNT($J$3:J272))</f>
        <v/>
      </c>
      <c r="L272" s="6" t="str">
        <f t="shared" si="136"/>
        <v/>
      </c>
      <c r="M272" s="6" t="str">
        <f t="shared" si="137"/>
        <v/>
      </c>
      <c r="N272" s="6" t="str">
        <f t="shared" si="138"/>
        <v/>
      </c>
      <c r="O272" s="6" t="str">
        <f t="shared" si="139"/>
        <v/>
      </c>
      <c r="P272" s="32" t="str">
        <f t="shared" si="131"/>
        <v/>
      </c>
      <c r="Q272" s="13" t="str">
        <f t="shared" si="150"/>
        <v>-</v>
      </c>
      <c r="R272" s="13" t="str">
        <f t="shared" si="151"/>
        <v>-</v>
      </c>
      <c r="S272" s="13" t="str">
        <f t="shared" si="152"/>
        <v>-</v>
      </c>
      <c r="T272" s="13" t="str">
        <f t="shared" si="153"/>
        <v>-</v>
      </c>
      <c r="U272" s="31" t="str">
        <f t="shared" si="132"/>
        <v>-</v>
      </c>
      <c r="V272" s="6" t="str">
        <f t="shared" si="133"/>
        <v/>
      </c>
      <c r="W272" s="6" t="str">
        <f>IF(V272="","",COUNT($V$3:V272))</f>
        <v/>
      </c>
      <c r="X272" s="6" t="str">
        <f t="shared" si="140"/>
        <v/>
      </c>
      <c r="Y272" s="6" t="str">
        <f t="shared" si="141"/>
        <v/>
      </c>
      <c r="Z272" s="6" t="str">
        <f t="shared" si="142"/>
        <v/>
      </c>
      <c r="AA272" s="6" t="str">
        <f t="shared" si="143"/>
        <v/>
      </c>
      <c r="AB272" s="32" t="str">
        <f t="shared" si="134"/>
        <v/>
      </c>
      <c r="AC272" s="13" t="str">
        <f t="shared" si="144"/>
        <v>-</v>
      </c>
      <c r="AD272" s="13" t="str">
        <f t="shared" si="145"/>
        <v>-</v>
      </c>
      <c r="AE272" s="13" t="str">
        <f t="shared" si="146"/>
        <v>-</v>
      </c>
      <c r="AF272" s="13" t="str">
        <f t="shared" si="147"/>
        <v>-</v>
      </c>
      <c r="AG272" s="31" t="str">
        <f t="shared" si="135"/>
        <v>-</v>
      </c>
      <c r="AH272" s="2" t="str">
        <f t="shared" si="148"/>
        <v/>
      </c>
      <c r="AI272" s="2" t="str">
        <f>IF(AH272="","",COUNT($AH$3:AH272))</f>
        <v/>
      </c>
      <c r="AJ272" s="60" t="str">
        <f t="shared" si="149"/>
        <v/>
      </c>
    </row>
    <row r="273" spans="1:36" ht="16.5">
      <c r="A273" s="6">
        <v>271</v>
      </c>
      <c r="B273" s="9">
        <f t="shared" si="124"/>
        <v>46293</v>
      </c>
      <c r="C273" s="7">
        <f t="shared" si="125"/>
        <v>9</v>
      </c>
      <c r="D273" s="7">
        <f t="shared" si="126"/>
        <v>28</v>
      </c>
      <c r="E273" s="15">
        <f t="shared" si="127"/>
        <v>2</v>
      </c>
      <c r="F273" s="8" t="str">
        <f t="shared" si="128"/>
        <v/>
      </c>
      <c r="G273" s="58"/>
      <c r="H273" s="12" t="s">
        <v>63</v>
      </c>
      <c r="I273" s="6" t="str">
        <f t="shared" si="129"/>
        <v>야간</v>
      </c>
      <c r="J273" s="6" t="str">
        <f t="shared" si="130"/>
        <v/>
      </c>
      <c r="K273" s="6" t="str">
        <f>IF(J273="","",COUNT($J$3:J273))</f>
        <v/>
      </c>
      <c r="L273" s="6" t="str">
        <f t="shared" si="136"/>
        <v/>
      </c>
      <c r="M273" s="6" t="str">
        <f t="shared" si="137"/>
        <v/>
      </c>
      <c r="N273" s="6" t="str">
        <f t="shared" si="138"/>
        <v/>
      </c>
      <c r="O273" s="6" t="str">
        <f t="shared" si="139"/>
        <v/>
      </c>
      <c r="P273" s="32" t="str">
        <f t="shared" si="131"/>
        <v/>
      </c>
      <c r="Q273" s="13" t="str">
        <f t="shared" si="150"/>
        <v>-</v>
      </c>
      <c r="R273" s="13" t="str">
        <f t="shared" si="151"/>
        <v>-</v>
      </c>
      <c r="S273" s="13" t="str">
        <f t="shared" si="152"/>
        <v>-</v>
      </c>
      <c r="T273" s="13" t="str">
        <f t="shared" si="153"/>
        <v>-</v>
      </c>
      <c r="U273" s="31" t="str">
        <f t="shared" si="132"/>
        <v>-</v>
      </c>
      <c r="V273" s="6">
        <f t="shared" si="133"/>
        <v>1</v>
      </c>
      <c r="W273" s="6">
        <f>IF(V273="","",COUNT($V$3:V273))</f>
        <v>91</v>
      </c>
      <c r="X273" s="6">
        <f t="shared" si="140"/>
        <v>1</v>
      </c>
      <c r="Y273" s="6">
        <f t="shared" si="141"/>
        <v>2</v>
      </c>
      <c r="Z273" s="6">
        <f t="shared" si="142"/>
        <v>3</v>
      </c>
      <c r="AA273" s="6">
        <f t="shared" si="143"/>
        <v>4</v>
      </c>
      <c r="AB273" s="32">
        <f t="shared" si="134"/>
        <v>1</v>
      </c>
      <c r="AC273" s="13" t="str">
        <f t="shared" si="144"/>
        <v>이기수</v>
      </c>
      <c r="AD273" s="13" t="str">
        <f t="shared" si="145"/>
        <v>박성현</v>
      </c>
      <c r="AE273" s="13" t="str">
        <f t="shared" si="146"/>
        <v>허지웅</v>
      </c>
      <c r="AF273" s="13" t="str">
        <f t="shared" si="147"/>
        <v>정윤준</v>
      </c>
      <c r="AG273" s="31" t="str">
        <f t="shared" si="135"/>
        <v>허지웅</v>
      </c>
      <c r="AH273" s="2">
        <f t="shared" si="148"/>
        <v>1</v>
      </c>
      <c r="AI273" s="2">
        <f>IF(AH273="","",COUNT($AH$3:AH273))</f>
        <v>23</v>
      </c>
      <c r="AJ273" s="60" t="str">
        <f t="shared" si="149"/>
        <v>정윤준</v>
      </c>
    </row>
    <row r="274" spans="1:36" ht="16.5">
      <c r="A274" s="6">
        <v>272</v>
      </c>
      <c r="B274" s="9">
        <f t="shared" si="124"/>
        <v>46294</v>
      </c>
      <c r="C274" s="7">
        <f t="shared" si="125"/>
        <v>9</v>
      </c>
      <c r="D274" s="7">
        <f t="shared" si="126"/>
        <v>29</v>
      </c>
      <c r="E274" s="15">
        <f t="shared" si="127"/>
        <v>3</v>
      </c>
      <c r="F274" s="8" t="str">
        <f t="shared" si="128"/>
        <v/>
      </c>
      <c r="G274" s="58"/>
      <c r="H274" s="12" t="s">
        <v>64</v>
      </c>
      <c r="I274" s="6" t="str">
        <f t="shared" si="129"/>
        <v>비번</v>
      </c>
      <c r="J274" s="6" t="str">
        <f t="shared" si="130"/>
        <v/>
      </c>
      <c r="K274" s="6" t="str">
        <f>IF(J274="","",COUNT($J$3:J274))</f>
        <v/>
      </c>
      <c r="L274" s="6" t="str">
        <f t="shared" si="136"/>
        <v/>
      </c>
      <c r="M274" s="6" t="str">
        <f t="shared" si="137"/>
        <v/>
      </c>
      <c r="N274" s="6" t="str">
        <f t="shared" si="138"/>
        <v/>
      </c>
      <c r="O274" s="6" t="str">
        <f t="shared" si="139"/>
        <v/>
      </c>
      <c r="P274" s="32" t="str">
        <f t="shared" si="131"/>
        <v/>
      </c>
      <c r="Q274" s="13" t="str">
        <f t="shared" si="150"/>
        <v>-</v>
      </c>
      <c r="R274" s="13" t="str">
        <f t="shared" si="151"/>
        <v>-</v>
      </c>
      <c r="S274" s="13" t="str">
        <f t="shared" si="152"/>
        <v>-</v>
      </c>
      <c r="T274" s="13" t="str">
        <f t="shared" si="153"/>
        <v>-</v>
      </c>
      <c r="U274" s="31" t="str">
        <f t="shared" si="132"/>
        <v>-</v>
      </c>
      <c r="V274" s="6" t="str">
        <f t="shared" si="133"/>
        <v/>
      </c>
      <c r="W274" s="6" t="str">
        <f>IF(V274="","",COUNT($V$3:V274))</f>
        <v/>
      </c>
      <c r="X274" s="6" t="str">
        <f t="shared" si="140"/>
        <v/>
      </c>
      <c r="Y274" s="6" t="str">
        <f t="shared" si="141"/>
        <v/>
      </c>
      <c r="Z274" s="6" t="str">
        <f t="shared" si="142"/>
        <v/>
      </c>
      <c r="AA274" s="6" t="str">
        <f t="shared" si="143"/>
        <v/>
      </c>
      <c r="AB274" s="32" t="str">
        <f t="shared" si="134"/>
        <v/>
      </c>
      <c r="AC274" s="13" t="str">
        <f t="shared" si="144"/>
        <v>-</v>
      </c>
      <c r="AD274" s="13" t="str">
        <f t="shared" si="145"/>
        <v>-</v>
      </c>
      <c r="AE274" s="13" t="str">
        <f t="shared" si="146"/>
        <v>-</v>
      </c>
      <c r="AF274" s="13" t="str">
        <f t="shared" si="147"/>
        <v>-</v>
      </c>
      <c r="AG274" s="31" t="str">
        <f t="shared" si="135"/>
        <v>-</v>
      </c>
      <c r="AH274" s="2" t="str">
        <f t="shared" si="148"/>
        <v/>
      </c>
      <c r="AI274" s="2" t="str">
        <f>IF(AH274="","",COUNT($AH$3:AH274))</f>
        <v/>
      </c>
      <c r="AJ274" s="60" t="str">
        <f t="shared" si="149"/>
        <v/>
      </c>
    </row>
    <row r="275" spans="1:36" ht="16.5">
      <c r="A275" s="6">
        <v>273</v>
      </c>
      <c r="B275" s="9">
        <f t="shared" si="124"/>
        <v>46295</v>
      </c>
      <c r="C275" s="7">
        <f t="shared" si="125"/>
        <v>9</v>
      </c>
      <c r="D275" s="7">
        <f t="shared" si="126"/>
        <v>30</v>
      </c>
      <c r="E275" s="15">
        <f t="shared" si="127"/>
        <v>4</v>
      </c>
      <c r="F275" s="8" t="str">
        <f t="shared" si="128"/>
        <v/>
      </c>
      <c r="G275" s="58"/>
      <c r="H275" s="12" t="s">
        <v>65</v>
      </c>
      <c r="I275" s="6" t="str">
        <f t="shared" si="129"/>
        <v>주간</v>
      </c>
      <c r="J275" s="6">
        <f t="shared" si="130"/>
        <v>1</v>
      </c>
      <c r="K275" s="6">
        <f>IF(J275="","",COUNT($J$3:J275))</f>
        <v>62</v>
      </c>
      <c r="L275" s="6">
        <f t="shared" si="136"/>
        <v>2</v>
      </c>
      <c r="M275" s="6">
        <f t="shared" si="137"/>
        <v>3</v>
      </c>
      <c r="N275" s="6">
        <f t="shared" si="138"/>
        <v>4</v>
      </c>
      <c r="O275" s="6">
        <f t="shared" si="139"/>
        <v>1</v>
      </c>
      <c r="P275" s="32">
        <f t="shared" si="131"/>
        <v>2</v>
      </c>
      <c r="Q275" s="13" t="str">
        <f t="shared" si="150"/>
        <v>박성현</v>
      </c>
      <c r="R275" s="13" t="str">
        <f t="shared" si="151"/>
        <v>허지웅</v>
      </c>
      <c r="S275" s="13" t="str">
        <f t="shared" si="152"/>
        <v>정윤준</v>
      </c>
      <c r="T275" s="13" t="str">
        <f t="shared" si="153"/>
        <v>이기수</v>
      </c>
      <c r="U275" s="31" t="str">
        <f t="shared" si="132"/>
        <v>정윤준</v>
      </c>
      <c r="V275" s="6" t="str">
        <f t="shared" si="133"/>
        <v/>
      </c>
      <c r="W275" s="6" t="str">
        <f>IF(V275="","",COUNT($V$3:V275))</f>
        <v/>
      </c>
      <c r="X275" s="6" t="str">
        <f t="shared" si="140"/>
        <v/>
      </c>
      <c r="Y275" s="6" t="str">
        <f t="shared" si="141"/>
        <v/>
      </c>
      <c r="Z275" s="6" t="str">
        <f t="shared" si="142"/>
        <v/>
      </c>
      <c r="AA275" s="6" t="str">
        <f t="shared" si="143"/>
        <v/>
      </c>
      <c r="AB275" s="32" t="str">
        <f t="shared" si="134"/>
        <v/>
      </c>
      <c r="AC275" s="13" t="str">
        <f t="shared" si="144"/>
        <v>-</v>
      </c>
      <c r="AD275" s="13" t="str">
        <f t="shared" si="145"/>
        <v>-</v>
      </c>
      <c r="AE275" s="13" t="str">
        <f t="shared" si="146"/>
        <v>-</v>
      </c>
      <c r="AF275" s="13" t="str">
        <f t="shared" si="147"/>
        <v>-</v>
      </c>
      <c r="AG275" s="31" t="str">
        <f t="shared" si="135"/>
        <v>-</v>
      </c>
      <c r="AH275" s="2" t="str">
        <f t="shared" si="148"/>
        <v/>
      </c>
      <c r="AI275" s="2" t="str">
        <f>IF(AH275="","",COUNT($AH$3:AH275))</f>
        <v/>
      </c>
      <c r="AJ275" s="60" t="str">
        <f t="shared" si="149"/>
        <v/>
      </c>
    </row>
    <row r="276" spans="1:36" ht="16.5">
      <c r="A276" s="6">
        <v>274</v>
      </c>
      <c r="B276" s="9">
        <f t="shared" si="124"/>
        <v>46296</v>
      </c>
      <c r="C276" s="7">
        <f t="shared" si="125"/>
        <v>10</v>
      </c>
      <c r="D276" s="7">
        <f t="shared" si="126"/>
        <v>1</v>
      </c>
      <c r="E276" s="15">
        <f t="shared" si="127"/>
        <v>5</v>
      </c>
      <c r="F276" s="8" t="str">
        <f t="shared" si="128"/>
        <v/>
      </c>
      <c r="G276" s="58"/>
      <c r="H276" s="12" t="s">
        <v>63</v>
      </c>
      <c r="I276" s="6" t="str">
        <f t="shared" si="129"/>
        <v>야간</v>
      </c>
      <c r="J276" s="6" t="str">
        <f t="shared" si="130"/>
        <v/>
      </c>
      <c r="K276" s="6" t="str">
        <f>IF(J276="","",COUNT($J$3:J276))</f>
        <v/>
      </c>
      <c r="L276" s="6" t="str">
        <f t="shared" si="136"/>
        <v/>
      </c>
      <c r="M276" s="6" t="str">
        <f t="shared" si="137"/>
        <v/>
      </c>
      <c r="N276" s="6" t="str">
        <f t="shared" si="138"/>
        <v/>
      </c>
      <c r="O276" s="6" t="str">
        <f t="shared" si="139"/>
        <v/>
      </c>
      <c r="P276" s="32" t="str">
        <f t="shared" si="131"/>
        <v/>
      </c>
      <c r="Q276" s="13" t="str">
        <f t="shared" si="150"/>
        <v>-</v>
      </c>
      <c r="R276" s="13" t="str">
        <f t="shared" si="151"/>
        <v>-</v>
      </c>
      <c r="S276" s="13" t="str">
        <f t="shared" si="152"/>
        <v>-</v>
      </c>
      <c r="T276" s="13" t="str">
        <f t="shared" si="153"/>
        <v>-</v>
      </c>
      <c r="U276" s="31" t="str">
        <f t="shared" si="132"/>
        <v>-</v>
      </c>
      <c r="V276" s="6">
        <f t="shared" si="133"/>
        <v>1</v>
      </c>
      <c r="W276" s="6">
        <f>IF(V276="","",COUNT($V$3:V276))</f>
        <v>92</v>
      </c>
      <c r="X276" s="6">
        <f t="shared" si="140"/>
        <v>4</v>
      </c>
      <c r="Y276" s="6">
        <f t="shared" si="141"/>
        <v>1</v>
      </c>
      <c r="Z276" s="6">
        <f t="shared" si="142"/>
        <v>2</v>
      </c>
      <c r="AA276" s="6">
        <f t="shared" si="143"/>
        <v>3</v>
      </c>
      <c r="AB276" s="32">
        <f t="shared" si="134"/>
        <v>2</v>
      </c>
      <c r="AC276" s="13" t="str">
        <f t="shared" si="144"/>
        <v>정윤준</v>
      </c>
      <c r="AD276" s="13" t="str">
        <f t="shared" si="145"/>
        <v>이기수</v>
      </c>
      <c r="AE276" s="13" t="str">
        <f t="shared" si="146"/>
        <v>박성현</v>
      </c>
      <c r="AF276" s="13" t="str">
        <f t="shared" si="147"/>
        <v>허지웅</v>
      </c>
      <c r="AG276" s="31" t="str">
        <f t="shared" si="135"/>
        <v>장혁진</v>
      </c>
      <c r="AH276" s="2" t="str">
        <f t="shared" si="148"/>
        <v/>
      </c>
      <c r="AI276" s="2" t="str">
        <f>IF(AH276="","",COUNT($AH$3:AH276))</f>
        <v/>
      </c>
      <c r="AJ276" s="60" t="str">
        <f t="shared" si="149"/>
        <v/>
      </c>
    </row>
    <row r="277" spans="1:36" ht="16.5">
      <c r="A277" s="6">
        <v>275</v>
      </c>
      <c r="B277" s="9">
        <f t="shared" si="124"/>
        <v>46297</v>
      </c>
      <c r="C277" s="7">
        <f t="shared" si="125"/>
        <v>10</v>
      </c>
      <c r="D277" s="7">
        <f t="shared" si="126"/>
        <v>2</v>
      </c>
      <c r="E277" s="15">
        <f t="shared" si="127"/>
        <v>6</v>
      </c>
      <c r="F277" s="8" t="str">
        <f t="shared" si="128"/>
        <v/>
      </c>
      <c r="G277" s="58"/>
      <c r="H277" s="12" t="s">
        <v>64</v>
      </c>
      <c r="I277" s="6" t="str">
        <f t="shared" si="129"/>
        <v>비번</v>
      </c>
      <c r="J277" s="6" t="str">
        <f t="shared" si="130"/>
        <v/>
      </c>
      <c r="K277" s="6" t="str">
        <f>IF(J277="","",COUNT($J$3:J277))</f>
        <v/>
      </c>
      <c r="L277" s="6" t="str">
        <f t="shared" si="136"/>
        <v/>
      </c>
      <c r="M277" s="6" t="str">
        <f t="shared" si="137"/>
        <v/>
      </c>
      <c r="N277" s="6" t="str">
        <f t="shared" si="138"/>
        <v/>
      </c>
      <c r="O277" s="6" t="str">
        <f t="shared" si="139"/>
        <v/>
      </c>
      <c r="P277" s="32" t="str">
        <f t="shared" si="131"/>
        <v/>
      </c>
      <c r="Q277" s="13" t="str">
        <f t="shared" si="150"/>
        <v>-</v>
      </c>
      <c r="R277" s="13" t="str">
        <f t="shared" si="151"/>
        <v>-</v>
      </c>
      <c r="S277" s="13" t="str">
        <f t="shared" si="152"/>
        <v>-</v>
      </c>
      <c r="T277" s="13" t="str">
        <f t="shared" si="153"/>
        <v>-</v>
      </c>
      <c r="U277" s="31" t="str">
        <f t="shared" si="132"/>
        <v>-</v>
      </c>
      <c r="V277" s="6" t="str">
        <f t="shared" si="133"/>
        <v/>
      </c>
      <c r="W277" s="6" t="str">
        <f>IF(V277="","",COUNT($V$3:V277))</f>
        <v/>
      </c>
      <c r="X277" s="6" t="str">
        <f t="shared" si="140"/>
        <v/>
      </c>
      <c r="Y277" s="6" t="str">
        <f t="shared" si="141"/>
        <v/>
      </c>
      <c r="Z277" s="6" t="str">
        <f t="shared" si="142"/>
        <v/>
      </c>
      <c r="AA277" s="6" t="str">
        <f t="shared" si="143"/>
        <v/>
      </c>
      <c r="AB277" s="32" t="str">
        <f t="shared" si="134"/>
        <v/>
      </c>
      <c r="AC277" s="13" t="str">
        <f t="shared" si="144"/>
        <v>-</v>
      </c>
      <c r="AD277" s="13" t="str">
        <f t="shared" si="145"/>
        <v>-</v>
      </c>
      <c r="AE277" s="13" t="str">
        <f t="shared" si="146"/>
        <v>-</v>
      </c>
      <c r="AF277" s="13" t="str">
        <f t="shared" si="147"/>
        <v>-</v>
      </c>
      <c r="AG277" s="31" t="str">
        <f t="shared" si="135"/>
        <v>-</v>
      </c>
      <c r="AH277" s="2" t="str">
        <f t="shared" si="148"/>
        <v/>
      </c>
      <c r="AI277" s="2" t="str">
        <f>IF(AH277="","",COUNT($AH$3:AH277))</f>
        <v/>
      </c>
      <c r="AJ277" s="60" t="str">
        <f t="shared" si="149"/>
        <v/>
      </c>
    </row>
    <row r="278" spans="1:36" ht="16.5">
      <c r="A278" s="6">
        <v>276</v>
      </c>
      <c r="B278" s="9">
        <f t="shared" si="124"/>
        <v>46298</v>
      </c>
      <c r="C278" s="7">
        <f t="shared" si="125"/>
        <v>10</v>
      </c>
      <c r="D278" s="7">
        <f t="shared" si="126"/>
        <v>3</v>
      </c>
      <c r="E278" s="15">
        <f t="shared" si="127"/>
        <v>7</v>
      </c>
      <c r="F278" s="8" t="str">
        <f t="shared" si="128"/>
        <v>휴</v>
      </c>
      <c r="G278" s="58" t="s">
        <v>79</v>
      </c>
      <c r="H278" s="12" t="s">
        <v>65</v>
      </c>
      <c r="I278" s="6" t="str">
        <f t="shared" si="129"/>
        <v>휴무</v>
      </c>
      <c r="J278" s="6" t="str">
        <f t="shared" si="130"/>
        <v/>
      </c>
      <c r="K278" s="6" t="str">
        <f>IF(J278="","",COUNT($J$3:J278))</f>
        <v/>
      </c>
      <c r="L278" s="6" t="str">
        <f t="shared" si="136"/>
        <v/>
      </c>
      <c r="M278" s="6" t="str">
        <f t="shared" si="137"/>
        <v/>
      </c>
      <c r="N278" s="6" t="str">
        <f t="shared" si="138"/>
        <v/>
      </c>
      <c r="O278" s="6" t="str">
        <f t="shared" si="139"/>
        <v/>
      </c>
      <c r="P278" s="32" t="str">
        <f t="shared" si="131"/>
        <v/>
      </c>
      <c r="Q278" s="13" t="str">
        <f t="shared" si="150"/>
        <v>-</v>
      </c>
      <c r="R278" s="13" t="str">
        <f t="shared" si="151"/>
        <v>-</v>
      </c>
      <c r="S278" s="13" t="str">
        <f t="shared" si="152"/>
        <v>-</v>
      </c>
      <c r="T278" s="13" t="str">
        <f t="shared" si="153"/>
        <v>-</v>
      </c>
      <c r="U278" s="31" t="str">
        <f t="shared" si="132"/>
        <v>-</v>
      </c>
      <c r="V278" s="6" t="str">
        <f t="shared" si="133"/>
        <v/>
      </c>
      <c r="W278" s="6" t="str">
        <f>IF(V278="","",COUNT($V$3:V278))</f>
        <v/>
      </c>
      <c r="X278" s="6" t="str">
        <f t="shared" si="140"/>
        <v/>
      </c>
      <c r="Y278" s="6" t="str">
        <f t="shared" si="141"/>
        <v/>
      </c>
      <c r="Z278" s="6" t="str">
        <f t="shared" si="142"/>
        <v/>
      </c>
      <c r="AA278" s="6" t="str">
        <f t="shared" si="143"/>
        <v/>
      </c>
      <c r="AB278" s="32" t="str">
        <f t="shared" si="134"/>
        <v/>
      </c>
      <c r="AC278" s="13" t="str">
        <f t="shared" si="144"/>
        <v>-</v>
      </c>
      <c r="AD278" s="13" t="str">
        <f t="shared" si="145"/>
        <v>-</v>
      </c>
      <c r="AE278" s="13" t="str">
        <f t="shared" si="146"/>
        <v>-</v>
      </c>
      <c r="AF278" s="13" t="str">
        <f t="shared" si="147"/>
        <v>-</v>
      </c>
      <c r="AG278" s="31" t="str">
        <f t="shared" si="135"/>
        <v>-</v>
      </c>
      <c r="AH278" s="2" t="str">
        <f t="shared" si="148"/>
        <v/>
      </c>
      <c r="AI278" s="2" t="str">
        <f>IF(AH278="","",COUNT($AH$3:AH278))</f>
        <v/>
      </c>
      <c r="AJ278" s="60" t="str">
        <f t="shared" si="149"/>
        <v/>
      </c>
    </row>
    <row r="279" spans="1:36" ht="16.5">
      <c r="A279" s="6">
        <v>277</v>
      </c>
      <c r="B279" s="9">
        <f t="shared" si="124"/>
        <v>46299</v>
      </c>
      <c r="C279" s="7">
        <f t="shared" si="125"/>
        <v>10</v>
      </c>
      <c r="D279" s="7">
        <f t="shared" si="126"/>
        <v>4</v>
      </c>
      <c r="E279" s="15">
        <f t="shared" si="127"/>
        <v>1</v>
      </c>
      <c r="F279" s="8" t="str">
        <f t="shared" si="128"/>
        <v>휴</v>
      </c>
      <c r="G279" s="58"/>
      <c r="H279" s="12" t="s">
        <v>63</v>
      </c>
      <c r="I279" s="6" t="str">
        <f t="shared" si="129"/>
        <v>당직</v>
      </c>
      <c r="J279" s="6" t="str">
        <f t="shared" si="130"/>
        <v/>
      </c>
      <c r="K279" s="6" t="str">
        <f>IF(J279="","",COUNT($J$3:J279))</f>
        <v/>
      </c>
      <c r="L279" s="6" t="str">
        <f t="shared" si="136"/>
        <v/>
      </c>
      <c r="M279" s="6" t="str">
        <f t="shared" si="137"/>
        <v/>
      </c>
      <c r="N279" s="6" t="str">
        <f t="shared" si="138"/>
        <v/>
      </c>
      <c r="O279" s="6" t="str">
        <f t="shared" si="139"/>
        <v/>
      </c>
      <c r="P279" s="32" t="str">
        <f t="shared" si="131"/>
        <v/>
      </c>
      <c r="Q279" s="13" t="str">
        <f t="shared" si="150"/>
        <v>-</v>
      </c>
      <c r="R279" s="13" t="str">
        <f t="shared" si="151"/>
        <v>-</v>
      </c>
      <c r="S279" s="13" t="str">
        <f t="shared" si="152"/>
        <v>-</v>
      </c>
      <c r="T279" s="13" t="str">
        <f t="shared" si="153"/>
        <v>-</v>
      </c>
      <c r="U279" s="31" t="str">
        <f t="shared" si="132"/>
        <v>-</v>
      </c>
      <c r="V279" s="6">
        <f t="shared" si="133"/>
        <v>1</v>
      </c>
      <c r="W279" s="6">
        <f>IF(V279="","",COUNT($V$3:V279))</f>
        <v>93</v>
      </c>
      <c r="X279" s="6">
        <f t="shared" si="140"/>
        <v>3</v>
      </c>
      <c r="Y279" s="6">
        <f t="shared" si="141"/>
        <v>4</v>
      </c>
      <c r="Z279" s="6">
        <f t="shared" si="142"/>
        <v>1</v>
      </c>
      <c r="AA279" s="6">
        <f t="shared" si="143"/>
        <v>2</v>
      </c>
      <c r="AB279" s="32">
        <f t="shared" si="134"/>
        <v>3</v>
      </c>
      <c r="AC279" s="13" t="str">
        <f t="shared" si="144"/>
        <v>허지웅</v>
      </c>
      <c r="AD279" s="13" t="str">
        <f t="shared" si="145"/>
        <v>정윤준</v>
      </c>
      <c r="AE279" s="13" t="str">
        <f t="shared" si="146"/>
        <v>이기수</v>
      </c>
      <c r="AF279" s="13" t="str">
        <f t="shared" si="147"/>
        <v>박성현</v>
      </c>
      <c r="AG279" s="31" t="str">
        <f t="shared" si="135"/>
        <v>이기수</v>
      </c>
      <c r="AH279" s="2" t="str">
        <f t="shared" si="148"/>
        <v/>
      </c>
      <c r="AI279" s="2" t="str">
        <f>IF(AH279="","",COUNT($AH$3:AH279))</f>
        <v/>
      </c>
      <c r="AJ279" s="60" t="str">
        <f t="shared" si="149"/>
        <v/>
      </c>
    </row>
    <row r="280" spans="1:36" ht="16.5">
      <c r="A280" s="6">
        <v>278</v>
      </c>
      <c r="B280" s="9">
        <f t="shared" si="124"/>
        <v>46300</v>
      </c>
      <c r="C280" s="7">
        <f t="shared" si="125"/>
        <v>10</v>
      </c>
      <c r="D280" s="7">
        <f t="shared" si="126"/>
        <v>5</v>
      </c>
      <c r="E280" s="15">
        <f t="shared" si="127"/>
        <v>2</v>
      </c>
      <c r="F280" s="8" t="str">
        <f t="shared" si="128"/>
        <v>휴</v>
      </c>
      <c r="G280" s="58" t="s">
        <v>80</v>
      </c>
      <c r="H280" s="12" t="s">
        <v>64</v>
      </c>
      <c r="I280" s="6" t="str">
        <f t="shared" si="129"/>
        <v>비번</v>
      </c>
      <c r="J280" s="6" t="str">
        <f t="shared" si="130"/>
        <v/>
      </c>
      <c r="K280" s="6" t="str">
        <f>IF(J280="","",COUNT($J$3:J280))</f>
        <v/>
      </c>
      <c r="L280" s="6" t="str">
        <f t="shared" si="136"/>
        <v/>
      </c>
      <c r="M280" s="6" t="str">
        <f t="shared" si="137"/>
        <v/>
      </c>
      <c r="N280" s="6" t="str">
        <f t="shared" si="138"/>
        <v/>
      </c>
      <c r="O280" s="6" t="str">
        <f t="shared" si="139"/>
        <v/>
      </c>
      <c r="P280" s="32" t="str">
        <f t="shared" si="131"/>
        <v/>
      </c>
      <c r="Q280" s="13" t="str">
        <f t="shared" si="150"/>
        <v>-</v>
      </c>
      <c r="R280" s="13" t="str">
        <f t="shared" si="151"/>
        <v>-</v>
      </c>
      <c r="S280" s="13" t="str">
        <f t="shared" si="152"/>
        <v>-</v>
      </c>
      <c r="T280" s="13" t="str">
        <f t="shared" si="153"/>
        <v>-</v>
      </c>
      <c r="U280" s="31" t="str">
        <f t="shared" si="132"/>
        <v>-</v>
      </c>
      <c r="V280" s="6" t="str">
        <f t="shared" si="133"/>
        <v/>
      </c>
      <c r="W280" s="6" t="str">
        <f>IF(V280="","",COUNT($V$3:V280))</f>
        <v/>
      </c>
      <c r="X280" s="6" t="str">
        <f t="shared" si="140"/>
        <v/>
      </c>
      <c r="Y280" s="6" t="str">
        <f t="shared" si="141"/>
        <v/>
      </c>
      <c r="Z280" s="6" t="str">
        <f t="shared" si="142"/>
        <v/>
      </c>
      <c r="AA280" s="6" t="str">
        <f t="shared" si="143"/>
        <v/>
      </c>
      <c r="AB280" s="32" t="str">
        <f t="shared" si="134"/>
        <v/>
      </c>
      <c r="AC280" s="13" t="str">
        <f t="shared" si="144"/>
        <v>-</v>
      </c>
      <c r="AD280" s="13" t="str">
        <f t="shared" si="145"/>
        <v>-</v>
      </c>
      <c r="AE280" s="13" t="str">
        <f t="shared" si="146"/>
        <v>-</v>
      </c>
      <c r="AF280" s="13" t="str">
        <f t="shared" si="147"/>
        <v>-</v>
      </c>
      <c r="AG280" s="31" t="str">
        <f t="shared" si="135"/>
        <v>-</v>
      </c>
      <c r="AH280" s="2" t="str">
        <f t="shared" si="148"/>
        <v/>
      </c>
      <c r="AI280" s="2" t="str">
        <f>IF(AH280="","",COUNT($AH$3:AH280))</f>
        <v/>
      </c>
      <c r="AJ280" s="60" t="str">
        <f t="shared" si="149"/>
        <v/>
      </c>
    </row>
    <row r="281" spans="1:36" ht="16.5">
      <c r="A281" s="6">
        <v>279</v>
      </c>
      <c r="B281" s="9">
        <f t="shared" si="124"/>
        <v>46301</v>
      </c>
      <c r="C281" s="7">
        <f t="shared" si="125"/>
        <v>10</v>
      </c>
      <c r="D281" s="7">
        <f t="shared" si="126"/>
        <v>6</v>
      </c>
      <c r="E281" s="15">
        <f t="shared" si="127"/>
        <v>3</v>
      </c>
      <c r="F281" s="8" t="str">
        <f t="shared" si="128"/>
        <v/>
      </c>
      <c r="G281" s="58"/>
      <c r="H281" s="12" t="s">
        <v>65</v>
      </c>
      <c r="I281" s="6" t="str">
        <f t="shared" si="129"/>
        <v>주간</v>
      </c>
      <c r="J281" s="6">
        <f t="shared" si="130"/>
        <v>1</v>
      </c>
      <c r="K281" s="6">
        <f>IF(J281="","",COUNT($J$3:J281))</f>
        <v>63</v>
      </c>
      <c r="L281" s="6">
        <f t="shared" si="136"/>
        <v>1</v>
      </c>
      <c r="M281" s="6">
        <f t="shared" si="137"/>
        <v>2</v>
      </c>
      <c r="N281" s="6">
        <f t="shared" si="138"/>
        <v>3</v>
      </c>
      <c r="O281" s="6">
        <f t="shared" si="139"/>
        <v>4</v>
      </c>
      <c r="P281" s="32">
        <f t="shared" si="131"/>
        <v>3</v>
      </c>
      <c r="Q281" s="13" t="str">
        <f t="shared" si="150"/>
        <v>이기수</v>
      </c>
      <c r="R281" s="13" t="str">
        <f t="shared" si="151"/>
        <v>박성현</v>
      </c>
      <c r="S281" s="13" t="str">
        <f t="shared" si="152"/>
        <v>허지웅</v>
      </c>
      <c r="T281" s="13" t="str">
        <f t="shared" si="153"/>
        <v>정윤준</v>
      </c>
      <c r="U281" s="31" t="str">
        <f t="shared" si="132"/>
        <v>허지웅</v>
      </c>
      <c r="V281" s="6" t="str">
        <f t="shared" si="133"/>
        <v/>
      </c>
      <c r="W281" s="6" t="str">
        <f>IF(V281="","",COUNT($V$3:V281))</f>
        <v/>
      </c>
      <c r="X281" s="6" t="str">
        <f t="shared" si="140"/>
        <v/>
      </c>
      <c r="Y281" s="6" t="str">
        <f t="shared" si="141"/>
        <v/>
      </c>
      <c r="Z281" s="6" t="str">
        <f t="shared" si="142"/>
        <v/>
      </c>
      <c r="AA281" s="6" t="str">
        <f t="shared" si="143"/>
        <v/>
      </c>
      <c r="AB281" s="32" t="str">
        <f t="shared" si="134"/>
        <v/>
      </c>
      <c r="AC281" s="13" t="str">
        <f t="shared" si="144"/>
        <v>-</v>
      </c>
      <c r="AD281" s="13" t="str">
        <f t="shared" si="145"/>
        <v>-</v>
      </c>
      <c r="AE281" s="13" t="str">
        <f t="shared" si="146"/>
        <v>-</v>
      </c>
      <c r="AF281" s="13" t="str">
        <f t="shared" si="147"/>
        <v>-</v>
      </c>
      <c r="AG281" s="31" t="str">
        <f t="shared" si="135"/>
        <v>-</v>
      </c>
      <c r="AH281" s="2" t="str">
        <f t="shared" si="148"/>
        <v/>
      </c>
      <c r="AI281" s="2" t="str">
        <f>IF(AH281="","",COUNT($AH$3:AH281))</f>
        <v/>
      </c>
      <c r="AJ281" s="60" t="str">
        <f t="shared" si="149"/>
        <v/>
      </c>
    </row>
    <row r="282" spans="1:36" ht="16.5">
      <c r="A282" s="6">
        <v>280</v>
      </c>
      <c r="B282" s="9">
        <f t="shared" si="124"/>
        <v>46302</v>
      </c>
      <c r="C282" s="7">
        <f t="shared" si="125"/>
        <v>10</v>
      </c>
      <c r="D282" s="7">
        <f t="shared" si="126"/>
        <v>7</v>
      </c>
      <c r="E282" s="15">
        <f t="shared" si="127"/>
        <v>4</v>
      </c>
      <c r="F282" s="8" t="str">
        <f t="shared" si="128"/>
        <v/>
      </c>
      <c r="G282" s="58"/>
      <c r="H282" s="12" t="s">
        <v>63</v>
      </c>
      <c r="I282" s="6" t="str">
        <f t="shared" si="129"/>
        <v>야간</v>
      </c>
      <c r="J282" s="6" t="str">
        <f t="shared" si="130"/>
        <v/>
      </c>
      <c r="K282" s="6" t="str">
        <f>IF(J282="","",COUNT($J$3:J282))</f>
        <v/>
      </c>
      <c r="L282" s="6" t="str">
        <f t="shared" si="136"/>
        <v/>
      </c>
      <c r="M282" s="6" t="str">
        <f t="shared" si="137"/>
        <v/>
      </c>
      <c r="N282" s="6" t="str">
        <f t="shared" si="138"/>
        <v/>
      </c>
      <c r="O282" s="6" t="str">
        <f t="shared" si="139"/>
        <v/>
      </c>
      <c r="P282" s="32" t="str">
        <f t="shared" si="131"/>
        <v/>
      </c>
      <c r="Q282" s="13" t="str">
        <f t="shared" si="150"/>
        <v>-</v>
      </c>
      <c r="R282" s="13" t="str">
        <f t="shared" si="151"/>
        <v>-</v>
      </c>
      <c r="S282" s="13" t="str">
        <f t="shared" si="152"/>
        <v>-</v>
      </c>
      <c r="T282" s="13" t="str">
        <f t="shared" si="153"/>
        <v>-</v>
      </c>
      <c r="U282" s="31" t="str">
        <f t="shared" si="132"/>
        <v>-</v>
      </c>
      <c r="V282" s="6">
        <f t="shared" si="133"/>
        <v>1</v>
      </c>
      <c r="W282" s="6">
        <f>IF(V282="","",COUNT($V$3:V282))</f>
        <v>94</v>
      </c>
      <c r="X282" s="6">
        <f t="shared" si="140"/>
        <v>2</v>
      </c>
      <c r="Y282" s="6">
        <f t="shared" si="141"/>
        <v>3</v>
      </c>
      <c r="Z282" s="6">
        <f t="shared" si="142"/>
        <v>4</v>
      </c>
      <c r="AA282" s="6">
        <f t="shared" si="143"/>
        <v>1</v>
      </c>
      <c r="AB282" s="32">
        <f t="shared" si="134"/>
        <v>4</v>
      </c>
      <c r="AC282" s="13" t="str">
        <f t="shared" si="144"/>
        <v>박성현</v>
      </c>
      <c r="AD282" s="13" t="str">
        <f t="shared" si="145"/>
        <v>허지웅</v>
      </c>
      <c r="AE282" s="13" t="str">
        <f t="shared" si="146"/>
        <v>정윤준</v>
      </c>
      <c r="AF282" s="13" t="str">
        <f t="shared" si="147"/>
        <v>이기수</v>
      </c>
      <c r="AG282" s="31" t="e">
        <f t="shared" si="135"/>
        <v>#VALUE!</v>
      </c>
      <c r="AH282" s="2" t="str">
        <f t="shared" si="148"/>
        <v/>
      </c>
      <c r="AI282" s="2" t="str">
        <f>IF(AH282="","",COUNT($AH$3:AH282))</f>
        <v/>
      </c>
      <c r="AJ282" s="60" t="str">
        <f t="shared" si="149"/>
        <v/>
      </c>
    </row>
    <row r="283" spans="1:36" ht="16.5">
      <c r="A283" s="6">
        <v>281</v>
      </c>
      <c r="B283" s="9">
        <f t="shared" si="124"/>
        <v>46303</v>
      </c>
      <c r="C283" s="7">
        <f t="shared" si="125"/>
        <v>10</v>
      </c>
      <c r="D283" s="7">
        <f t="shared" si="126"/>
        <v>8</v>
      </c>
      <c r="E283" s="15">
        <f t="shared" si="127"/>
        <v>5</v>
      </c>
      <c r="F283" s="8" t="str">
        <f t="shared" si="128"/>
        <v/>
      </c>
      <c r="G283" s="58"/>
      <c r="H283" s="12" t="s">
        <v>64</v>
      </c>
      <c r="I283" s="6" t="str">
        <f t="shared" si="129"/>
        <v>비번</v>
      </c>
      <c r="J283" s="6" t="str">
        <f t="shared" si="130"/>
        <v/>
      </c>
      <c r="K283" s="6" t="str">
        <f>IF(J283="","",COUNT($J$3:J283))</f>
        <v/>
      </c>
      <c r="L283" s="6" t="str">
        <f t="shared" si="136"/>
        <v/>
      </c>
      <c r="M283" s="6" t="str">
        <f t="shared" si="137"/>
        <v/>
      </c>
      <c r="N283" s="6" t="str">
        <f t="shared" si="138"/>
        <v/>
      </c>
      <c r="O283" s="6" t="str">
        <f t="shared" si="139"/>
        <v/>
      </c>
      <c r="P283" s="32" t="str">
        <f t="shared" si="131"/>
        <v/>
      </c>
      <c r="Q283" s="13" t="str">
        <f t="shared" si="150"/>
        <v>-</v>
      </c>
      <c r="R283" s="13" t="str">
        <f t="shared" si="151"/>
        <v>-</v>
      </c>
      <c r="S283" s="13" t="str">
        <f t="shared" si="152"/>
        <v>-</v>
      </c>
      <c r="T283" s="13" t="str">
        <f t="shared" si="153"/>
        <v>-</v>
      </c>
      <c r="U283" s="31" t="str">
        <f t="shared" si="132"/>
        <v>-</v>
      </c>
      <c r="V283" s="6" t="str">
        <f t="shared" si="133"/>
        <v/>
      </c>
      <c r="W283" s="6" t="str">
        <f>IF(V283="","",COUNT($V$3:V283))</f>
        <v/>
      </c>
      <c r="X283" s="6" t="str">
        <f t="shared" si="140"/>
        <v/>
      </c>
      <c r="Y283" s="6" t="str">
        <f t="shared" si="141"/>
        <v/>
      </c>
      <c r="Z283" s="6" t="str">
        <f t="shared" si="142"/>
        <v/>
      </c>
      <c r="AA283" s="6" t="str">
        <f t="shared" si="143"/>
        <v/>
      </c>
      <c r="AB283" s="32" t="str">
        <f t="shared" si="134"/>
        <v/>
      </c>
      <c r="AC283" s="13" t="str">
        <f t="shared" si="144"/>
        <v>-</v>
      </c>
      <c r="AD283" s="13" t="str">
        <f t="shared" si="145"/>
        <v>-</v>
      </c>
      <c r="AE283" s="13" t="str">
        <f t="shared" si="146"/>
        <v>-</v>
      </c>
      <c r="AF283" s="13" t="str">
        <f t="shared" si="147"/>
        <v>-</v>
      </c>
      <c r="AG283" s="31" t="str">
        <f t="shared" si="135"/>
        <v>-</v>
      </c>
      <c r="AH283" s="2" t="str">
        <f t="shared" si="148"/>
        <v/>
      </c>
      <c r="AI283" s="2" t="str">
        <f>IF(AH283="","",COUNT($AH$3:AH283))</f>
        <v/>
      </c>
      <c r="AJ283" s="60" t="str">
        <f t="shared" si="149"/>
        <v/>
      </c>
    </row>
    <row r="284" spans="1:36" ht="16.5">
      <c r="A284" s="6">
        <v>282</v>
      </c>
      <c r="B284" s="9">
        <f t="shared" si="124"/>
        <v>46304</v>
      </c>
      <c r="C284" s="7">
        <f t="shared" si="125"/>
        <v>10</v>
      </c>
      <c r="D284" s="7">
        <f t="shared" si="126"/>
        <v>9</v>
      </c>
      <c r="E284" s="15">
        <f t="shared" si="127"/>
        <v>6</v>
      </c>
      <c r="F284" s="8" t="str">
        <f t="shared" si="128"/>
        <v>휴</v>
      </c>
      <c r="G284" s="58" t="s">
        <v>81</v>
      </c>
      <c r="H284" s="12" t="s">
        <v>65</v>
      </c>
      <c r="I284" s="6" t="str">
        <f t="shared" si="129"/>
        <v>휴무</v>
      </c>
      <c r="J284" s="6" t="str">
        <f t="shared" si="130"/>
        <v/>
      </c>
      <c r="K284" s="6" t="str">
        <f>IF(J284="","",COUNT($J$3:J284))</f>
        <v/>
      </c>
      <c r="L284" s="6" t="str">
        <f t="shared" si="136"/>
        <v/>
      </c>
      <c r="M284" s="6" t="str">
        <f t="shared" si="137"/>
        <v/>
      </c>
      <c r="N284" s="6" t="str">
        <f t="shared" si="138"/>
        <v/>
      </c>
      <c r="O284" s="6" t="str">
        <f t="shared" si="139"/>
        <v/>
      </c>
      <c r="P284" s="32" t="str">
        <f t="shared" si="131"/>
        <v/>
      </c>
      <c r="Q284" s="13" t="str">
        <f t="shared" si="150"/>
        <v>-</v>
      </c>
      <c r="R284" s="13" t="str">
        <f t="shared" si="151"/>
        <v>-</v>
      </c>
      <c r="S284" s="13" t="str">
        <f t="shared" si="152"/>
        <v>-</v>
      </c>
      <c r="T284" s="13" t="str">
        <f t="shared" si="153"/>
        <v>-</v>
      </c>
      <c r="U284" s="31" t="str">
        <f t="shared" si="132"/>
        <v>-</v>
      </c>
      <c r="V284" s="6" t="str">
        <f t="shared" si="133"/>
        <v/>
      </c>
      <c r="W284" s="6" t="str">
        <f>IF(V284="","",COUNT($V$3:V284))</f>
        <v/>
      </c>
      <c r="X284" s="6" t="str">
        <f t="shared" si="140"/>
        <v/>
      </c>
      <c r="Y284" s="6" t="str">
        <f t="shared" si="141"/>
        <v/>
      </c>
      <c r="Z284" s="6" t="str">
        <f t="shared" si="142"/>
        <v/>
      </c>
      <c r="AA284" s="6" t="str">
        <f t="shared" si="143"/>
        <v/>
      </c>
      <c r="AB284" s="32" t="str">
        <f t="shared" si="134"/>
        <v/>
      </c>
      <c r="AC284" s="13" t="str">
        <f t="shared" si="144"/>
        <v>-</v>
      </c>
      <c r="AD284" s="13" t="str">
        <f t="shared" si="145"/>
        <v>-</v>
      </c>
      <c r="AE284" s="13" t="str">
        <f t="shared" si="146"/>
        <v>-</v>
      </c>
      <c r="AF284" s="13" t="str">
        <f t="shared" si="147"/>
        <v>-</v>
      </c>
      <c r="AG284" s="31" t="str">
        <f t="shared" si="135"/>
        <v>-</v>
      </c>
      <c r="AH284" s="2" t="str">
        <f t="shared" si="148"/>
        <v/>
      </c>
      <c r="AI284" s="2" t="str">
        <f>IF(AH284="","",COUNT($AH$3:AH284))</f>
        <v/>
      </c>
      <c r="AJ284" s="60" t="str">
        <f t="shared" si="149"/>
        <v/>
      </c>
    </row>
    <row r="285" spans="1:36" ht="16.5">
      <c r="A285" s="6">
        <v>283</v>
      </c>
      <c r="B285" s="9">
        <f t="shared" si="124"/>
        <v>46305</v>
      </c>
      <c r="C285" s="7">
        <f t="shared" si="125"/>
        <v>10</v>
      </c>
      <c r="D285" s="7">
        <f t="shared" si="126"/>
        <v>10</v>
      </c>
      <c r="E285" s="15">
        <f t="shared" si="127"/>
        <v>7</v>
      </c>
      <c r="F285" s="8" t="str">
        <f t="shared" si="128"/>
        <v>휴</v>
      </c>
      <c r="G285" s="58"/>
      <c r="H285" s="12" t="s">
        <v>63</v>
      </c>
      <c r="I285" s="6" t="str">
        <f t="shared" si="129"/>
        <v>당직</v>
      </c>
      <c r="J285" s="6" t="str">
        <f t="shared" si="130"/>
        <v/>
      </c>
      <c r="K285" s="6" t="str">
        <f>IF(J285="","",COUNT($J$3:J285))</f>
        <v/>
      </c>
      <c r="L285" s="6" t="str">
        <f t="shared" si="136"/>
        <v/>
      </c>
      <c r="M285" s="6" t="str">
        <f t="shared" si="137"/>
        <v/>
      </c>
      <c r="N285" s="6" t="str">
        <f t="shared" si="138"/>
        <v/>
      </c>
      <c r="O285" s="6" t="str">
        <f t="shared" si="139"/>
        <v/>
      </c>
      <c r="P285" s="32" t="str">
        <f t="shared" si="131"/>
        <v/>
      </c>
      <c r="Q285" s="13" t="str">
        <f t="shared" si="150"/>
        <v>-</v>
      </c>
      <c r="R285" s="13" t="str">
        <f t="shared" si="151"/>
        <v>-</v>
      </c>
      <c r="S285" s="13" t="str">
        <f t="shared" si="152"/>
        <v>-</v>
      </c>
      <c r="T285" s="13" t="str">
        <f t="shared" si="153"/>
        <v>-</v>
      </c>
      <c r="U285" s="31" t="str">
        <f t="shared" si="132"/>
        <v>-</v>
      </c>
      <c r="V285" s="6">
        <f t="shared" si="133"/>
        <v>1</v>
      </c>
      <c r="W285" s="6">
        <f>IF(V285="","",COUNT($V$3:V285))</f>
        <v>95</v>
      </c>
      <c r="X285" s="6">
        <f t="shared" si="140"/>
        <v>1</v>
      </c>
      <c r="Y285" s="6">
        <f t="shared" si="141"/>
        <v>2</v>
      </c>
      <c r="Z285" s="6">
        <f t="shared" si="142"/>
        <v>3</v>
      </c>
      <c r="AA285" s="6">
        <f t="shared" si="143"/>
        <v>4</v>
      </c>
      <c r="AB285" s="32">
        <f t="shared" si="134"/>
        <v>0</v>
      </c>
      <c r="AC285" s="13" t="str">
        <f t="shared" si="144"/>
        <v>이기수</v>
      </c>
      <c r="AD285" s="13" t="str">
        <f t="shared" si="145"/>
        <v>박성현</v>
      </c>
      <c r="AE285" s="13" t="str">
        <f t="shared" si="146"/>
        <v>허지웅</v>
      </c>
      <c r="AF285" s="13" t="str">
        <f t="shared" si="147"/>
        <v>정윤준</v>
      </c>
      <c r="AG285" s="31" t="str">
        <f t="shared" si="135"/>
        <v>정윤준</v>
      </c>
      <c r="AH285" s="2">
        <f t="shared" si="148"/>
        <v>1</v>
      </c>
      <c r="AI285" s="2">
        <f>IF(AH285="","",COUNT($AH$3:AH285))</f>
        <v>24</v>
      </c>
      <c r="AJ285" s="60" t="str">
        <f t="shared" si="149"/>
        <v>허지웅</v>
      </c>
    </row>
    <row r="286" spans="1:36" ht="16.5">
      <c r="A286" s="6">
        <v>284</v>
      </c>
      <c r="B286" s="9">
        <f t="shared" si="124"/>
        <v>46306</v>
      </c>
      <c r="C286" s="7">
        <f t="shared" si="125"/>
        <v>10</v>
      </c>
      <c r="D286" s="7">
        <f t="shared" si="126"/>
        <v>11</v>
      </c>
      <c r="E286" s="15">
        <f t="shared" si="127"/>
        <v>1</v>
      </c>
      <c r="F286" s="8" t="str">
        <f t="shared" si="128"/>
        <v>휴</v>
      </c>
      <c r="G286" s="58"/>
      <c r="H286" s="12" t="s">
        <v>64</v>
      </c>
      <c r="I286" s="6" t="str">
        <f t="shared" si="129"/>
        <v>비번</v>
      </c>
      <c r="J286" s="6" t="str">
        <f t="shared" si="130"/>
        <v/>
      </c>
      <c r="K286" s="6" t="str">
        <f>IF(J286="","",COUNT($J$3:J286))</f>
        <v/>
      </c>
      <c r="L286" s="6" t="str">
        <f t="shared" si="136"/>
        <v/>
      </c>
      <c r="M286" s="6" t="str">
        <f t="shared" si="137"/>
        <v/>
      </c>
      <c r="N286" s="6" t="str">
        <f t="shared" si="138"/>
        <v/>
      </c>
      <c r="O286" s="6" t="str">
        <f t="shared" si="139"/>
        <v/>
      </c>
      <c r="P286" s="32" t="str">
        <f t="shared" si="131"/>
        <v/>
      </c>
      <c r="Q286" s="13" t="str">
        <f t="shared" si="150"/>
        <v>-</v>
      </c>
      <c r="R286" s="13" t="str">
        <f t="shared" si="151"/>
        <v>-</v>
      </c>
      <c r="S286" s="13" t="str">
        <f t="shared" si="152"/>
        <v>-</v>
      </c>
      <c r="T286" s="13" t="str">
        <f t="shared" si="153"/>
        <v>-</v>
      </c>
      <c r="U286" s="31" t="str">
        <f t="shared" si="132"/>
        <v>-</v>
      </c>
      <c r="V286" s="6" t="str">
        <f t="shared" si="133"/>
        <v/>
      </c>
      <c r="W286" s="6" t="str">
        <f>IF(V286="","",COUNT($V$3:V286))</f>
        <v/>
      </c>
      <c r="X286" s="6" t="str">
        <f t="shared" si="140"/>
        <v/>
      </c>
      <c r="Y286" s="6" t="str">
        <f t="shared" si="141"/>
        <v/>
      </c>
      <c r="Z286" s="6" t="str">
        <f t="shared" si="142"/>
        <v/>
      </c>
      <c r="AA286" s="6" t="str">
        <f t="shared" si="143"/>
        <v/>
      </c>
      <c r="AB286" s="32" t="str">
        <f t="shared" si="134"/>
        <v/>
      </c>
      <c r="AC286" s="13" t="str">
        <f t="shared" si="144"/>
        <v>-</v>
      </c>
      <c r="AD286" s="13" t="str">
        <f t="shared" si="145"/>
        <v>-</v>
      </c>
      <c r="AE286" s="13" t="str">
        <f t="shared" si="146"/>
        <v>-</v>
      </c>
      <c r="AF286" s="13" t="str">
        <f t="shared" si="147"/>
        <v>-</v>
      </c>
      <c r="AG286" s="31" t="str">
        <f t="shared" si="135"/>
        <v>-</v>
      </c>
      <c r="AH286" s="2" t="str">
        <f t="shared" si="148"/>
        <v/>
      </c>
      <c r="AI286" s="2" t="str">
        <f>IF(AH286="","",COUNT($AH$3:AH286))</f>
        <v/>
      </c>
      <c r="AJ286" s="60" t="str">
        <f t="shared" si="149"/>
        <v/>
      </c>
    </row>
    <row r="287" spans="1:36" ht="16.5">
      <c r="A287" s="6">
        <v>285</v>
      </c>
      <c r="B287" s="9">
        <f t="shared" si="124"/>
        <v>46307</v>
      </c>
      <c r="C287" s="7">
        <f t="shared" si="125"/>
        <v>10</v>
      </c>
      <c r="D287" s="7">
        <f t="shared" si="126"/>
        <v>12</v>
      </c>
      <c r="E287" s="15">
        <f t="shared" si="127"/>
        <v>2</v>
      </c>
      <c r="F287" s="8" t="str">
        <f t="shared" si="128"/>
        <v/>
      </c>
      <c r="G287" s="58"/>
      <c r="H287" s="12" t="s">
        <v>65</v>
      </c>
      <c r="I287" s="6" t="str">
        <f t="shared" si="129"/>
        <v>주간</v>
      </c>
      <c r="J287" s="6">
        <f t="shared" si="130"/>
        <v>1</v>
      </c>
      <c r="K287" s="6">
        <f>IF(J287="","",COUNT($J$3:J287))</f>
        <v>64</v>
      </c>
      <c r="L287" s="6">
        <f t="shared" si="136"/>
        <v>4</v>
      </c>
      <c r="M287" s="6">
        <f t="shared" si="137"/>
        <v>1</v>
      </c>
      <c r="N287" s="6">
        <f t="shared" si="138"/>
        <v>2</v>
      </c>
      <c r="O287" s="6">
        <f t="shared" si="139"/>
        <v>3</v>
      </c>
      <c r="P287" s="32">
        <f t="shared" si="131"/>
        <v>4</v>
      </c>
      <c r="Q287" s="13" t="str">
        <f t="shared" si="150"/>
        <v>정윤준</v>
      </c>
      <c r="R287" s="13" t="str">
        <f t="shared" si="151"/>
        <v>이기수</v>
      </c>
      <c r="S287" s="13" t="str">
        <f t="shared" si="152"/>
        <v>박성현</v>
      </c>
      <c r="T287" s="13" t="str">
        <f t="shared" si="153"/>
        <v>허지웅</v>
      </c>
      <c r="U287" s="31" t="e">
        <f t="shared" si="132"/>
        <v>#VALUE!</v>
      </c>
      <c r="V287" s="6" t="str">
        <f t="shared" si="133"/>
        <v/>
      </c>
      <c r="W287" s="6" t="str">
        <f>IF(V287="","",COUNT($V$3:V287))</f>
        <v/>
      </c>
      <c r="X287" s="6" t="str">
        <f t="shared" si="140"/>
        <v/>
      </c>
      <c r="Y287" s="6" t="str">
        <f t="shared" si="141"/>
        <v/>
      </c>
      <c r="Z287" s="6" t="str">
        <f t="shared" si="142"/>
        <v/>
      </c>
      <c r="AA287" s="6" t="str">
        <f t="shared" si="143"/>
        <v/>
      </c>
      <c r="AB287" s="32" t="str">
        <f t="shared" si="134"/>
        <v/>
      </c>
      <c r="AC287" s="13" t="str">
        <f t="shared" si="144"/>
        <v>-</v>
      </c>
      <c r="AD287" s="13" t="str">
        <f t="shared" si="145"/>
        <v>-</v>
      </c>
      <c r="AE287" s="13" t="str">
        <f t="shared" si="146"/>
        <v>-</v>
      </c>
      <c r="AF287" s="13" t="str">
        <f t="shared" si="147"/>
        <v>-</v>
      </c>
      <c r="AG287" s="31" t="str">
        <f t="shared" si="135"/>
        <v>-</v>
      </c>
      <c r="AH287" s="2" t="str">
        <f t="shared" si="148"/>
        <v/>
      </c>
      <c r="AI287" s="2" t="str">
        <f>IF(AH287="","",COUNT($AH$3:AH287))</f>
        <v/>
      </c>
      <c r="AJ287" s="60" t="str">
        <f t="shared" si="149"/>
        <v/>
      </c>
    </row>
    <row r="288" spans="1:36" ht="16.5">
      <c r="A288" s="6">
        <v>286</v>
      </c>
      <c r="B288" s="9">
        <f t="shared" si="124"/>
        <v>46308</v>
      </c>
      <c r="C288" s="7">
        <f t="shared" si="125"/>
        <v>10</v>
      </c>
      <c r="D288" s="7">
        <f t="shared" si="126"/>
        <v>13</v>
      </c>
      <c r="E288" s="15">
        <f t="shared" si="127"/>
        <v>3</v>
      </c>
      <c r="F288" s="8" t="str">
        <f t="shared" si="128"/>
        <v/>
      </c>
      <c r="G288" s="58"/>
      <c r="H288" s="12" t="s">
        <v>63</v>
      </c>
      <c r="I288" s="6" t="str">
        <f t="shared" si="129"/>
        <v>야간</v>
      </c>
      <c r="J288" s="6" t="str">
        <f t="shared" si="130"/>
        <v/>
      </c>
      <c r="K288" s="6" t="str">
        <f>IF(J288="","",COUNT($J$3:J288))</f>
        <v/>
      </c>
      <c r="L288" s="6" t="str">
        <f t="shared" si="136"/>
        <v/>
      </c>
      <c r="M288" s="6" t="str">
        <f t="shared" si="137"/>
        <v/>
      </c>
      <c r="N288" s="6" t="str">
        <f t="shared" si="138"/>
        <v/>
      </c>
      <c r="O288" s="6" t="str">
        <f t="shared" si="139"/>
        <v/>
      </c>
      <c r="P288" s="32" t="str">
        <f t="shared" si="131"/>
        <v/>
      </c>
      <c r="Q288" s="13" t="str">
        <f t="shared" si="150"/>
        <v>-</v>
      </c>
      <c r="R288" s="13" t="str">
        <f t="shared" si="151"/>
        <v>-</v>
      </c>
      <c r="S288" s="13" t="str">
        <f t="shared" si="152"/>
        <v>-</v>
      </c>
      <c r="T288" s="13" t="str">
        <f t="shared" si="153"/>
        <v>-</v>
      </c>
      <c r="U288" s="31" t="str">
        <f t="shared" si="132"/>
        <v>-</v>
      </c>
      <c r="V288" s="6">
        <f t="shared" si="133"/>
        <v>1</v>
      </c>
      <c r="W288" s="6">
        <f>IF(V288="","",COUNT($V$3:V288))</f>
        <v>96</v>
      </c>
      <c r="X288" s="6">
        <f t="shared" si="140"/>
        <v>4</v>
      </c>
      <c r="Y288" s="6">
        <f t="shared" si="141"/>
        <v>1</v>
      </c>
      <c r="Z288" s="6">
        <f t="shared" si="142"/>
        <v>2</v>
      </c>
      <c r="AA288" s="6">
        <f t="shared" si="143"/>
        <v>3</v>
      </c>
      <c r="AB288" s="32">
        <f t="shared" si="134"/>
        <v>1</v>
      </c>
      <c r="AC288" s="13" t="str">
        <f t="shared" si="144"/>
        <v>정윤준</v>
      </c>
      <c r="AD288" s="13" t="str">
        <f t="shared" si="145"/>
        <v>이기수</v>
      </c>
      <c r="AE288" s="13" t="str">
        <f t="shared" si="146"/>
        <v>박성현</v>
      </c>
      <c r="AF288" s="13" t="str">
        <f t="shared" si="147"/>
        <v>허지웅</v>
      </c>
      <c r="AG288" s="31" t="str">
        <f t="shared" si="135"/>
        <v>허지웅</v>
      </c>
      <c r="AH288" s="2" t="str">
        <f t="shared" si="148"/>
        <v/>
      </c>
      <c r="AI288" s="2" t="str">
        <f>IF(AH288="","",COUNT($AH$3:AH288))</f>
        <v/>
      </c>
      <c r="AJ288" s="60" t="str">
        <f t="shared" si="149"/>
        <v/>
      </c>
    </row>
    <row r="289" spans="1:36" ht="16.5">
      <c r="A289" s="6">
        <v>287</v>
      </c>
      <c r="B289" s="9">
        <f t="shared" si="124"/>
        <v>46309</v>
      </c>
      <c r="C289" s="7">
        <f t="shared" si="125"/>
        <v>10</v>
      </c>
      <c r="D289" s="7">
        <f t="shared" si="126"/>
        <v>14</v>
      </c>
      <c r="E289" s="15">
        <f t="shared" si="127"/>
        <v>4</v>
      </c>
      <c r="F289" s="8" t="str">
        <f t="shared" si="128"/>
        <v/>
      </c>
      <c r="G289" s="58"/>
      <c r="H289" s="12" t="s">
        <v>64</v>
      </c>
      <c r="I289" s="6" t="str">
        <f t="shared" si="129"/>
        <v>비번</v>
      </c>
      <c r="J289" s="6" t="str">
        <f t="shared" si="130"/>
        <v/>
      </c>
      <c r="K289" s="6" t="str">
        <f>IF(J289="","",COUNT($J$3:J289))</f>
        <v/>
      </c>
      <c r="L289" s="6" t="str">
        <f t="shared" si="136"/>
        <v/>
      </c>
      <c r="M289" s="6" t="str">
        <f t="shared" si="137"/>
        <v/>
      </c>
      <c r="N289" s="6" t="str">
        <f t="shared" si="138"/>
        <v/>
      </c>
      <c r="O289" s="6" t="str">
        <f t="shared" si="139"/>
        <v/>
      </c>
      <c r="P289" s="32" t="str">
        <f t="shared" si="131"/>
        <v/>
      </c>
      <c r="Q289" s="13" t="str">
        <f t="shared" si="150"/>
        <v>-</v>
      </c>
      <c r="R289" s="13" t="str">
        <f t="shared" si="151"/>
        <v>-</v>
      </c>
      <c r="S289" s="13" t="str">
        <f t="shared" si="152"/>
        <v>-</v>
      </c>
      <c r="T289" s="13" t="str">
        <f t="shared" si="153"/>
        <v>-</v>
      </c>
      <c r="U289" s="31" t="str">
        <f t="shared" si="132"/>
        <v>-</v>
      </c>
      <c r="V289" s="6" t="str">
        <f t="shared" si="133"/>
        <v/>
      </c>
      <c r="W289" s="6" t="str">
        <f>IF(V289="","",COUNT($V$3:V289))</f>
        <v/>
      </c>
      <c r="X289" s="6" t="str">
        <f t="shared" si="140"/>
        <v/>
      </c>
      <c r="Y289" s="6" t="str">
        <f t="shared" si="141"/>
        <v/>
      </c>
      <c r="Z289" s="6" t="str">
        <f t="shared" si="142"/>
        <v/>
      </c>
      <c r="AA289" s="6" t="str">
        <f t="shared" si="143"/>
        <v/>
      </c>
      <c r="AB289" s="32" t="str">
        <f t="shared" si="134"/>
        <v/>
      </c>
      <c r="AC289" s="13" t="str">
        <f t="shared" si="144"/>
        <v>-</v>
      </c>
      <c r="AD289" s="13" t="str">
        <f t="shared" si="145"/>
        <v>-</v>
      </c>
      <c r="AE289" s="13" t="str">
        <f t="shared" si="146"/>
        <v>-</v>
      </c>
      <c r="AF289" s="13" t="str">
        <f t="shared" si="147"/>
        <v>-</v>
      </c>
      <c r="AG289" s="31" t="str">
        <f t="shared" si="135"/>
        <v>-</v>
      </c>
      <c r="AH289" s="2" t="str">
        <f t="shared" si="148"/>
        <v/>
      </c>
      <c r="AI289" s="2" t="str">
        <f>IF(AH289="","",COUNT($AH$3:AH289))</f>
        <v/>
      </c>
      <c r="AJ289" s="60" t="str">
        <f t="shared" si="149"/>
        <v/>
      </c>
    </row>
    <row r="290" spans="1:36" ht="16.5">
      <c r="A290" s="6">
        <v>288</v>
      </c>
      <c r="B290" s="9">
        <f t="shared" si="124"/>
        <v>46310</v>
      </c>
      <c r="C290" s="7">
        <f t="shared" si="125"/>
        <v>10</v>
      </c>
      <c r="D290" s="7">
        <f t="shared" si="126"/>
        <v>15</v>
      </c>
      <c r="E290" s="15">
        <f t="shared" si="127"/>
        <v>5</v>
      </c>
      <c r="F290" s="8" t="str">
        <f t="shared" si="128"/>
        <v/>
      </c>
      <c r="G290" s="58"/>
      <c r="H290" s="12" t="s">
        <v>65</v>
      </c>
      <c r="I290" s="6" t="str">
        <f t="shared" si="129"/>
        <v>주간</v>
      </c>
      <c r="J290" s="6">
        <f t="shared" si="130"/>
        <v>1</v>
      </c>
      <c r="K290" s="6">
        <f>IF(J290="","",COUNT($J$3:J290))</f>
        <v>65</v>
      </c>
      <c r="L290" s="6">
        <f t="shared" si="136"/>
        <v>3</v>
      </c>
      <c r="M290" s="6">
        <f t="shared" si="137"/>
        <v>4</v>
      </c>
      <c r="N290" s="6">
        <f t="shared" si="138"/>
        <v>1</v>
      </c>
      <c r="O290" s="6">
        <f t="shared" si="139"/>
        <v>2</v>
      </c>
      <c r="P290" s="32">
        <f t="shared" si="131"/>
        <v>0</v>
      </c>
      <c r="Q290" s="13" t="str">
        <f t="shared" si="150"/>
        <v>허지웅</v>
      </c>
      <c r="R290" s="13" t="str">
        <f t="shared" si="151"/>
        <v>정윤준</v>
      </c>
      <c r="S290" s="13" t="str">
        <f t="shared" si="152"/>
        <v>이기수</v>
      </c>
      <c r="T290" s="13" t="str">
        <f t="shared" si="153"/>
        <v>박성현</v>
      </c>
      <c r="U290" s="31" t="str">
        <f t="shared" si="132"/>
        <v>장혁진</v>
      </c>
      <c r="V290" s="6" t="str">
        <f t="shared" si="133"/>
        <v/>
      </c>
      <c r="W290" s="6" t="str">
        <f>IF(V290="","",COUNT($V$3:V290))</f>
        <v/>
      </c>
      <c r="X290" s="6" t="str">
        <f t="shared" si="140"/>
        <v/>
      </c>
      <c r="Y290" s="6" t="str">
        <f t="shared" si="141"/>
        <v/>
      </c>
      <c r="Z290" s="6" t="str">
        <f t="shared" si="142"/>
        <v/>
      </c>
      <c r="AA290" s="6" t="str">
        <f t="shared" si="143"/>
        <v/>
      </c>
      <c r="AB290" s="32" t="str">
        <f t="shared" si="134"/>
        <v/>
      </c>
      <c r="AC290" s="13" t="str">
        <f t="shared" si="144"/>
        <v>-</v>
      </c>
      <c r="AD290" s="13" t="str">
        <f t="shared" si="145"/>
        <v>-</v>
      </c>
      <c r="AE290" s="13" t="str">
        <f t="shared" si="146"/>
        <v>-</v>
      </c>
      <c r="AF290" s="13" t="str">
        <f t="shared" si="147"/>
        <v>-</v>
      </c>
      <c r="AG290" s="31" t="str">
        <f t="shared" si="135"/>
        <v>-</v>
      </c>
      <c r="AH290" s="2" t="str">
        <f t="shared" si="148"/>
        <v/>
      </c>
      <c r="AI290" s="2" t="str">
        <f>IF(AH290="","",COUNT($AH$3:AH290))</f>
        <v/>
      </c>
      <c r="AJ290" s="60" t="str">
        <f t="shared" si="149"/>
        <v/>
      </c>
    </row>
    <row r="291" spans="1:36" ht="16.5">
      <c r="A291" s="6">
        <v>289</v>
      </c>
      <c r="B291" s="9">
        <f t="shared" si="124"/>
        <v>46311</v>
      </c>
      <c r="C291" s="7">
        <f t="shared" si="125"/>
        <v>10</v>
      </c>
      <c r="D291" s="7">
        <f t="shared" si="126"/>
        <v>16</v>
      </c>
      <c r="E291" s="15">
        <f t="shared" si="127"/>
        <v>6</v>
      </c>
      <c r="F291" s="8" t="str">
        <f t="shared" si="128"/>
        <v/>
      </c>
      <c r="G291" s="58"/>
      <c r="H291" s="12" t="s">
        <v>63</v>
      </c>
      <c r="I291" s="6" t="str">
        <f t="shared" si="129"/>
        <v>야간</v>
      </c>
      <c r="J291" s="6" t="str">
        <f t="shared" si="130"/>
        <v/>
      </c>
      <c r="K291" s="6" t="str">
        <f>IF(J291="","",COUNT($J$3:J291))</f>
        <v/>
      </c>
      <c r="L291" s="6" t="str">
        <f t="shared" si="136"/>
        <v/>
      </c>
      <c r="M291" s="6" t="str">
        <f t="shared" si="137"/>
        <v/>
      </c>
      <c r="N291" s="6" t="str">
        <f t="shared" si="138"/>
        <v/>
      </c>
      <c r="O291" s="6" t="str">
        <f t="shared" si="139"/>
        <v/>
      </c>
      <c r="P291" s="32" t="str">
        <f t="shared" si="131"/>
        <v/>
      </c>
      <c r="Q291" s="13" t="str">
        <f t="shared" si="150"/>
        <v>-</v>
      </c>
      <c r="R291" s="13" t="str">
        <f t="shared" si="151"/>
        <v>-</v>
      </c>
      <c r="S291" s="13" t="str">
        <f t="shared" si="152"/>
        <v>-</v>
      </c>
      <c r="T291" s="13" t="str">
        <f t="shared" si="153"/>
        <v>-</v>
      </c>
      <c r="U291" s="31" t="str">
        <f t="shared" si="132"/>
        <v>-</v>
      </c>
      <c r="V291" s="6">
        <f t="shared" si="133"/>
        <v>1</v>
      </c>
      <c r="W291" s="6">
        <f>IF(V291="","",COUNT($V$3:V291))</f>
        <v>97</v>
      </c>
      <c r="X291" s="6">
        <f t="shared" si="140"/>
        <v>3</v>
      </c>
      <c r="Y291" s="6">
        <f t="shared" si="141"/>
        <v>4</v>
      </c>
      <c r="Z291" s="6">
        <f t="shared" si="142"/>
        <v>1</v>
      </c>
      <c r="AA291" s="6">
        <f t="shared" si="143"/>
        <v>2</v>
      </c>
      <c r="AB291" s="32">
        <f t="shared" si="134"/>
        <v>2</v>
      </c>
      <c r="AC291" s="13" t="str">
        <f t="shared" si="144"/>
        <v>허지웅</v>
      </c>
      <c r="AD291" s="13" t="str">
        <f t="shared" si="145"/>
        <v>정윤준</v>
      </c>
      <c r="AE291" s="13" t="str">
        <f t="shared" si="146"/>
        <v>이기수</v>
      </c>
      <c r="AF291" s="13" t="str">
        <f t="shared" si="147"/>
        <v>박성현</v>
      </c>
      <c r="AG291" s="31" t="str">
        <f t="shared" si="135"/>
        <v>장혁진</v>
      </c>
      <c r="AH291" s="2" t="str">
        <f t="shared" si="148"/>
        <v/>
      </c>
      <c r="AI291" s="2" t="str">
        <f>IF(AH291="","",COUNT($AH$3:AH291))</f>
        <v/>
      </c>
      <c r="AJ291" s="60" t="str">
        <f t="shared" si="149"/>
        <v/>
      </c>
    </row>
    <row r="292" spans="1:36" ht="16.5">
      <c r="A292" s="6">
        <v>290</v>
      </c>
      <c r="B292" s="9">
        <f t="shared" si="124"/>
        <v>46312</v>
      </c>
      <c r="C292" s="7">
        <f t="shared" si="125"/>
        <v>10</v>
      </c>
      <c r="D292" s="7">
        <f t="shared" si="126"/>
        <v>17</v>
      </c>
      <c r="E292" s="15">
        <f t="shared" si="127"/>
        <v>7</v>
      </c>
      <c r="F292" s="8" t="str">
        <f t="shared" si="128"/>
        <v>휴</v>
      </c>
      <c r="G292" s="58"/>
      <c r="H292" s="12" t="s">
        <v>64</v>
      </c>
      <c r="I292" s="6" t="str">
        <f t="shared" si="129"/>
        <v>비번</v>
      </c>
      <c r="J292" s="6" t="str">
        <f t="shared" si="130"/>
        <v/>
      </c>
      <c r="K292" s="6" t="str">
        <f>IF(J292="","",COUNT($J$3:J292))</f>
        <v/>
      </c>
      <c r="L292" s="6" t="str">
        <f t="shared" si="136"/>
        <v/>
      </c>
      <c r="M292" s="6" t="str">
        <f t="shared" si="137"/>
        <v/>
      </c>
      <c r="N292" s="6" t="str">
        <f t="shared" si="138"/>
        <v/>
      </c>
      <c r="O292" s="6" t="str">
        <f t="shared" si="139"/>
        <v/>
      </c>
      <c r="P292" s="32" t="str">
        <f t="shared" si="131"/>
        <v/>
      </c>
      <c r="Q292" s="13" t="str">
        <f t="shared" si="150"/>
        <v>-</v>
      </c>
      <c r="R292" s="13" t="str">
        <f t="shared" si="151"/>
        <v>-</v>
      </c>
      <c r="S292" s="13" t="str">
        <f t="shared" si="152"/>
        <v>-</v>
      </c>
      <c r="T292" s="13" t="str">
        <f t="shared" si="153"/>
        <v>-</v>
      </c>
      <c r="U292" s="31" t="str">
        <f t="shared" si="132"/>
        <v>-</v>
      </c>
      <c r="V292" s="6" t="str">
        <f t="shared" si="133"/>
        <v/>
      </c>
      <c r="W292" s="6" t="str">
        <f>IF(V292="","",COUNT($V$3:V292))</f>
        <v/>
      </c>
      <c r="X292" s="6" t="str">
        <f t="shared" si="140"/>
        <v/>
      </c>
      <c r="Y292" s="6" t="str">
        <f t="shared" si="141"/>
        <v/>
      </c>
      <c r="Z292" s="6" t="str">
        <f t="shared" si="142"/>
        <v/>
      </c>
      <c r="AA292" s="6" t="str">
        <f t="shared" si="143"/>
        <v/>
      </c>
      <c r="AB292" s="32" t="str">
        <f t="shared" si="134"/>
        <v/>
      </c>
      <c r="AC292" s="13" t="str">
        <f t="shared" si="144"/>
        <v>-</v>
      </c>
      <c r="AD292" s="13" t="str">
        <f t="shared" si="145"/>
        <v>-</v>
      </c>
      <c r="AE292" s="13" t="str">
        <f t="shared" si="146"/>
        <v>-</v>
      </c>
      <c r="AF292" s="13" t="str">
        <f t="shared" si="147"/>
        <v>-</v>
      </c>
      <c r="AG292" s="31" t="str">
        <f t="shared" si="135"/>
        <v>-</v>
      </c>
      <c r="AH292" s="2" t="str">
        <f t="shared" si="148"/>
        <v/>
      </c>
      <c r="AI292" s="2" t="str">
        <f>IF(AH292="","",COUNT($AH$3:AH292))</f>
        <v/>
      </c>
      <c r="AJ292" s="60" t="str">
        <f t="shared" si="149"/>
        <v/>
      </c>
    </row>
    <row r="293" spans="1:36" ht="16.5">
      <c r="A293" s="6">
        <v>291</v>
      </c>
      <c r="B293" s="9">
        <f t="shared" si="124"/>
        <v>46313</v>
      </c>
      <c r="C293" s="7">
        <f t="shared" si="125"/>
        <v>10</v>
      </c>
      <c r="D293" s="7">
        <f t="shared" si="126"/>
        <v>18</v>
      </c>
      <c r="E293" s="15">
        <f t="shared" si="127"/>
        <v>1</v>
      </c>
      <c r="F293" s="8" t="str">
        <f t="shared" si="128"/>
        <v>휴</v>
      </c>
      <c r="G293" s="58"/>
      <c r="H293" s="12" t="s">
        <v>65</v>
      </c>
      <c r="I293" s="6" t="str">
        <f t="shared" si="129"/>
        <v>휴무</v>
      </c>
      <c r="J293" s="6" t="str">
        <f t="shared" si="130"/>
        <v/>
      </c>
      <c r="K293" s="6" t="str">
        <f>IF(J293="","",COUNT($J$3:J293))</f>
        <v/>
      </c>
      <c r="L293" s="6" t="str">
        <f t="shared" si="136"/>
        <v/>
      </c>
      <c r="M293" s="6" t="str">
        <f t="shared" si="137"/>
        <v/>
      </c>
      <c r="N293" s="6" t="str">
        <f t="shared" si="138"/>
        <v/>
      </c>
      <c r="O293" s="6" t="str">
        <f t="shared" si="139"/>
        <v/>
      </c>
      <c r="P293" s="32" t="str">
        <f t="shared" si="131"/>
        <v/>
      </c>
      <c r="Q293" s="13" t="str">
        <f t="shared" si="150"/>
        <v>-</v>
      </c>
      <c r="R293" s="13" t="str">
        <f t="shared" si="151"/>
        <v>-</v>
      </c>
      <c r="S293" s="13" t="str">
        <f t="shared" si="152"/>
        <v>-</v>
      </c>
      <c r="T293" s="13" t="str">
        <f t="shared" si="153"/>
        <v>-</v>
      </c>
      <c r="U293" s="31" t="str">
        <f t="shared" si="132"/>
        <v>-</v>
      </c>
      <c r="V293" s="6" t="str">
        <f t="shared" si="133"/>
        <v/>
      </c>
      <c r="W293" s="6" t="str">
        <f>IF(V293="","",COUNT($V$3:V293))</f>
        <v/>
      </c>
      <c r="X293" s="6" t="str">
        <f t="shared" si="140"/>
        <v/>
      </c>
      <c r="Y293" s="6" t="str">
        <f t="shared" si="141"/>
        <v/>
      </c>
      <c r="Z293" s="6" t="str">
        <f t="shared" si="142"/>
        <v/>
      </c>
      <c r="AA293" s="6" t="str">
        <f t="shared" si="143"/>
        <v/>
      </c>
      <c r="AB293" s="32" t="str">
        <f t="shared" si="134"/>
        <v/>
      </c>
      <c r="AC293" s="13" t="str">
        <f t="shared" si="144"/>
        <v>-</v>
      </c>
      <c r="AD293" s="13" t="str">
        <f t="shared" si="145"/>
        <v>-</v>
      </c>
      <c r="AE293" s="13" t="str">
        <f t="shared" si="146"/>
        <v>-</v>
      </c>
      <c r="AF293" s="13" t="str">
        <f t="shared" si="147"/>
        <v>-</v>
      </c>
      <c r="AG293" s="31" t="str">
        <f t="shared" si="135"/>
        <v>-</v>
      </c>
      <c r="AH293" s="2" t="str">
        <f t="shared" si="148"/>
        <v/>
      </c>
      <c r="AI293" s="2" t="str">
        <f>IF(AH293="","",COUNT($AH$3:AH293))</f>
        <v/>
      </c>
      <c r="AJ293" s="60" t="str">
        <f t="shared" si="149"/>
        <v/>
      </c>
    </row>
    <row r="294" spans="1:36" ht="16.5">
      <c r="A294" s="6">
        <v>292</v>
      </c>
      <c r="B294" s="9">
        <f t="shared" si="124"/>
        <v>46314</v>
      </c>
      <c r="C294" s="7">
        <f t="shared" si="125"/>
        <v>10</v>
      </c>
      <c r="D294" s="7">
        <f t="shared" si="126"/>
        <v>19</v>
      </c>
      <c r="E294" s="15">
        <f t="shared" si="127"/>
        <v>2</v>
      </c>
      <c r="F294" s="8" t="str">
        <f t="shared" si="128"/>
        <v/>
      </c>
      <c r="G294" s="58"/>
      <c r="H294" s="12" t="s">
        <v>63</v>
      </c>
      <c r="I294" s="6" t="str">
        <f t="shared" si="129"/>
        <v>야간</v>
      </c>
      <c r="J294" s="6" t="str">
        <f t="shared" si="130"/>
        <v/>
      </c>
      <c r="K294" s="6" t="str">
        <f>IF(J294="","",COUNT($J$3:J294))</f>
        <v/>
      </c>
      <c r="L294" s="6" t="str">
        <f t="shared" si="136"/>
        <v/>
      </c>
      <c r="M294" s="6" t="str">
        <f t="shared" si="137"/>
        <v/>
      </c>
      <c r="N294" s="6" t="str">
        <f t="shared" si="138"/>
        <v/>
      </c>
      <c r="O294" s="6" t="str">
        <f t="shared" si="139"/>
        <v/>
      </c>
      <c r="P294" s="32" t="str">
        <f t="shared" si="131"/>
        <v/>
      </c>
      <c r="Q294" s="13" t="str">
        <f t="shared" si="150"/>
        <v>-</v>
      </c>
      <c r="R294" s="13" t="str">
        <f t="shared" si="151"/>
        <v>-</v>
      </c>
      <c r="S294" s="13" t="str">
        <f t="shared" si="152"/>
        <v>-</v>
      </c>
      <c r="T294" s="13" t="str">
        <f t="shared" si="153"/>
        <v>-</v>
      </c>
      <c r="U294" s="31" t="str">
        <f t="shared" si="132"/>
        <v>-</v>
      </c>
      <c r="V294" s="6">
        <f t="shared" si="133"/>
        <v>1</v>
      </c>
      <c r="W294" s="6">
        <f>IF(V294="","",COUNT($V$3:V294))</f>
        <v>98</v>
      </c>
      <c r="X294" s="6">
        <f t="shared" si="140"/>
        <v>2</v>
      </c>
      <c r="Y294" s="6">
        <f t="shared" si="141"/>
        <v>3</v>
      </c>
      <c r="Z294" s="6">
        <f t="shared" si="142"/>
        <v>4</v>
      </c>
      <c r="AA294" s="6">
        <f t="shared" si="143"/>
        <v>1</v>
      </c>
      <c r="AB294" s="32">
        <f t="shared" si="134"/>
        <v>3</v>
      </c>
      <c r="AC294" s="13" t="str">
        <f t="shared" si="144"/>
        <v>박성현</v>
      </c>
      <c r="AD294" s="13" t="str">
        <f t="shared" si="145"/>
        <v>허지웅</v>
      </c>
      <c r="AE294" s="13" t="str">
        <f t="shared" si="146"/>
        <v>정윤준</v>
      </c>
      <c r="AF294" s="13" t="str">
        <f t="shared" si="147"/>
        <v>이기수</v>
      </c>
      <c r="AG294" s="31" t="str">
        <f t="shared" si="135"/>
        <v>이기수</v>
      </c>
      <c r="AH294" s="2" t="str">
        <f t="shared" si="148"/>
        <v/>
      </c>
      <c r="AI294" s="2" t="str">
        <f>IF(AH294="","",COUNT($AH$3:AH294))</f>
        <v/>
      </c>
      <c r="AJ294" s="60" t="str">
        <f t="shared" si="149"/>
        <v/>
      </c>
    </row>
    <row r="295" spans="1:36" ht="16.5">
      <c r="A295" s="6">
        <v>293</v>
      </c>
      <c r="B295" s="9">
        <f t="shared" si="124"/>
        <v>46315</v>
      </c>
      <c r="C295" s="7">
        <f t="shared" si="125"/>
        <v>10</v>
      </c>
      <c r="D295" s="7">
        <f t="shared" si="126"/>
        <v>20</v>
      </c>
      <c r="E295" s="15">
        <f t="shared" si="127"/>
        <v>3</v>
      </c>
      <c r="F295" s="8" t="str">
        <f t="shared" si="128"/>
        <v/>
      </c>
      <c r="G295" s="58"/>
      <c r="H295" s="12" t="s">
        <v>64</v>
      </c>
      <c r="I295" s="6" t="str">
        <f t="shared" si="129"/>
        <v>비번</v>
      </c>
      <c r="J295" s="6" t="str">
        <f t="shared" si="130"/>
        <v/>
      </c>
      <c r="K295" s="6" t="str">
        <f>IF(J295="","",COUNT($J$3:J295))</f>
        <v/>
      </c>
      <c r="L295" s="6" t="str">
        <f t="shared" si="136"/>
        <v/>
      </c>
      <c r="M295" s="6" t="str">
        <f t="shared" si="137"/>
        <v/>
      </c>
      <c r="N295" s="6" t="str">
        <f t="shared" si="138"/>
        <v/>
      </c>
      <c r="O295" s="6" t="str">
        <f t="shared" si="139"/>
        <v/>
      </c>
      <c r="P295" s="32" t="str">
        <f t="shared" si="131"/>
        <v/>
      </c>
      <c r="Q295" s="13" t="str">
        <f t="shared" si="150"/>
        <v>-</v>
      </c>
      <c r="R295" s="13" t="str">
        <f t="shared" si="151"/>
        <v>-</v>
      </c>
      <c r="S295" s="13" t="str">
        <f t="shared" si="152"/>
        <v>-</v>
      </c>
      <c r="T295" s="13" t="str">
        <f t="shared" si="153"/>
        <v>-</v>
      </c>
      <c r="U295" s="31" t="str">
        <f t="shared" si="132"/>
        <v>-</v>
      </c>
      <c r="V295" s="6" t="str">
        <f t="shared" si="133"/>
        <v/>
      </c>
      <c r="W295" s="6" t="str">
        <f>IF(V295="","",COUNT($V$3:V295))</f>
        <v/>
      </c>
      <c r="X295" s="6" t="str">
        <f t="shared" si="140"/>
        <v/>
      </c>
      <c r="Y295" s="6" t="str">
        <f t="shared" si="141"/>
        <v/>
      </c>
      <c r="Z295" s="6" t="str">
        <f t="shared" si="142"/>
        <v/>
      </c>
      <c r="AA295" s="6" t="str">
        <f t="shared" si="143"/>
        <v/>
      </c>
      <c r="AB295" s="32" t="str">
        <f t="shared" si="134"/>
        <v/>
      </c>
      <c r="AC295" s="13" t="str">
        <f t="shared" si="144"/>
        <v>-</v>
      </c>
      <c r="AD295" s="13" t="str">
        <f t="shared" si="145"/>
        <v>-</v>
      </c>
      <c r="AE295" s="13" t="str">
        <f t="shared" si="146"/>
        <v>-</v>
      </c>
      <c r="AF295" s="13" t="str">
        <f t="shared" si="147"/>
        <v>-</v>
      </c>
      <c r="AG295" s="31" t="str">
        <f t="shared" si="135"/>
        <v>-</v>
      </c>
      <c r="AH295" s="2" t="str">
        <f t="shared" si="148"/>
        <v/>
      </c>
      <c r="AI295" s="2" t="str">
        <f>IF(AH295="","",COUNT($AH$3:AH295))</f>
        <v/>
      </c>
      <c r="AJ295" s="60" t="str">
        <f t="shared" si="149"/>
        <v/>
      </c>
    </row>
    <row r="296" spans="1:36" ht="16.5">
      <c r="A296" s="6">
        <v>294</v>
      </c>
      <c r="B296" s="9">
        <f t="shared" si="124"/>
        <v>46316</v>
      </c>
      <c r="C296" s="7">
        <f t="shared" si="125"/>
        <v>10</v>
      </c>
      <c r="D296" s="7">
        <f t="shared" si="126"/>
        <v>21</v>
      </c>
      <c r="E296" s="15">
        <f t="shared" si="127"/>
        <v>4</v>
      </c>
      <c r="F296" s="8" t="str">
        <f t="shared" si="128"/>
        <v/>
      </c>
      <c r="G296" s="58"/>
      <c r="H296" s="12" t="s">
        <v>65</v>
      </c>
      <c r="I296" s="6" t="str">
        <f t="shared" si="129"/>
        <v>주간</v>
      </c>
      <c r="J296" s="6">
        <f t="shared" si="130"/>
        <v>1</v>
      </c>
      <c r="K296" s="6">
        <f>IF(J296="","",COUNT($J$3:J296))</f>
        <v>66</v>
      </c>
      <c r="L296" s="6">
        <f t="shared" si="136"/>
        <v>2</v>
      </c>
      <c r="M296" s="6">
        <f t="shared" si="137"/>
        <v>3</v>
      </c>
      <c r="N296" s="6">
        <f t="shared" si="138"/>
        <v>4</v>
      </c>
      <c r="O296" s="6">
        <f t="shared" si="139"/>
        <v>1</v>
      </c>
      <c r="P296" s="32">
        <f t="shared" si="131"/>
        <v>1</v>
      </c>
      <c r="Q296" s="13" t="str">
        <f t="shared" si="150"/>
        <v>박성현</v>
      </c>
      <c r="R296" s="13" t="str">
        <f t="shared" si="151"/>
        <v>허지웅</v>
      </c>
      <c r="S296" s="13" t="str">
        <f t="shared" si="152"/>
        <v>정윤준</v>
      </c>
      <c r="T296" s="13" t="str">
        <f t="shared" si="153"/>
        <v>이기수</v>
      </c>
      <c r="U296" s="31" t="str">
        <f t="shared" si="132"/>
        <v>이기수</v>
      </c>
      <c r="V296" s="6" t="str">
        <f t="shared" si="133"/>
        <v/>
      </c>
      <c r="W296" s="6" t="str">
        <f>IF(V296="","",COUNT($V$3:V296))</f>
        <v/>
      </c>
      <c r="X296" s="6" t="str">
        <f t="shared" si="140"/>
        <v/>
      </c>
      <c r="Y296" s="6" t="str">
        <f t="shared" si="141"/>
        <v/>
      </c>
      <c r="Z296" s="6" t="str">
        <f t="shared" si="142"/>
        <v/>
      </c>
      <c r="AA296" s="6" t="str">
        <f t="shared" si="143"/>
        <v/>
      </c>
      <c r="AB296" s="32" t="str">
        <f t="shared" si="134"/>
        <v/>
      </c>
      <c r="AC296" s="13" t="str">
        <f t="shared" si="144"/>
        <v>-</v>
      </c>
      <c r="AD296" s="13" t="str">
        <f t="shared" si="145"/>
        <v>-</v>
      </c>
      <c r="AE296" s="13" t="str">
        <f t="shared" si="146"/>
        <v>-</v>
      </c>
      <c r="AF296" s="13" t="str">
        <f t="shared" si="147"/>
        <v>-</v>
      </c>
      <c r="AG296" s="31" t="str">
        <f t="shared" si="135"/>
        <v>-</v>
      </c>
      <c r="AH296" s="2" t="str">
        <f t="shared" si="148"/>
        <v/>
      </c>
      <c r="AI296" s="2" t="str">
        <f>IF(AH296="","",COUNT($AH$3:AH296))</f>
        <v/>
      </c>
      <c r="AJ296" s="60" t="str">
        <f t="shared" si="149"/>
        <v/>
      </c>
    </row>
    <row r="297" spans="1:36" ht="16.5">
      <c r="A297" s="6">
        <v>295</v>
      </c>
      <c r="B297" s="9">
        <f t="shared" si="124"/>
        <v>46317</v>
      </c>
      <c r="C297" s="7">
        <f t="shared" si="125"/>
        <v>10</v>
      </c>
      <c r="D297" s="7">
        <f t="shared" si="126"/>
        <v>22</v>
      </c>
      <c r="E297" s="15">
        <f t="shared" si="127"/>
        <v>5</v>
      </c>
      <c r="F297" s="8" t="str">
        <f t="shared" si="128"/>
        <v/>
      </c>
      <c r="G297" s="58"/>
      <c r="H297" s="12" t="s">
        <v>63</v>
      </c>
      <c r="I297" s="6" t="str">
        <f t="shared" si="129"/>
        <v>야간</v>
      </c>
      <c r="J297" s="6" t="str">
        <f t="shared" si="130"/>
        <v/>
      </c>
      <c r="K297" s="6" t="str">
        <f>IF(J297="","",COUNT($J$3:J297))</f>
        <v/>
      </c>
      <c r="L297" s="6" t="str">
        <f t="shared" si="136"/>
        <v/>
      </c>
      <c r="M297" s="6" t="str">
        <f t="shared" si="137"/>
        <v/>
      </c>
      <c r="N297" s="6" t="str">
        <f t="shared" si="138"/>
        <v/>
      </c>
      <c r="O297" s="6" t="str">
        <f t="shared" si="139"/>
        <v/>
      </c>
      <c r="P297" s="32" t="str">
        <f t="shared" si="131"/>
        <v/>
      </c>
      <c r="Q297" s="13" t="str">
        <f t="shared" si="150"/>
        <v>-</v>
      </c>
      <c r="R297" s="13" t="str">
        <f t="shared" si="151"/>
        <v>-</v>
      </c>
      <c r="S297" s="13" t="str">
        <f t="shared" si="152"/>
        <v>-</v>
      </c>
      <c r="T297" s="13" t="str">
        <f t="shared" si="153"/>
        <v>-</v>
      </c>
      <c r="U297" s="31" t="str">
        <f t="shared" si="132"/>
        <v>-</v>
      </c>
      <c r="V297" s="6">
        <f t="shared" si="133"/>
        <v>1</v>
      </c>
      <c r="W297" s="6">
        <f>IF(V297="","",COUNT($V$3:V297))</f>
        <v>99</v>
      </c>
      <c r="X297" s="6">
        <f t="shared" si="140"/>
        <v>1</v>
      </c>
      <c r="Y297" s="6">
        <f t="shared" si="141"/>
        <v>2</v>
      </c>
      <c r="Z297" s="6">
        <f t="shared" si="142"/>
        <v>3</v>
      </c>
      <c r="AA297" s="6">
        <f t="shared" si="143"/>
        <v>4</v>
      </c>
      <c r="AB297" s="32">
        <f t="shared" si="134"/>
        <v>4</v>
      </c>
      <c r="AC297" s="13" t="str">
        <f t="shared" si="144"/>
        <v>이기수</v>
      </c>
      <c r="AD297" s="13" t="str">
        <f t="shared" si="145"/>
        <v>박성현</v>
      </c>
      <c r="AE297" s="13" t="str">
        <f t="shared" si="146"/>
        <v>허지웅</v>
      </c>
      <c r="AF297" s="13" t="str">
        <f t="shared" si="147"/>
        <v>정윤준</v>
      </c>
      <c r="AG297" s="31" t="e">
        <f t="shared" si="135"/>
        <v>#VALUE!</v>
      </c>
      <c r="AH297" s="2">
        <f t="shared" si="148"/>
        <v>1</v>
      </c>
      <c r="AI297" s="2">
        <f>IF(AH297="","",COUNT($AH$3:AH297))</f>
        <v>25</v>
      </c>
      <c r="AJ297" s="60" t="str">
        <f t="shared" si="149"/>
        <v>정윤준</v>
      </c>
    </row>
    <row r="298" spans="1:36" ht="16.5">
      <c r="A298" s="6">
        <v>296</v>
      </c>
      <c r="B298" s="9">
        <f t="shared" si="124"/>
        <v>46318</v>
      </c>
      <c r="C298" s="7">
        <f t="shared" si="125"/>
        <v>10</v>
      </c>
      <c r="D298" s="7">
        <f t="shared" si="126"/>
        <v>23</v>
      </c>
      <c r="E298" s="15">
        <f t="shared" si="127"/>
        <v>6</v>
      </c>
      <c r="F298" s="8" t="str">
        <f t="shared" si="128"/>
        <v/>
      </c>
      <c r="G298" s="58"/>
      <c r="H298" s="12" t="s">
        <v>64</v>
      </c>
      <c r="I298" s="6" t="str">
        <f t="shared" si="129"/>
        <v>비번</v>
      </c>
      <c r="J298" s="6" t="str">
        <f t="shared" si="130"/>
        <v/>
      </c>
      <c r="K298" s="6" t="str">
        <f>IF(J298="","",COUNT($J$3:J298))</f>
        <v/>
      </c>
      <c r="L298" s="6" t="str">
        <f t="shared" si="136"/>
        <v/>
      </c>
      <c r="M298" s="6" t="str">
        <f t="shared" si="137"/>
        <v/>
      </c>
      <c r="N298" s="6" t="str">
        <f t="shared" si="138"/>
        <v/>
      </c>
      <c r="O298" s="6" t="str">
        <f t="shared" si="139"/>
        <v/>
      </c>
      <c r="P298" s="32" t="str">
        <f t="shared" si="131"/>
        <v/>
      </c>
      <c r="Q298" s="13" t="str">
        <f t="shared" si="150"/>
        <v>-</v>
      </c>
      <c r="R298" s="13" t="str">
        <f t="shared" si="151"/>
        <v>-</v>
      </c>
      <c r="S298" s="13" t="str">
        <f t="shared" si="152"/>
        <v>-</v>
      </c>
      <c r="T298" s="13" t="str">
        <f t="shared" si="153"/>
        <v>-</v>
      </c>
      <c r="U298" s="31" t="str">
        <f t="shared" si="132"/>
        <v>-</v>
      </c>
      <c r="V298" s="6" t="str">
        <f t="shared" si="133"/>
        <v/>
      </c>
      <c r="W298" s="6" t="str">
        <f>IF(V298="","",COUNT($V$3:V298))</f>
        <v/>
      </c>
      <c r="X298" s="6" t="str">
        <f t="shared" si="140"/>
        <v/>
      </c>
      <c r="Y298" s="6" t="str">
        <f t="shared" si="141"/>
        <v/>
      </c>
      <c r="Z298" s="6" t="str">
        <f t="shared" si="142"/>
        <v/>
      </c>
      <c r="AA298" s="6" t="str">
        <f t="shared" si="143"/>
        <v/>
      </c>
      <c r="AB298" s="32" t="str">
        <f t="shared" si="134"/>
        <v/>
      </c>
      <c r="AC298" s="13" t="str">
        <f t="shared" si="144"/>
        <v>-</v>
      </c>
      <c r="AD298" s="13" t="str">
        <f t="shared" si="145"/>
        <v>-</v>
      </c>
      <c r="AE298" s="13" t="str">
        <f t="shared" si="146"/>
        <v>-</v>
      </c>
      <c r="AF298" s="13" t="str">
        <f t="shared" si="147"/>
        <v>-</v>
      </c>
      <c r="AG298" s="31" t="str">
        <f t="shared" si="135"/>
        <v>-</v>
      </c>
      <c r="AH298" s="2" t="str">
        <f t="shared" si="148"/>
        <v/>
      </c>
      <c r="AI298" s="2" t="str">
        <f>IF(AH298="","",COUNT($AH$3:AH298))</f>
        <v/>
      </c>
      <c r="AJ298" s="60" t="str">
        <f t="shared" si="149"/>
        <v/>
      </c>
    </row>
    <row r="299" spans="1:36" ht="16.5">
      <c r="A299" s="6">
        <v>297</v>
      </c>
      <c r="B299" s="9">
        <f t="shared" si="124"/>
        <v>46319</v>
      </c>
      <c r="C299" s="7">
        <f t="shared" si="125"/>
        <v>10</v>
      </c>
      <c r="D299" s="7">
        <f t="shared" si="126"/>
        <v>24</v>
      </c>
      <c r="E299" s="15">
        <f t="shared" si="127"/>
        <v>7</v>
      </c>
      <c r="F299" s="8" t="str">
        <f t="shared" si="128"/>
        <v>휴</v>
      </c>
      <c r="G299" s="58"/>
      <c r="H299" s="12" t="s">
        <v>65</v>
      </c>
      <c r="I299" s="6" t="str">
        <f t="shared" si="129"/>
        <v>휴무</v>
      </c>
      <c r="J299" s="6" t="str">
        <f t="shared" si="130"/>
        <v/>
      </c>
      <c r="K299" s="6" t="str">
        <f>IF(J299="","",COUNT($J$3:J299))</f>
        <v/>
      </c>
      <c r="L299" s="6" t="str">
        <f t="shared" si="136"/>
        <v/>
      </c>
      <c r="M299" s="6" t="str">
        <f t="shared" si="137"/>
        <v/>
      </c>
      <c r="N299" s="6" t="str">
        <f t="shared" si="138"/>
        <v/>
      </c>
      <c r="O299" s="6" t="str">
        <f t="shared" si="139"/>
        <v/>
      </c>
      <c r="P299" s="32" t="str">
        <f t="shared" si="131"/>
        <v/>
      </c>
      <c r="Q299" s="13" t="str">
        <f t="shared" si="150"/>
        <v>-</v>
      </c>
      <c r="R299" s="13" t="str">
        <f t="shared" si="151"/>
        <v>-</v>
      </c>
      <c r="S299" s="13" t="str">
        <f t="shared" si="152"/>
        <v>-</v>
      </c>
      <c r="T299" s="13" t="str">
        <f t="shared" si="153"/>
        <v>-</v>
      </c>
      <c r="U299" s="31" t="str">
        <f t="shared" si="132"/>
        <v>-</v>
      </c>
      <c r="V299" s="6" t="str">
        <f t="shared" si="133"/>
        <v/>
      </c>
      <c r="W299" s="6" t="str">
        <f>IF(V299="","",COUNT($V$3:V299))</f>
        <v/>
      </c>
      <c r="X299" s="6" t="str">
        <f t="shared" si="140"/>
        <v/>
      </c>
      <c r="Y299" s="6" t="str">
        <f t="shared" si="141"/>
        <v/>
      </c>
      <c r="Z299" s="6" t="str">
        <f t="shared" si="142"/>
        <v/>
      </c>
      <c r="AA299" s="6" t="str">
        <f t="shared" si="143"/>
        <v/>
      </c>
      <c r="AB299" s="32" t="str">
        <f t="shared" si="134"/>
        <v/>
      </c>
      <c r="AC299" s="13" t="str">
        <f t="shared" si="144"/>
        <v>-</v>
      </c>
      <c r="AD299" s="13" t="str">
        <f t="shared" si="145"/>
        <v>-</v>
      </c>
      <c r="AE299" s="13" t="str">
        <f t="shared" si="146"/>
        <v>-</v>
      </c>
      <c r="AF299" s="13" t="str">
        <f t="shared" si="147"/>
        <v>-</v>
      </c>
      <c r="AG299" s="31" t="str">
        <f t="shared" si="135"/>
        <v>-</v>
      </c>
      <c r="AH299" s="2" t="str">
        <f t="shared" si="148"/>
        <v/>
      </c>
      <c r="AI299" s="2" t="str">
        <f>IF(AH299="","",COUNT($AH$3:AH299))</f>
        <v/>
      </c>
      <c r="AJ299" s="60" t="str">
        <f t="shared" si="149"/>
        <v/>
      </c>
    </row>
    <row r="300" spans="1:36" ht="16.5">
      <c r="A300" s="6">
        <v>298</v>
      </c>
      <c r="B300" s="9">
        <f t="shared" si="124"/>
        <v>46320</v>
      </c>
      <c r="C300" s="7">
        <f t="shared" si="125"/>
        <v>10</v>
      </c>
      <c r="D300" s="7">
        <f t="shared" si="126"/>
        <v>25</v>
      </c>
      <c r="E300" s="15">
        <f t="shared" si="127"/>
        <v>1</v>
      </c>
      <c r="F300" s="8" t="str">
        <f t="shared" si="128"/>
        <v>휴</v>
      </c>
      <c r="G300" s="58"/>
      <c r="H300" s="12" t="s">
        <v>63</v>
      </c>
      <c r="I300" s="6" t="str">
        <f t="shared" si="129"/>
        <v>당직</v>
      </c>
      <c r="J300" s="6" t="str">
        <f t="shared" si="130"/>
        <v/>
      </c>
      <c r="K300" s="6" t="str">
        <f>IF(J300="","",COUNT($J$3:J300))</f>
        <v/>
      </c>
      <c r="L300" s="6" t="str">
        <f t="shared" si="136"/>
        <v/>
      </c>
      <c r="M300" s="6" t="str">
        <f t="shared" si="137"/>
        <v/>
      </c>
      <c r="N300" s="6" t="str">
        <f t="shared" si="138"/>
        <v/>
      </c>
      <c r="O300" s="6" t="str">
        <f t="shared" si="139"/>
        <v/>
      </c>
      <c r="P300" s="32" t="str">
        <f t="shared" si="131"/>
        <v/>
      </c>
      <c r="Q300" s="13" t="str">
        <f t="shared" si="150"/>
        <v>-</v>
      </c>
      <c r="R300" s="13" t="str">
        <f t="shared" si="151"/>
        <v>-</v>
      </c>
      <c r="S300" s="13" t="str">
        <f t="shared" si="152"/>
        <v>-</v>
      </c>
      <c r="T300" s="13" t="str">
        <f t="shared" si="153"/>
        <v>-</v>
      </c>
      <c r="U300" s="31" t="str">
        <f t="shared" si="132"/>
        <v>-</v>
      </c>
      <c r="V300" s="6">
        <f t="shared" si="133"/>
        <v>1</v>
      </c>
      <c r="W300" s="6">
        <f>IF(V300="","",COUNT($V$3:V300))</f>
        <v>100</v>
      </c>
      <c r="X300" s="6">
        <f t="shared" si="140"/>
        <v>4</v>
      </c>
      <c r="Y300" s="6">
        <f t="shared" si="141"/>
        <v>1</v>
      </c>
      <c r="Z300" s="6">
        <f t="shared" si="142"/>
        <v>2</v>
      </c>
      <c r="AA300" s="6">
        <f t="shared" si="143"/>
        <v>3</v>
      </c>
      <c r="AB300" s="32">
        <f t="shared" si="134"/>
        <v>0</v>
      </c>
      <c r="AC300" s="13" t="str">
        <f t="shared" si="144"/>
        <v>정윤준</v>
      </c>
      <c r="AD300" s="13" t="str">
        <f t="shared" si="145"/>
        <v>이기수</v>
      </c>
      <c r="AE300" s="13" t="str">
        <f t="shared" si="146"/>
        <v>박성현</v>
      </c>
      <c r="AF300" s="13" t="str">
        <f t="shared" si="147"/>
        <v>허지웅</v>
      </c>
      <c r="AG300" s="31" t="str">
        <f t="shared" si="135"/>
        <v>정윤준</v>
      </c>
      <c r="AH300" s="2" t="str">
        <f t="shared" si="148"/>
        <v/>
      </c>
      <c r="AI300" s="2" t="str">
        <f>IF(AH300="","",COUNT($AH$3:AH300))</f>
        <v/>
      </c>
      <c r="AJ300" s="60" t="str">
        <f t="shared" si="149"/>
        <v/>
      </c>
    </row>
    <row r="301" spans="1:36" ht="16.5">
      <c r="A301" s="6">
        <v>299</v>
      </c>
      <c r="B301" s="9">
        <f t="shared" si="124"/>
        <v>46321</v>
      </c>
      <c r="C301" s="7">
        <f t="shared" si="125"/>
        <v>10</v>
      </c>
      <c r="D301" s="7">
        <f t="shared" si="126"/>
        <v>26</v>
      </c>
      <c r="E301" s="15">
        <f t="shared" si="127"/>
        <v>2</v>
      </c>
      <c r="F301" s="8" t="str">
        <f t="shared" si="128"/>
        <v/>
      </c>
      <c r="G301" s="58"/>
      <c r="H301" s="12" t="s">
        <v>64</v>
      </c>
      <c r="I301" s="6" t="str">
        <f t="shared" si="129"/>
        <v>비번</v>
      </c>
      <c r="J301" s="6" t="str">
        <f t="shared" si="130"/>
        <v/>
      </c>
      <c r="K301" s="6" t="str">
        <f>IF(J301="","",COUNT($J$3:J301))</f>
        <v/>
      </c>
      <c r="L301" s="6" t="str">
        <f t="shared" si="136"/>
        <v/>
      </c>
      <c r="M301" s="6" t="str">
        <f t="shared" si="137"/>
        <v/>
      </c>
      <c r="N301" s="6" t="str">
        <f t="shared" si="138"/>
        <v/>
      </c>
      <c r="O301" s="6" t="str">
        <f t="shared" si="139"/>
        <v/>
      </c>
      <c r="P301" s="32" t="str">
        <f t="shared" si="131"/>
        <v/>
      </c>
      <c r="Q301" s="13" t="str">
        <f t="shared" si="150"/>
        <v>-</v>
      </c>
      <c r="R301" s="13" t="str">
        <f t="shared" si="151"/>
        <v>-</v>
      </c>
      <c r="S301" s="13" t="str">
        <f t="shared" si="152"/>
        <v>-</v>
      </c>
      <c r="T301" s="13" t="str">
        <f t="shared" si="153"/>
        <v>-</v>
      </c>
      <c r="U301" s="31" t="str">
        <f t="shared" si="132"/>
        <v>-</v>
      </c>
      <c r="V301" s="6" t="str">
        <f t="shared" si="133"/>
        <v/>
      </c>
      <c r="W301" s="6" t="str">
        <f>IF(V301="","",COUNT($V$3:V301))</f>
        <v/>
      </c>
      <c r="X301" s="6" t="str">
        <f t="shared" si="140"/>
        <v/>
      </c>
      <c r="Y301" s="6" t="str">
        <f t="shared" si="141"/>
        <v/>
      </c>
      <c r="Z301" s="6" t="str">
        <f t="shared" si="142"/>
        <v/>
      </c>
      <c r="AA301" s="6" t="str">
        <f t="shared" si="143"/>
        <v/>
      </c>
      <c r="AB301" s="32" t="str">
        <f t="shared" si="134"/>
        <v/>
      </c>
      <c r="AC301" s="13" t="str">
        <f t="shared" si="144"/>
        <v>-</v>
      </c>
      <c r="AD301" s="13" t="str">
        <f t="shared" si="145"/>
        <v>-</v>
      </c>
      <c r="AE301" s="13" t="str">
        <f t="shared" si="146"/>
        <v>-</v>
      </c>
      <c r="AF301" s="13" t="str">
        <f t="shared" si="147"/>
        <v>-</v>
      </c>
      <c r="AG301" s="31" t="str">
        <f t="shared" si="135"/>
        <v>-</v>
      </c>
      <c r="AH301" s="2" t="str">
        <f t="shared" si="148"/>
        <v/>
      </c>
      <c r="AI301" s="2" t="str">
        <f>IF(AH301="","",COUNT($AH$3:AH301))</f>
        <v/>
      </c>
      <c r="AJ301" s="60" t="str">
        <f t="shared" si="149"/>
        <v/>
      </c>
    </row>
    <row r="302" spans="1:36" ht="16.5">
      <c r="A302" s="6">
        <v>300</v>
      </c>
      <c r="B302" s="9">
        <f t="shared" si="124"/>
        <v>46322</v>
      </c>
      <c r="C302" s="7">
        <f t="shared" si="125"/>
        <v>10</v>
      </c>
      <c r="D302" s="7">
        <f t="shared" si="126"/>
        <v>27</v>
      </c>
      <c r="E302" s="15">
        <f t="shared" si="127"/>
        <v>3</v>
      </c>
      <c r="F302" s="8" t="str">
        <f t="shared" si="128"/>
        <v/>
      </c>
      <c r="G302" s="58"/>
      <c r="H302" s="12" t="s">
        <v>65</v>
      </c>
      <c r="I302" s="6" t="str">
        <f t="shared" si="129"/>
        <v>주간</v>
      </c>
      <c r="J302" s="6">
        <f t="shared" si="130"/>
        <v>1</v>
      </c>
      <c r="K302" s="6">
        <f>IF(J302="","",COUNT($J$3:J302))</f>
        <v>67</v>
      </c>
      <c r="L302" s="6">
        <f t="shared" si="136"/>
        <v>1</v>
      </c>
      <c r="M302" s="6">
        <f t="shared" si="137"/>
        <v>2</v>
      </c>
      <c r="N302" s="6">
        <f t="shared" si="138"/>
        <v>3</v>
      </c>
      <c r="O302" s="6">
        <f t="shared" si="139"/>
        <v>4</v>
      </c>
      <c r="P302" s="32">
        <f t="shared" si="131"/>
        <v>2</v>
      </c>
      <c r="Q302" s="13" t="str">
        <f t="shared" si="150"/>
        <v>이기수</v>
      </c>
      <c r="R302" s="13" t="str">
        <f t="shared" si="151"/>
        <v>박성현</v>
      </c>
      <c r="S302" s="13" t="str">
        <f t="shared" si="152"/>
        <v>허지웅</v>
      </c>
      <c r="T302" s="13" t="str">
        <f t="shared" si="153"/>
        <v>정윤준</v>
      </c>
      <c r="U302" s="31" t="str">
        <f t="shared" si="132"/>
        <v>정윤준</v>
      </c>
      <c r="V302" s="6" t="str">
        <f t="shared" si="133"/>
        <v/>
      </c>
      <c r="W302" s="6" t="str">
        <f>IF(V302="","",COUNT($V$3:V302))</f>
        <v/>
      </c>
      <c r="X302" s="6" t="str">
        <f t="shared" si="140"/>
        <v/>
      </c>
      <c r="Y302" s="6" t="str">
        <f t="shared" si="141"/>
        <v/>
      </c>
      <c r="Z302" s="6" t="str">
        <f t="shared" si="142"/>
        <v/>
      </c>
      <c r="AA302" s="6" t="str">
        <f t="shared" si="143"/>
        <v/>
      </c>
      <c r="AB302" s="32" t="str">
        <f t="shared" si="134"/>
        <v/>
      </c>
      <c r="AC302" s="13" t="str">
        <f t="shared" si="144"/>
        <v>-</v>
      </c>
      <c r="AD302" s="13" t="str">
        <f t="shared" si="145"/>
        <v>-</v>
      </c>
      <c r="AE302" s="13" t="str">
        <f t="shared" si="146"/>
        <v>-</v>
      </c>
      <c r="AF302" s="13" t="str">
        <f t="shared" si="147"/>
        <v>-</v>
      </c>
      <c r="AG302" s="31" t="str">
        <f t="shared" si="135"/>
        <v>-</v>
      </c>
      <c r="AH302" s="2" t="str">
        <f t="shared" si="148"/>
        <v/>
      </c>
      <c r="AI302" s="2" t="str">
        <f>IF(AH302="","",COUNT($AH$3:AH302))</f>
        <v/>
      </c>
      <c r="AJ302" s="60" t="str">
        <f t="shared" si="149"/>
        <v/>
      </c>
    </row>
    <row r="303" spans="1:36" ht="16.5">
      <c r="A303" s="6">
        <v>301</v>
      </c>
      <c r="B303" s="9">
        <f t="shared" si="124"/>
        <v>46323</v>
      </c>
      <c r="C303" s="7">
        <f t="shared" si="125"/>
        <v>10</v>
      </c>
      <c r="D303" s="7">
        <f t="shared" si="126"/>
        <v>28</v>
      </c>
      <c r="E303" s="15">
        <f t="shared" si="127"/>
        <v>4</v>
      </c>
      <c r="F303" s="8" t="str">
        <f t="shared" si="128"/>
        <v/>
      </c>
      <c r="G303" s="58"/>
      <c r="H303" s="12" t="s">
        <v>63</v>
      </c>
      <c r="I303" s="6" t="str">
        <f t="shared" si="129"/>
        <v>야간</v>
      </c>
      <c r="J303" s="6" t="str">
        <f t="shared" si="130"/>
        <v/>
      </c>
      <c r="K303" s="6" t="str">
        <f>IF(J303="","",COUNT($J$3:J303))</f>
        <v/>
      </c>
      <c r="L303" s="6" t="str">
        <f t="shared" si="136"/>
        <v/>
      </c>
      <c r="M303" s="6" t="str">
        <f t="shared" si="137"/>
        <v/>
      </c>
      <c r="N303" s="6" t="str">
        <f t="shared" si="138"/>
        <v/>
      </c>
      <c r="O303" s="6" t="str">
        <f t="shared" si="139"/>
        <v/>
      </c>
      <c r="P303" s="32" t="str">
        <f t="shared" si="131"/>
        <v/>
      </c>
      <c r="Q303" s="13" t="str">
        <f t="shared" si="150"/>
        <v>-</v>
      </c>
      <c r="R303" s="13" t="str">
        <f t="shared" si="151"/>
        <v>-</v>
      </c>
      <c r="S303" s="13" t="str">
        <f t="shared" si="152"/>
        <v>-</v>
      </c>
      <c r="T303" s="13" t="str">
        <f t="shared" si="153"/>
        <v>-</v>
      </c>
      <c r="U303" s="31" t="str">
        <f t="shared" si="132"/>
        <v>-</v>
      </c>
      <c r="V303" s="6">
        <f t="shared" si="133"/>
        <v>1</v>
      </c>
      <c r="W303" s="6">
        <f>IF(V303="","",COUNT($V$3:V303))</f>
        <v>101</v>
      </c>
      <c r="X303" s="6">
        <f t="shared" si="140"/>
        <v>3</v>
      </c>
      <c r="Y303" s="6">
        <f t="shared" si="141"/>
        <v>4</v>
      </c>
      <c r="Z303" s="6">
        <f t="shared" si="142"/>
        <v>1</v>
      </c>
      <c r="AA303" s="6">
        <f t="shared" si="143"/>
        <v>2</v>
      </c>
      <c r="AB303" s="32">
        <f t="shared" si="134"/>
        <v>1</v>
      </c>
      <c r="AC303" s="13" t="str">
        <f t="shared" si="144"/>
        <v>허지웅</v>
      </c>
      <c r="AD303" s="13" t="str">
        <f t="shared" si="145"/>
        <v>정윤준</v>
      </c>
      <c r="AE303" s="13" t="str">
        <f t="shared" si="146"/>
        <v>이기수</v>
      </c>
      <c r="AF303" s="13" t="str">
        <f t="shared" si="147"/>
        <v>박성현</v>
      </c>
      <c r="AG303" s="31" t="str">
        <f t="shared" si="135"/>
        <v>허지웅</v>
      </c>
      <c r="AH303" s="2" t="str">
        <f t="shared" si="148"/>
        <v/>
      </c>
      <c r="AI303" s="2" t="str">
        <f>IF(AH303="","",COUNT($AH$3:AH303))</f>
        <v/>
      </c>
      <c r="AJ303" s="60" t="str">
        <f t="shared" si="149"/>
        <v/>
      </c>
    </row>
    <row r="304" spans="1:36" ht="16.5">
      <c r="A304" s="6">
        <v>302</v>
      </c>
      <c r="B304" s="9">
        <f t="shared" si="124"/>
        <v>46324</v>
      </c>
      <c r="C304" s="7">
        <f t="shared" si="125"/>
        <v>10</v>
      </c>
      <c r="D304" s="7">
        <f t="shared" si="126"/>
        <v>29</v>
      </c>
      <c r="E304" s="15">
        <f t="shared" si="127"/>
        <v>5</v>
      </c>
      <c r="F304" s="8" t="str">
        <f t="shared" si="128"/>
        <v/>
      </c>
      <c r="G304" s="58"/>
      <c r="H304" s="12" t="s">
        <v>64</v>
      </c>
      <c r="I304" s="6" t="str">
        <f t="shared" si="129"/>
        <v>비번</v>
      </c>
      <c r="J304" s="6" t="str">
        <f t="shared" si="130"/>
        <v/>
      </c>
      <c r="K304" s="6" t="str">
        <f>IF(J304="","",COUNT($J$3:J304))</f>
        <v/>
      </c>
      <c r="L304" s="6" t="str">
        <f t="shared" si="136"/>
        <v/>
      </c>
      <c r="M304" s="6" t="str">
        <f t="shared" si="137"/>
        <v/>
      </c>
      <c r="N304" s="6" t="str">
        <f t="shared" si="138"/>
        <v/>
      </c>
      <c r="O304" s="6" t="str">
        <f t="shared" si="139"/>
        <v/>
      </c>
      <c r="P304" s="32" t="str">
        <f t="shared" si="131"/>
        <v/>
      </c>
      <c r="Q304" s="13" t="str">
        <f t="shared" si="150"/>
        <v>-</v>
      </c>
      <c r="R304" s="13" t="str">
        <f t="shared" si="151"/>
        <v>-</v>
      </c>
      <c r="S304" s="13" t="str">
        <f t="shared" si="152"/>
        <v>-</v>
      </c>
      <c r="T304" s="13" t="str">
        <f t="shared" si="153"/>
        <v>-</v>
      </c>
      <c r="U304" s="31" t="str">
        <f t="shared" si="132"/>
        <v>-</v>
      </c>
      <c r="V304" s="6" t="str">
        <f t="shared" si="133"/>
        <v/>
      </c>
      <c r="W304" s="6" t="str">
        <f>IF(V304="","",COUNT($V$3:V304))</f>
        <v/>
      </c>
      <c r="X304" s="6" t="str">
        <f t="shared" si="140"/>
        <v/>
      </c>
      <c r="Y304" s="6" t="str">
        <f t="shared" si="141"/>
        <v/>
      </c>
      <c r="Z304" s="6" t="str">
        <f t="shared" si="142"/>
        <v/>
      </c>
      <c r="AA304" s="6" t="str">
        <f t="shared" si="143"/>
        <v/>
      </c>
      <c r="AB304" s="32" t="str">
        <f t="shared" si="134"/>
        <v/>
      </c>
      <c r="AC304" s="13" t="str">
        <f t="shared" si="144"/>
        <v>-</v>
      </c>
      <c r="AD304" s="13" t="str">
        <f t="shared" si="145"/>
        <v>-</v>
      </c>
      <c r="AE304" s="13" t="str">
        <f t="shared" si="146"/>
        <v>-</v>
      </c>
      <c r="AF304" s="13" t="str">
        <f t="shared" si="147"/>
        <v>-</v>
      </c>
      <c r="AG304" s="31" t="str">
        <f t="shared" si="135"/>
        <v>-</v>
      </c>
      <c r="AH304" s="2" t="str">
        <f t="shared" si="148"/>
        <v/>
      </c>
      <c r="AI304" s="2" t="str">
        <f>IF(AH304="","",COUNT($AH$3:AH304))</f>
        <v/>
      </c>
      <c r="AJ304" s="60" t="str">
        <f t="shared" si="149"/>
        <v/>
      </c>
    </row>
    <row r="305" spans="1:36" ht="16.5">
      <c r="A305" s="6">
        <v>303</v>
      </c>
      <c r="B305" s="9">
        <f t="shared" si="124"/>
        <v>46325</v>
      </c>
      <c r="C305" s="7">
        <f t="shared" si="125"/>
        <v>10</v>
      </c>
      <c r="D305" s="7">
        <f t="shared" si="126"/>
        <v>30</v>
      </c>
      <c r="E305" s="15">
        <f t="shared" si="127"/>
        <v>6</v>
      </c>
      <c r="F305" s="8" t="str">
        <f t="shared" si="128"/>
        <v/>
      </c>
      <c r="G305" s="58"/>
      <c r="H305" s="12" t="s">
        <v>65</v>
      </c>
      <c r="I305" s="6" t="str">
        <f t="shared" si="129"/>
        <v>주간</v>
      </c>
      <c r="J305" s="6">
        <f t="shared" si="130"/>
        <v>1</v>
      </c>
      <c r="K305" s="6">
        <f>IF(J305="","",COUNT($J$3:J305))</f>
        <v>68</v>
      </c>
      <c r="L305" s="6">
        <f t="shared" si="136"/>
        <v>4</v>
      </c>
      <c r="M305" s="6">
        <f t="shared" si="137"/>
        <v>1</v>
      </c>
      <c r="N305" s="6">
        <f t="shared" si="138"/>
        <v>2</v>
      </c>
      <c r="O305" s="6">
        <f t="shared" si="139"/>
        <v>3</v>
      </c>
      <c r="P305" s="32">
        <f t="shared" si="131"/>
        <v>3</v>
      </c>
      <c r="Q305" s="13" t="str">
        <f t="shared" si="150"/>
        <v>정윤준</v>
      </c>
      <c r="R305" s="13" t="str">
        <f t="shared" si="151"/>
        <v>이기수</v>
      </c>
      <c r="S305" s="13" t="str">
        <f t="shared" si="152"/>
        <v>박성현</v>
      </c>
      <c r="T305" s="13" t="str">
        <f t="shared" si="153"/>
        <v>허지웅</v>
      </c>
      <c r="U305" s="31" t="str">
        <f t="shared" si="132"/>
        <v>허지웅</v>
      </c>
      <c r="V305" s="6" t="str">
        <f t="shared" si="133"/>
        <v/>
      </c>
      <c r="W305" s="6" t="str">
        <f>IF(V305="","",COUNT($V$3:V305))</f>
        <v/>
      </c>
      <c r="X305" s="6" t="str">
        <f t="shared" si="140"/>
        <v/>
      </c>
      <c r="Y305" s="6" t="str">
        <f t="shared" si="141"/>
        <v/>
      </c>
      <c r="Z305" s="6" t="str">
        <f t="shared" si="142"/>
        <v/>
      </c>
      <c r="AA305" s="6" t="str">
        <f t="shared" si="143"/>
        <v/>
      </c>
      <c r="AB305" s="32" t="str">
        <f t="shared" si="134"/>
        <v/>
      </c>
      <c r="AC305" s="13" t="str">
        <f t="shared" si="144"/>
        <v>-</v>
      </c>
      <c r="AD305" s="13" t="str">
        <f t="shared" si="145"/>
        <v>-</v>
      </c>
      <c r="AE305" s="13" t="str">
        <f t="shared" si="146"/>
        <v>-</v>
      </c>
      <c r="AF305" s="13" t="str">
        <f t="shared" si="147"/>
        <v>-</v>
      </c>
      <c r="AG305" s="31" t="str">
        <f t="shared" si="135"/>
        <v>-</v>
      </c>
      <c r="AH305" s="2" t="str">
        <f t="shared" si="148"/>
        <v/>
      </c>
      <c r="AI305" s="2" t="str">
        <f>IF(AH305="","",COUNT($AH$3:AH305))</f>
        <v/>
      </c>
      <c r="AJ305" s="60" t="str">
        <f t="shared" si="149"/>
        <v/>
      </c>
    </row>
    <row r="306" spans="1:36" ht="16.5">
      <c r="A306" s="6">
        <v>304</v>
      </c>
      <c r="B306" s="9">
        <f t="shared" si="124"/>
        <v>46326</v>
      </c>
      <c r="C306" s="7">
        <f t="shared" si="125"/>
        <v>10</v>
      </c>
      <c r="D306" s="7">
        <f t="shared" si="126"/>
        <v>31</v>
      </c>
      <c r="E306" s="15">
        <f t="shared" si="127"/>
        <v>7</v>
      </c>
      <c r="F306" s="8" t="str">
        <f t="shared" si="128"/>
        <v>휴</v>
      </c>
      <c r="G306" s="58"/>
      <c r="H306" s="12" t="s">
        <v>63</v>
      </c>
      <c r="I306" s="6" t="str">
        <f t="shared" si="129"/>
        <v>당직</v>
      </c>
      <c r="J306" s="6" t="str">
        <f t="shared" si="130"/>
        <v/>
      </c>
      <c r="K306" s="6" t="str">
        <f>IF(J306="","",COUNT($J$3:J306))</f>
        <v/>
      </c>
      <c r="L306" s="6" t="str">
        <f t="shared" si="136"/>
        <v/>
      </c>
      <c r="M306" s="6" t="str">
        <f t="shared" si="137"/>
        <v/>
      </c>
      <c r="N306" s="6" t="str">
        <f t="shared" si="138"/>
        <v/>
      </c>
      <c r="O306" s="6" t="str">
        <f t="shared" si="139"/>
        <v/>
      </c>
      <c r="P306" s="32" t="str">
        <f t="shared" si="131"/>
        <v/>
      </c>
      <c r="Q306" s="13" t="str">
        <f t="shared" si="150"/>
        <v>-</v>
      </c>
      <c r="R306" s="13" t="str">
        <f t="shared" si="151"/>
        <v>-</v>
      </c>
      <c r="S306" s="13" t="str">
        <f t="shared" si="152"/>
        <v>-</v>
      </c>
      <c r="T306" s="13" t="str">
        <f t="shared" si="153"/>
        <v>-</v>
      </c>
      <c r="U306" s="31" t="str">
        <f t="shared" si="132"/>
        <v>-</v>
      </c>
      <c r="V306" s="6">
        <f t="shared" si="133"/>
        <v>1</v>
      </c>
      <c r="W306" s="6">
        <f>IF(V306="","",COUNT($V$3:V306))</f>
        <v>102</v>
      </c>
      <c r="X306" s="6">
        <f t="shared" si="140"/>
        <v>2</v>
      </c>
      <c r="Y306" s="6">
        <f t="shared" si="141"/>
        <v>3</v>
      </c>
      <c r="Z306" s="6">
        <f t="shared" si="142"/>
        <v>4</v>
      </c>
      <c r="AA306" s="6">
        <f t="shared" si="143"/>
        <v>1</v>
      </c>
      <c r="AB306" s="32">
        <f t="shared" si="134"/>
        <v>2</v>
      </c>
      <c r="AC306" s="13" t="str">
        <f t="shared" si="144"/>
        <v>박성현</v>
      </c>
      <c r="AD306" s="13" t="str">
        <f t="shared" si="145"/>
        <v>허지웅</v>
      </c>
      <c r="AE306" s="13" t="str">
        <f t="shared" si="146"/>
        <v>정윤준</v>
      </c>
      <c r="AF306" s="13" t="str">
        <f t="shared" si="147"/>
        <v>이기수</v>
      </c>
      <c r="AG306" s="31" t="str">
        <f t="shared" si="135"/>
        <v>장혁진</v>
      </c>
      <c r="AH306" s="2" t="str">
        <f t="shared" si="148"/>
        <v/>
      </c>
      <c r="AI306" s="2" t="str">
        <f>IF(AH306="","",COUNT($AH$3:AH306))</f>
        <v/>
      </c>
      <c r="AJ306" s="60" t="str">
        <f t="shared" si="149"/>
        <v/>
      </c>
    </row>
    <row r="307" spans="1:36" ht="16.5">
      <c r="A307" s="6">
        <v>305</v>
      </c>
      <c r="B307" s="9">
        <f t="shared" si="124"/>
        <v>46327</v>
      </c>
      <c r="C307" s="7">
        <f t="shared" si="125"/>
        <v>11</v>
      </c>
      <c r="D307" s="7">
        <f t="shared" si="126"/>
        <v>1</v>
      </c>
      <c r="E307" s="15">
        <f t="shared" si="127"/>
        <v>1</v>
      </c>
      <c r="F307" s="8" t="str">
        <f t="shared" si="128"/>
        <v>휴</v>
      </c>
      <c r="G307" s="58"/>
      <c r="H307" s="12" t="s">
        <v>64</v>
      </c>
      <c r="I307" s="6" t="str">
        <f t="shared" si="129"/>
        <v>비번</v>
      </c>
      <c r="J307" s="6" t="str">
        <f t="shared" si="130"/>
        <v/>
      </c>
      <c r="K307" s="6" t="str">
        <f>IF(J307="","",COUNT($J$3:J307))</f>
        <v/>
      </c>
      <c r="L307" s="6" t="str">
        <f t="shared" si="136"/>
        <v/>
      </c>
      <c r="M307" s="6" t="str">
        <f t="shared" si="137"/>
        <v/>
      </c>
      <c r="N307" s="6" t="str">
        <f t="shared" si="138"/>
        <v/>
      </c>
      <c r="O307" s="6" t="str">
        <f t="shared" si="139"/>
        <v/>
      </c>
      <c r="P307" s="32" t="str">
        <f t="shared" si="131"/>
        <v/>
      </c>
      <c r="Q307" s="13" t="str">
        <f t="shared" si="150"/>
        <v>-</v>
      </c>
      <c r="R307" s="13" t="str">
        <f t="shared" si="151"/>
        <v>-</v>
      </c>
      <c r="S307" s="13" t="str">
        <f t="shared" si="152"/>
        <v>-</v>
      </c>
      <c r="T307" s="13" t="str">
        <f t="shared" si="153"/>
        <v>-</v>
      </c>
      <c r="U307" s="31" t="str">
        <f t="shared" si="132"/>
        <v>-</v>
      </c>
      <c r="V307" s="6" t="str">
        <f t="shared" si="133"/>
        <v/>
      </c>
      <c r="W307" s="6" t="str">
        <f>IF(V307="","",COUNT($V$3:V307))</f>
        <v/>
      </c>
      <c r="X307" s="6" t="str">
        <f t="shared" si="140"/>
        <v/>
      </c>
      <c r="Y307" s="6" t="str">
        <f t="shared" si="141"/>
        <v/>
      </c>
      <c r="Z307" s="6" t="str">
        <f t="shared" si="142"/>
        <v/>
      </c>
      <c r="AA307" s="6" t="str">
        <f t="shared" si="143"/>
        <v/>
      </c>
      <c r="AB307" s="32" t="str">
        <f t="shared" si="134"/>
        <v/>
      </c>
      <c r="AC307" s="13" t="str">
        <f t="shared" si="144"/>
        <v>-</v>
      </c>
      <c r="AD307" s="13" t="str">
        <f t="shared" si="145"/>
        <v>-</v>
      </c>
      <c r="AE307" s="13" t="str">
        <f t="shared" si="146"/>
        <v>-</v>
      </c>
      <c r="AF307" s="13" t="str">
        <f t="shared" si="147"/>
        <v>-</v>
      </c>
      <c r="AG307" s="31" t="str">
        <f t="shared" si="135"/>
        <v>-</v>
      </c>
      <c r="AH307" s="2" t="str">
        <f t="shared" si="148"/>
        <v/>
      </c>
      <c r="AI307" s="2" t="str">
        <f>IF(AH307="","",COUNT($AH$3:AH307))</f>
        <v/>
      </c>
      <c r="AJ307" s="60" t="str">
        <f t="shared" si="149"/>
        <v/>
      </c>
    </row>
    <row r="308" spans="1:36" ht="16.5">
      <c r="A308" s="6">
        <v>306</v>
      </c>
      <c r="B308" s="9">
        <f t="shared" si="124"/>
        <v>46328</v>
      </c>
      <c r="C308" s="7">
        <f t="shared" si="125"/>
        <v>11</v>
      </c>
      <c r="D308" s="7">
        <f t="shared" si="126"/>
        <v>2</v>
      </c>
      <c r="E308" s="15">
        <f t="shared" si="127"/>
        <v>2</v>
      </c>
      <c r="F308" s="8" t="str">
        <f t="shared" si="128"/>
        <v/>
      </c>
      <c r="G308" s="58"/>
      <c r="H308" s="12" t="s">
        <v>65</v>
      </c>
      <c r="I308" s="6" t="str">
        <f t="shared" si="129"/>
        <v>주간</v>
      </c>
      <c r="J308" s="6">
        <f t="shared" si="130"/>
        <v>1</v>
      </c>
      <c r="K308" s="6">
        <f>IF(J308="","",COUNT($J$3:J308))</f>
        <v>69</v>
      </c>
      <c r="L308" s="6">
        <f t="shared" si="136"/>
        <v>3</v>
      </c>
      <c r="M308" s="6">
        <f t="shared" si="137"/>
        <v>4</v>
      </c>
      <c r="N308" s="6">
        <f t="shared" si="138"/>
        <v>1</v>
      </c>
      <c r="O308" s="6">
        <f t="shared" si="139"/>
        <v>2</v>
      </c>
      <c r="P308" s="32">
        <f t="shared" si="131"/>
        <v>4</v>
      </c>
      <c r="Q308" s="13" t="str">
        <f t="shared" si="150"/>
        <v>허지웅</v>
      </c>
      <c r="R308" s="13" t="str">
        <f t="shared" si="151"/>
        <v>정윤준</v>
      </c>
      <c r="S308" s="13" t="str">
        <f t="shared" si="152"/>
        <v>이기수</v>
      </c>
      <c r="T308" s="13" t="str">
        <f t="shared" si="153"/>
        <v>박성현</v>
      </c>
      <c r="U308" s="31" t="e">
        <f t="shared" si="132"/>
        <v>#VALUE!</v>
      </c>
      <c r="V308" s="6" t="str">
        <f t="shared" si="133"/>
        <v/>
      </c>
      <c r="W308" s="6" t="str">
        <f>IF(V308="","",COUNT($V$3:V308))</f>
        <v/>
      </c>
      <c r="X308" s="6" t="str">
        <f t="shared" si="140"/>
        <v/>
      </c>
      <c r="Y308" s="6" t="str">
        <f t="shared" si="141"/>
        <v/>
      </c>
      <c r="Z308" s="6" t="str">
        <f t="shared" si="142"/>
        <v/>
      </c>
      <c r="AA308" s="6" t="str">
        <f t="shared" si="143"/>
        <v/>
      </c>
      <c r="AB308" s="32" t="str">
        <f t="shared" si="134"/>
        <v/>
      </c>
      <c r="AC308" s="13" t="str">
        <f t="shared" si="144"/>
        <v>-</v>
      </c>
      <c r="AD308" s="13" t="str">
        <f t="shared" si="145"/>
        <v>-</v>
      </c>
      <c r="AE308" s="13" t="str">
        <f t="shared" si="146"/>
        <v>-</v>
      </c>
      <c r="AF308" s="13" t="str">
        <f t="shared" si="147"/>
        <v>-</v>
      </c>
      <c r="AG308" s="31" t="str">
        <f t="shared" si="135"/>
        <v>-</v>
      </c>
      <c r="AH308" s="2" t="str">
        <f t="shared" si="148"/>
        <v/>
      </c>
      <c r="AI308" s="2" t="str">
        <f>IF(AH308="","",COUNT($AH$3:AH308))</f>
        <v/>
      </c>
      <c r="AJ308" s="60" t="str">
        <f t="shared" si="149"/>
        <v/>
      </c>
    </row>
    <row r="309" spans="1:36" ht="16.5">
      <c r="A309" s="6">
        <v>307</v>
      </c>
      <c r="B309" s="9">
        <f t="shared" si="124"/>
        <v>46329</v>
      </c>
      <c r="C309" s="7">
        <f t="shared" si="125"/>
        <v>11</v>
      </c>
      <c r="D309" s="7">
        <f t="shared" si="126"/>
        <v>3</v>
      </c>
      <c r="E309" s="15">
        <f t="shared" si="127"/>
        <v>3</v>
      </c>
      <c r="F309" s="8" t="str">
        <f t="shared" si="128"/>
        <v/>
      </c>
      <c r="G309" s="58"/>
      <c r="H309" s="12" t="s">
        <v>63</v>
      </c>
      <c r="I309" s="6" t="str">
        <f t="shared" si="129"/>
        <v>야간</v>
      </c>
      <c r="J309" s="6" t="str">
        <f t="shared" si="130"/>
        <v/>
      </c>
      <c r="K309" s="6" t="str">
        <f>IF(J309="","",COUNT($J$3:J309))</f>
        <v/>
      </c>
      <c r="L309" s="6" t="str">
        <f t="shared" si="136"/>
        <v/>
      </c>
      <c r="M309" s="6" t="str">
        <f t="shared" si="137"/>
        <v/>
      </c>
      <c r="N309" s="6" t="str">
        <f t="shared" si="138"/>
        <v/>
      </c>
      <c r="O309" s="6" t="str">
        <f t="shared" si="139"/>
        <v/>
      </c>
      <c r="P309" s="32" t="str">
        <f t="shared" si="131"/>
        <v/>
      </c>
      <c r="Q309" s="13" t="str">
        <f t="shared" si="150"/>
        <v>-</v>
      </c>
      <c r="R309" s="13" t="str">
        <f t="shared" si="151"/>
        <v>-</v>
      </c>
      <c r="S309" s="13" t="str">
        <f t="shared" si="152"/>
        <v>-</v>
      </c>
      <c r="T309" s="13" t="str">
        <f t="shared" si="153"/>
        <v>-</v>
      </c>
      <c r="U309" s="31" t="str">
        <f t="shared" si="132"/>
        <v>-</v>
      </c>
      <c r="V309" s="6">
        <f t="shared" si="133"/>
        <v>1</v>
      </c>
      <c r="W309" s="6">
        <f>IF(V309="","",COUNT($V$3:V309))</f>
        <v>103</v>
      </c>
      <c r="X309" s="6">
        <f t="shared" si="140"/>
        <v>1</v>
      </c>
      <c r="Y309" s="6">
        <f t="shared" si="141"/>
        <v>2</v>
      </c>
      <c r="Z309" s="6">
        <f t="shared" si="142"/>
        <v>3</v>
      </c>
      <c r="AA309" s="6">
        <f t="shared" si="143"/>
        <v>4</v>
      </c>
      <c r="AB309" s="32">
        <f t="shared" si="134"/>
        <v>3</v>
      </c>
      <c r="AC309" s="13" t="str">
        <f t="shared" si="144"/>
        <v>이기수</v>
      </c>
      <c r="AD309" s="13" t="str">
        <f t="shared" si="145"/>
        <v>박성현</v>
      </c>
      <c r="AE309" s="13" t="str">
        <f t="shared" si="146"/>
        <v>허지웅</v>
      </c>
      <c r="AF309" s="13" t="str">
        <f t="shared" si="147"/>
        <v>정윤준</v>
      </c>
      <c r="AG309" s="31" t="str">
        <f t="shared" si="135"/>
        <v>이기수</v>
      </c>
      <c r="AH309" s="2">
        <f t="shared" si="148"/>
        <v>1</v>
      </c>
      <c r="AI309" s="2">
        <f>IF(AH309="","",COUNT($AH$3:AH309))</f>
        <v>26</v>
      </c>
      <c r="AJ309" s="60" t="str">
        <f t="shared" si="149"/>
        <v>허지웅</v>
      </c>
    </row>
    <row r="310" spans="1:36" ht="16.5">
      <c r="A310" s="6">
        <v>308</v>
      </c>
      <c r="B310" s="9">
        <f t="shared" si="124"/>
        <v>46330</v>
      </c>
      <c r="C310" s="7">
        <f t="shared" si="125"/>
        <v>11</v>
      </c>
      <c r="D310" s="7">
        <f t="shared" si="126"/>
        <v>4</v>
      </c>
      <c r="E310" s="15">
        <f t="shared" si="127"/>
        <v>4</v>
      </c>
      <c r="F310" s="8" t="str">
        <f t="shared" si="128"/>
        <v/>
      </c>
      <c r="G310" s="58"/>
      <c r="H310" s="12" t="s">
        <v>64</v>
      </c>
      <c r="I310" s="6" t="str">
        <f t="shared" si="129"/>
        <v>비번</v>
      </c>
      <c r="J310" s="6" t="str">
        <f t="shared" si="130"/>
        <v/>
      </c>
      <c r="K310" s="6" t="str">
        <f>IF(J310="","",COUNT($J$3:J310))</f>
        <v/>
      </c>
      <c r="L310" s="6" t="str">
        <f t="shared" si="136"/>
        <v/>
      </c>
      <c r="M310" s="6" t="str">
        <f t="shared" si="137"/>
        <v/>
      </c>
      <c r="N310" s="6" t="str">
        <f t="shared" si="138"/>
        <v/>
      </c>
      <c r="O310" s="6" t="str">
        <f t="shared" si="139"/>
        <v/>
      </c>
      <c r="P310" s="32" t="str">
        <f t="shared" si="131"/>
        <v/>
      </c>
      <c r="Q310" s="13" t="str">
        <f t="shared" si="150"/>
        <v>-</v>
      </c>
      <c r="R310" s="13" t="str">
        <f t="shared" si="151"/>
        <v>-</v>
      </c>
      <c r="S310" s="13" t="str">
        <f t="shared" si="152"/>
        <v>-</v>
      </c>
      <c r="T310" s="13" t="str">
        <f t="shared" si="153"/>
        <v>-</v>
      </c>
      <c r="U310" s="31" t="str">
        <f t="shared" si="132"/>
        <v>-</v>
      </c>
      <c r="V310" s="6" t="str">
        <f t="shared" si="133"/>
        <v/>
      </c>
      <c r="W310" s="6" t="str">
        <f>IF(V310="","",COUNT($V$3:V310))</f>
        <v/>
      </c>
      <c r="X310" s="6" t="str">
        <f t="shared" si="140"/>
        <v/>
      </c>
      <c r="Y310" s="6" t="str">
        <f t="shared" si="141"/>
        <v/>
      </c>
      <c r="Z310" s="6" t="str">
        <f t="shared" si="142"/>
        <v/>
      </c>
      <c r="AA310" s="6" t="str">
        <f t="shared" si="143"/>
        <v/>
      </c>
      <c r="AB310" s="32" t="str">
        <f t="shared" si="134"/>
        <v/>
      </c>
      <c r="AC310" s="13" t="str">
        <f t="shared" si="144"/>
        <v>-</v>
      </c>
      <c r="AD310" s="13" t="str">
        <f t="shared" si="145"/>
        <v>-</v>
      </c>
      <c r="AE310" s="13" t="str">
        <f t="shared" si="146"/>
        <v>-</v>
      </c>
      <c r="AF310" s="13" t="str">
        <f t="shared" si="147"/>
        <v>-</v>
      </c>
      <c r="AG310" s="31" t="str">
        <f t="shared" si="135"/>
        <v>-</v>
      </c>
      <c r="AH310" s="2" t="str">
        <f t="shared" si="148"/>
        <v/>
      </c>
      <c r="AI310" s="2" t="str">
        <f>IF(AH310="","",COUNT($AH$3:AH310))</f>
        <v/>
      </c>
      <c r="AJ310" s="60" t="str">
        <f t="shared" si="149"/>
        <v/>
      </c>
    </row>
    <row r="311" spans="1:36" ht="16.5">
      <c r="A311" s="6">
        <v>309</v>
      </c>
      <c r="B311" s="9">
        <f t="shared" si="124"/>
        <v>46331</v>
      </c>
      <c r="C311" s="7">
        <f t="shared" si="125"/>
        <v>11</v>
      </c>
      <c r="D311" s="7">
        <f t="shared" si="126"/>
        <v>5</v>
      </c>
      <c r="E311" s="15">
        <f t="shared" si="127"/>
        <v>5</v>
      </c>
      <c r="F311" s="8" t="str">
        <f t="shared" si="128"/>
        <v/>
      </c>
      <c r="G311" s="58"/>
      <c r="H311" s="12" t="s">
        <v>65</v>
      </c>
      <c r="I311" s="6" t="str">
        <f t="shared" si="129"/>
        <v>주간</v>
      </c>
      <c r="J311" s="6">
        <f t="shared" si="130"/>
        <v>1</v>
      </c>
      <c r="K311" s="6">
        <f>IF(J311="","",COUNT($J$3:J311))</f>
        <v>70</v>
      </c>
      <c r="L311" s="6">
        <f t="shared" si="136"/>
        <v>2</v>
      </c>
      <c r="M311" s="6">
        <f t="shared" si="137"/>
        <v>3</v>
      </c>
      <c r="N311" s="6">
        <f t="shared" si="138"/>
        <v>4</v>
      </c>
      <c r="O311" s="6">
        <f t="shared" si="139"/>
        <v>1</v>
      </c>
      <c r="P311" s="32">
        <f t="shared" si="131"/>
        <v>0</v>
      </c>
      <c r="Q311" s="13" t="str">
        <f t="shared" si="150"/>
        <v>박성현</v>
      </c>
      <c r="R311" s="13" t="str">
        <f t="shared" si="151"/>
        <v>허지웅</v>
      </c>
      <c r="S311" s="13" t="str">
        <f t="shared" si="152"/>
        <v>정윤준</v>
      </c>
      <c r="T311" s="13" t="str">
        <f t="shared" si="153"/>
        <v>이기수</v>
      </c>
      <c r="U311" s="31" t="str">
        <f t="shared" si="132"/>
        <v>장혁진</v>
      </c>
      <c r="V311" s="6" t="str">
        <f t="shared" si="133"/>
        <v/>
      </c>
      <c r="W311" s="6" t="str">
        <f>IF(V311="","",COUNT($V$3:V311))</f>
        <v/>
      </c>
      <c r="X311" s="6" t="str">
        <f t="shared" si="140"/>
        <v/>
      </c>
      <c r="Y311" s="6" t="str">
        <f t="shared" si="141"/>
        <v/>
      </c>
      <c r="Z311" s="6" t="str">
        <f t="shared" si="142"/>
        <v/>
      </c>
      <c r="AA311" s="6" t="str">
        <f t="shared" si="143"/>
        <v/>
      </c>
      <c r="AB311" s="32" t="str">
        <f t="shared" si="134"/>
        <v/>
      </c>
      <c r="AC311" s="13" t="str">
        <f t="shared" si="144"/>
        <v>-</v>
      </c>
      <c r="AD311" s="13" t="str">
        <f t="shared" si="145"/>
        <v>-</v>
      </c>
      <c r="AE311" s="13" t="str">
        <f t="shared" si="146"/>
        <v>-</v>
      </c>
      <c r="AF311" s="13" t="str">
        <f t="shared" si="147"/>
        <v>-</v>
      </c>
      <c r="AG311" s="31" t="str">
        <f t="shared" si="135"/>
        <v>-</v>
      </c>
      <c r="AH311" s="2" t="str">
        <f t="shared" si="148"/>
        <v/>
      </c>
      <c r="AI311" s="2" t="str">
        <f>IF(AH311="","",COUNT($AH$3:AH311))</f>
        <v/>
      </c>
      <c r="AJ311" s="60" t="str">
        <f t="shared" si="149"/>
        <v/>
      </c>
    </row>
    <row r="312" spans="1:36" ht="16.5">
      <c r="A312" s="6">
        <v>310</v>
      </c>
      <c r="B312" s="9">
        <f t="shared" si="124"/>
        <v>46332</v>
      </c>
      <c r="C312" s="7">
        <f t="shared" si="125"/>
        <v>11</v>
      </c>
      <c r="D312" s="7">
        <f t="shared" si="126"/>
        <v>6</v>
      </c>
      <c r="E312" s="15">
        <f t="shared" si="127"/>
        <v>6</v>
      </c>
      <c r="F312" s="8" t="str">
        <f t="shared" si="128"/>
        <v/>
      </c>
      <c r="G312" s="58"/>
      <c r="H312" s="12" t="s">
        <v>63</v>
      </c>
      <c r="I312" s="6" t="str">
        <f t="shared" si="129"/>
        <v>야간</v>
      </c>
      <c r="J312" s="6" t="str">
        <f t="shared" si="130"/>
        <v/>
      </c>
      <c r="K312" s="6" t="str">
        <f>IF(J312="","",COUNT($J$3:J312))</f>
        <v/>
      </c>
      <c r="L312" s="6" t="str">
        <f t="shared" si="136"/>
        <v/>
      </c>
      <c r="M312" s="6" t="str">
        <f t="shared" si="137"/>
        <v/>
      </c>
      <c r="N312" s="6" t="str">
        <f t="shared" si="138"/>
        <v/>
      </c>
      <c r="O312" s="6" t="str">
        <f t="shared" si="139"/>
        <v/>
      </c>
      <c r="P312" s="32" t="str">
        <f t="shared" si="131"/>
        <v/>
      </c>
      <c r="Q312" s="13" t="str">
        <f t="shared" si="150"/>
        <v>-</v>
      </c>
      <c r="R312" s="13" t="str">
        <f t="shared" si="151"/>
        <v>-</v>
      </c>
      <c r="S312" s="13" t="str">
        <f t="shared" si="152"/>
        <v>-</v>
      </c>
      <c r="T312" s="13" t="str">
        <f t="shared" si="153"/>
        <v>-</v>
      </c>
      <c r="U312" s="31" t="str">
        <f t="shared" si="132"/>
        <v>-</v>
      </c>
      <c r="V312" s="6">
        <f t="shared" si="133"/>
        <v>1</v>
      </c>
      <c r="W312" s="6">
        <f>IF(V312="","",COUNT($V$3:V312))</f>
        <v>104</v>
      </c>
      <c r="X312" s="6">
        <f t="shared" si="140"/>
        <v>4</v>
      </c>
      <c r="Y312" s="6">
        <f t="shared" si="141"/>
        <v>1</v>
      </c>
      <c r="Z312" s="6">
        <f t="shared" si="142"/>
        <v>2</v>
      </c>
      <c r="AA312" s="6">
        <f t="shared" si="143"/>
        <v>3</v>
      </c>
      <c r="AB312" s="32">
        <f t="shared" si="134"/>
        <v>4</v>
      </c>
      <c r="AC312" s="13" t="str">
        <f t="shared" si="144"/>
        <v>정윤준</v>
      </c>
      <c r="AD312" s="13" t="str">
        <f t="shared" si="145"/>
        <v>이기수</v>
      </c>
      <c r="AE312" s="13" t="str">
        <f t="shared" si="146"/>
        <v>박성현</v>
      </c>
      <c r="AF312" s="13" t="str">
        <f t="shared" si="147"/>
        <v>허지웅</v>
      </c>
      <c r="AG312" s="31" t="e">
        <f t="shared" si="135"/>
        <v>#VALUE!</v>
      </c>
      <c r="AH312" s="2" t="str">
        <f t="shared" si="148"/>
        <v/>
      </c>
      <c r="AI312" s="2" t="str">
        <f>IF(AH312="","",COUNT($AH$3:AH312))</f>
        <v/>
      </c>
      <c r="AJ312" s="60" t="str">
        <f t="shared" si="149"/>
        <v/>
      </c>
    </row>
    <row r="313" spans="1:36" ht="16.5">
      <c r="A313" s="6">
        <v>311</v>
      </c>
      <c r="B313" s="9">
        <f t="shared" si="124"/>
        <v>46333</v>
      </c>
      <c r="C313" s="7">
        <f t="shared" si="125"/>
        <v>11</v>
      </c>
      <c r="D313" s="7">
        <f t="shared" si="126"/>
        <v>7</v>
      </c>
      <c r="E313" s="15">
        <f t="shared" si="127"/>
        <v>7</v>
      </c>
      <c r="F313" s="8" t="str">
        <f t="shared" si="128"/>
        <v>휴</v>
      </c>
      <c r="G313" s="58"/>
      <c r="H313" s="12" t="s">
        <v>64</v>
      </c>
      <c r="I313" s="6" t="str">
        <f t="shared" si="129"/>
        <v>비번</v>
      </c>
      <c r="J313" s="6" t="str">
        <f t="shared" si="130"/>
        <v/>
      </c>
      <c r="K313" s="6" t="str">
        <f>IF(J313="","",COUNT($J$3:J313))</f>
        <v/>
      </c>
      <c r="L313" s="6" t="str">
        <f t="shared" si="136"/>
        <v/>
      </c>
      <c r="M313" s="6" t="str">
        <f t="shared" si="137"/>
        <v/>
      </c>
      <c r="N313" s="6" t="str">
        <f t="shared" si="138"/>
        <v/>
      </c>
      <c r="O313" s="6" t="str">
        <f t="shared" si="139"/>
        <v/>
      </c>
      <c r="P313" s="32" t="str">
        <f t="shared" si="131"/>
        <v/>
      </c>
      <c r="Q313" s="13" t="str">
        <f t="shared" si="150"/>
        <v>-</v>
      </c>
      <c r="R313" s="13" t="str">
        <f t="shared" si="151"/>
        <v>-</v>
      </c>
      <c r="S313" s="13" t="str">
        <f t="shared" si="152"/>
        <v>-</v>
      </c>
      <c r="T313" s="13" t="str">
        <f t="shared" si="153"/>
        <v>-</v>
      </c>
      <c r="U313" s="31" t="str">
        <f t="shared" si="132"/>
        <v>-</v>
      </c>
      <c r="V313" s="6" t="str">
        <f t="shared" si="133"/>
        <v/>
      </c>
      <c r="W313" s="6" t="str">
        <f>IF(V313="","",COUNT($V$3:V313))</f>
        <v/>
      </c>
      <c r="X313" s="6" t="str">
        <f t="shared" si="140"/>
        <v/>
      </c>
      <c r="Y313" s="6" t="str">
        <f t="shared" si="141"/>
        <v/>
      </c>
      <c r="Z313" s="6" t="str">
        <f t="shared" si="142"/>
        <v/>
      </c>
      <c r="AA313" s="6" t="str">
        <f t="shared" si="143"/>
        <v/>
      </c>
      <c r="AB313" s="32" t="str">
        <f t="shared" si="134"/>
        <v/>
      </c>
      <c r="AC313" s="13" t="str">
        <f t="shared" si="144"/>
        <v>-</v>
      </c>
      <c r="AD313" s="13" t="str">
        <f t="shared" si="145"/>
        <v>-</v>
      </c>
      <c r="AE313" s="13" t="str">
        <f t="shared" si="146"/>
        <v>-</v>
      </c>
      <c r="AF313" s="13" t="str">
        <f t="shared" si="147"/>
        <v>-</v>
      </c>
      <c r="AG313" s="31" t="str">
        <f t="shared" si="135"/>
        <v>-</v>
      </c>
      <c r="AH313" s="2" t="str">
        <f t="shared" si="148"/>
        <v/>
      </c>
      <c r="AI313" s="2" t="str">
        <f>IF(AH313="","",COUNT($AH$3:AH313))</f>
        <v/>
      </c>
      <c r="AJ313" s="60" t="str">
        <f t="shared" si="149"/>
        <v/>
      </c>
    </row>
    <row r="314" spans="1:36" ht="16.5">
      <c r="A314" s="6">
        <v>312</v>
      </c>
      <c r="B314" s="9">
        <f t="shared" si="124"/>
        <v>46334</v>
      </c>
      <c r="C314" s="7">
        <f t="shared" si="125"/>
        <v>11</v>
      </c>
      <c r="D314" s="7">
        <f t="shared" si="126"/>
        <v>8</v>
      </c>
      <c r="E314" s="15">
        <f t="shared" si="127"/>
        <v>1</v>
      </c>
      <c r="F314" s="8" t="str">
        <f t="shared" si="128"/>
        <v>휴</v>
      </c>
      <c r="G314" s="58"/>
      <c r="H314" s="12" t="s">
        <v>65</v>
      </c>
      <c r="I314" s="6" t="str">
        <f t="shared" si="129"/>
        <v>휴무</v>
      </c>
      <c r="J314" s="6" t="str">
        <f t="shared" si="130"/>
        <v/>
      </c>
      <c r="K314" s="6" t="str">
        <f>IF(J314="","",COUNT($J$3:J314))</f>
        <v/>
      </c>
      <c r="L314" s="6" t="str">
        <f t="shared" si="136"/>
        <v/>
      </c>
      <c r="M314" s="6" t="str">
        <f t="shared" si="137"/>
        <v/>
      </c>
      <c r="N314" s="6" t="str">
        <f t="shared" si="138"/>
        <v/>
      </c>
      <c r="O314" s="6" t="str">
        <f t="shared" si="139"/>
        <v/>
      </c>
      <c r="P314" s="32" t="str">
        <f t="shared" si="131"/>
        <v/>
      </c>
      <c r="Q314" s="13" t="str">
        <f t="shared" si="150"/>
        <v>-</v>
      </c>
      <c r="R314" s="13" t="str">
        <f t="shared" si="151"/>
        <v>-</v>
      </c>
      <c r="S314" s="13" t="str">
        <f t="shared" si="152"/>
        <v>-</v>
      </c>
      <c r="T314" s="13" t="str">
        <f t="shared" si="153"/>
        <v>-</v>
      </c>
      <c r="U314" s="31" t="str">
        <f t="shared" si="132"/>
        <v>-</v>
      </c>
      <c r="V314" s="6" t="str">
        <f t="shared" si="133"/>
        <v/>
      </c>
      <c r="W314" s="6" t="str">
        <f>IF(V314="","",COUNT($V$3:V314))</f>
        <v/>
      </c>
      <c r="X314" s="6" t="str">
        <f t="shared" si="140"/>
        <v/>
      </c>
      <c r="Y314" s="6" t="str">
        <f t="shared" si="141"/>
        <v/>
      </c>
      <c r="Z314" s="6" t="str">
        <f t="shared" si="142"/>
        <v/>
      </c>
      <c r="AA314" s="6" t="str">
        <f t="shared" si="143"/>
        <v/>
      </c>
      <c r="AB314" s="32" t="str">
        <f t="shared" si="134"/>
        <v/>
      </c>
      <c r="AC314" s="13" t="str">
        <f t="shared" si="144"/>
        <v>-</v>
      </c>
      <c r="AD314" s="13" t="str">
        <f t="shared" si="145"/>
        <v>-</v>
      </c>
      <c r="AE314" s="13" t="str">
        <f t="shared" si="146"/>
        <v>-</v>
      </c>
      <c r="AF314" s="13" t="str">
        <f t="shared" si="147"/>
        <v>-</v>
      </c>
      <c r="AG314" s="31" t="str">
        <f t="shared" si="135"/>
        <v>-</v>
      </c>
      <c r="AH314" s="2" t="str">
        <f t="shared" si="148"/>
        <v/>
      </c>
      <c r="AI314" s="2" t="str">
        <f>IF(AH314="","",COUNT($AH$3:AH314))</f>
        <v/>
      </c>
      <c r="AJ314" s="60" t="str">
        <f t="shared" si="149"/>
        <v/>
      </c>
    </row>
    <row r="315" spans="1:36" ht="16.5">
      <c r="A315" s="6">
        <v>313</v>
      </c>
      <c r="B315" s="9">
        <f t="shared" si="124"/>
        <v>46335</v>
      </c>
      <c r="C315" s="7">
        <f t="shared" si="125"/>
        <v>11</v>
      </c>
      <c r="D315" s="7">
        <f t="shared" si="126"/>
        <v>9</v>
      </c>
      <c r="E315" s="15">
        <f t="shared" si="127"/>
        <v>2</v>
      </c>
      <c r="F315" s="8" t="str">
        <f t="shared" si="128"/>
        <v/>
      </c>
      <c r="G315" s="58"/>
      <c r="H315" s="12" t="s">
        <v>63</v>
      </c>
      <c r="I315" s="6" t="str">
        <f t="shared" si="129"/>
        <v>야간</v>
      </c>
      <c r="J315" s="6" t="str">
        <f t="shared" si="130"/>
        <v/>
      </c>
      <c r="K315" s="6" t="str">
        <f>IF(J315="","",COUNT($J$3:J315))</f>
        <v/>
      </c>
      <c r="L315" s="6" t="str">
        <f t="shared" si="136"/>
        <v/>
      </c>
      <c r="M315" s="6" t="str">
        <f t="shared" si="137"/>
        <v/>
      </c>
      <c r="N315" s="6" t="str">
        <f t="shared" si="138"/>
        <v/>
      </c>
      <c r="O315" s="6" t="str">
        <f t="shared" si="139"/>
        <v/>
      </c>
      <c r="P315" s="32" t="str">
        <f t="shared" si="131"/>
        <v/>
      </c>
      <c r="Q315" s="13" t="str">
        <f t="shared" si="150"/>
        <v>-</v>
      </c>
      <c r="R315" s="13" t="str">
        <f t="shared" si="151"/>
        <v>-</v>
      </c>
      <c r="S315" s="13" t="str">
        <f t="shared" si="152"/>
        <v>-</v>
      </c>
      <c r="T315" s="13" t="str">
        <f t="shared" si="153"/>
        <v>-</v>
      </c>
      <c r="U315" s="31" t="str">
        <f t="shared" si="132"/>
        <v>-</v>
      </c>
      <c r="V315" s="6">
        <f t="shared" si="133"/>
        <v>1</v>
      </c>
      <c r="W315" s="6">
        <f>IF(V315="","",COUNT($V$3:V315))</f>
        <v>105</v>
      </c>
      <c r="X315" s="6">
        <f t="shared" si="140"/>
        <v>3</v>
      </c>
      <c r="Y315" s="6">
        <f t="shared" si="141"/>
        <v>4</v>
      </c>
      <c r="Z315" s="6">
        <f t="shared" si="142"/>
        <v>1</v>
      </c>
      <c r="AA315" s="6">
        <f t="shared" si="143"/>
        <v>2</v>
      </c>
      <c r="AB315" s="32">
        <f t="shared" si="134"/>
        <v>0</v>
      </c>
      <c r="AC315" s="13" t="str">
        <f t="shared" si="144"/>
        <v>허지웅</v>
      </c>
      <c r="AD315" s="13" t="str">
        <f t="shared" si="145"/>
        <v>정윤준</v>
      </c>
      <c r="AE315" s="13" t="str">
        <f t="shared" si="146"/>
        <v>이기수</v>
      </c>
      <c r="AF315" s="13" t="str">
        <f t="shared" si="147"/>
        <v>박성현</v>
      </c>
      <c r="AG315" s="31" t="str">
        <f t="shared" si="135"/>
        <v>정윤준</v>
      </c>
      <c r="AH315" s="2" t="str">
        <f t="shared" si="148"/>
        <v/>
      </c>
      <c r="AI315" s="2" t="str">
        <f>IF(AH315="","",COUNT($AH$3:AH315))</f>
        <v/>
      </c>
      <c r="AJ315" s="60" t="str">
        <f t="shared" si="149"/>
        <v/>
      </c>
    </row>
    <row r="316" spans="1:36" ht="16.5">
      <c r="A316" s="6">
        <v>314</v>
      </c>
      <c r="B316" s="9">
        <f t="shared" si="124"/>
        <v>46336</v>
      </c>
      <c r="C316" s="7">
        <f t="shared" si="125"/>
        <v>11</v>
      </c>
      <c r="D316" s="7">
        <f t="shared" si="126"/>
        <v>10</v>
      </c>
      <c r="E316" s="15">
        <f t="shared" si="127"/>
        <v>3</v>
      </c>
      <c r="F316" s="8" t="str">
        <f t="shared" si="128"/>
        <v/>
      </c>
      <c r="G316" s="58"/>
      <c r="H316" s="12" t="s">
        <v>64</v>
      </c>
      <c r="I316" s="6" t="str">
        <f t="shared" si="129"/>
        <v>비번</v>
      </c>
      <c r="J316" s="6" t="str">
        <f t="shared" si="130"/>
        <v/>
      </c>
      <c r="K316" s="6" t="str">
        <f>IF(J316="","",COUNT($J$3:J316))</f>
        <v/>
      </c>
      <c r="L316" s="6" t="str">
        <f t="shared" si="136"/>
        <v/>
      </c>
      <c r="M316" s="6" t="str">
        <f t="shared" si="137"/>
        <v/>
      </c>
      <c r="N316" s="6" t="str">
        <f t="shared" si="138"/>
        <v/>
      </c>
      <c r="O316" s="6" t="str">
        <f t="shared" si="139"/>
        <v/>
      </c>
      <c r="P316" s="32" t="str">
        <f t="shared" si="131"/>
        <v/>
      </c>
      <c r="Q316" s="13" t="str">
        <f t="shared" si="150"/>
        <v>-</v>
      </c>
      <c r="R316" s="13" t="str">
        <f t="shared" si="151"/>
        <v>-</v>
      </c>
      <c r="S316" s="13" t="str">
        <f t="shared" si="152"/>
        <v>-</v>
      </c>
      <c r="T316" s="13" t="str">
        <f t="shared" si="153"/>
        <v>-</v>
      </c>
      <c r="U316" s="31" t="str">
        <f t="shared" si="132"/>
        <v>-</v>
      </c>
      <c r="V316" s="6" t="str">
        <f t="shared" si="133"/>
        <v/>
      </c>
      <c r="W316" s="6" t="str">
        <f>IF(V316="","",COUNT($V$3:V316))</f>
        <v/>
      </c>
      <c r="X316" s="6" t="str">
        <f t="shared" si="140"/>
        <v/>
      </c>
      <c r="Y316" s="6" t="str">
        <f t="shared" si="141"/>
        <v/>
      </c>
      <c r="Z316" s="6" t="str">
        <f t="shared" si="142"/>
        <v/>
      </c>
      <c r="AA316" s="6" t="str">
        <f t="shared" si="143"/>
        <v/>
      </c>
      <c r="AB316" s="32" t="str">
        <f t="shared" si="134"/>
        <v/>
      </c>
      <c r="AC316" s="13" t="str">
        <f t="shared" si="144"/>
        <v>-</v>
      </c>
      <c r="AD316" s="13" t="str">
        <f t="shared" si="145"/>
        <v>-</v>
      </c>
      <c r="AE316" s="13" t="str">
        <f t="shared" si="146"/>
        <v>-</v>
      </c>
      <c r="AF316" s="13" t="str">
        <f t="shared" si="147"/>
        <v>-</v>
      </c>
      <c r="AG316" s="31" t="str">
        <f t="shared" si="135"/>
        <v>-</v>
      </c>
      <c r="AH316" s="2" t="str">
        <f t="shared" si="148"/>
        <v/>
      </c>
      <c r="AI316" s="2" t="str">
        <f>IF(AH316="","",COUNT($AH$3:AH316))</f>
        <v/>
      </c>
      <c r="AJ316" s="60" t="str">
        <f t="shared" si="149"/>
        <v/>
      </c>
    </row>
    <row r="317" spans="1:36" ht="16.5">
      <c r="A317" s="6">
        <v>315</v>
      </c>
      <c r="B317" s="9">
        <f t="shared" si="124"/>
        <v>46337</v>
      </c>
      <c r="C317" s="7">
        <f t="shared" si="125"/>
        <v>11</v>
      </c>
      <c r="D317" s="7">
        <f t="shared" si="126"/>
        <v>11</v>
      </c>
      <c r="E317" s="15">
        <f t="shared" si="127"/>
        <v>4</v>
      </c>
      <c r="F317" s="8" t="str">
        <f t="shared" si="128"/>
        <v/>
      </c>
      <c r="G317" s="58"/>
      <c r="H317" s="12" t="s">
        <v>65</v>
      </c>
      <c r="I317" s="6" t="str">
        <f t="shared" si="129"/>
        <v>주간</v>
      </c>
      <c r="J317" s="6">
        <f t="shared" si="130"/>
        <v>1</v>
      </c>
      <c r="K317" s="6">
        <f>IF(J317="","",COUNT($J$3:J317))</f>
        <v>71</v>
      </c>
      <c r="L317" s="6">
        <f t="shared" si="136"/>
        <v>1</v>
      </c>
      <c r="M317" s="6">
        <f t="shared" si="137"/>
        <v>2</v>
      </c>
      <c r="N317" s="6">
        <f t="shared" si="138"/>
        <v>3</v>
      </c>
      <c r="O317" s="6">
        <f t="shared" si="139"/>
        <v>4</v>
      </c>
      <c r="P317" s="32">
        <f t="shared" si="131"/>
        <v>1</v>
      </c>
      <c r="Q317" s="13" t="str">
        <f t="shared" si="150"/>
        <v>이기수</v>
      </c>
      <c r="R317" s="13" t="str">
        <f t="shared" si="151"/>
        <v>박성현</v>
      </c>
      <c r="S317" s="13" t="str">
        <f t="shared" si="152"/>
        <v>허지웅</v>
      </c>
      <c r="T317" s="13" t="str">
        <f t="shared" si="153"/>
        <v>정윤준</v>
      </c>
      <c r="U317" s="31" t="str">
        <f t="shared" si="132"/>
        <v>이기수</v>
      </c>
      <c r="V317" s="6" t="str">
        <f t="shared" si="133"/>
        <v/>
      </c>
      <c r="W317" s="6" t="str">
        <f>IF(V317="","",COUNT($V$3:V317))</f>
        <v/>
      </c>
      <c r="X317" s="6" t="str">
        <f t="shared" si="140"/>
        <v/>
      </c>
      <c r="Y317" s="6" t="str">
        <f t="shared" si="141"/>
        <v/>
      </c>
      <c r="Z317" s="6" t="str">
        <f t="shared" si="142"/>
        <v/>
      </c>
      <c r="AA317" s="6" t="str">
        <f t="shared" si="143"/>
        <v/>
      </c>
      <c r="AB317" s="32" t="str">
        <f t="shared" si="134"/>
        <v/>
      </c>
      <c r="AC317" s="13" t="str">
        <f t="shared" si="144"/>
        <v>-</v>
      </c>
      <c r="AD317" s="13" t="str">
        <f t="shared" si="145"/>
        <v>-</v>
      </c>
      <c r="AE317" s="13" t="str">
        <f t="shared" si="146"/>
        <v>-</v>
      </c>
      <c r="AF317" s="13" t="str">
        <f t="shared" si="147"/>
        <v>-</v>
      </c>
      <c r="AG317" s="31" t="str">
        <f t="shared" si="135"/>
        <v>-</v>
      </c>
      <c r="AH317" s="2" t="str">
        <f t="shared" si="148"/>
        <v/>
      </c>
      <c r="AI317" s="2" t="str">
        <f>IF(AH317="","",COUNT($AH$3:AH317))</f>
        <v/>
      </c>
      <c r="AJ317" s="60" t="str">
        <f t="shared" si="149"/>
        <v/>
      </c>
    </row>
    <row r="318" spans="1:36" ht="16.5">
      <c r="A318" s="6">
        <v>316</v>
      </c>
      <c r="B318" s="9">
        <f t="shared" si="124"/>
        <v>46338</v>
      </c>
      <c r="C318" s="7">
        <f t="shared" si="125"/>
        <v>11</v>
      </c>
      <c r="D318" s="7">
        <f t="shared" si="126"/>
        <v>12</v>
      </c>
      <c r="E318" s="15">
        <f t="shared" si="127"/>
        <v>5</v>
      </c>
      <c r="F318" s="8" t="str">
        <f t="shared" si="128"/>
        <v/>
      </c>
      <c r="G318" s="58"/>
      <c r="H318" s="12" t="s">
        <v>63</v>
      </c>
      <c r="I318" s="6" t="str">
        <f t="shared" si="129"/>
        <v>야간</v>
      </c>
      <c r="J318" s="6" t="str">
        <f t="shared" si="130"/>
        <v/>
      </c>
      <c r="K318" s="6" t="str">
        <f>IF(J318="","",COUNT($J$3:J318))</f>
        <v/>
      </c>
      <c r="L318" s="6" t="str">
        <f t="shared" si="136"/>
        <v/>
      </c>
      <c r="M318" s="6" t="str">
        <f t="shared" si="137"/>
        <v/>
      </c>
      <c r="N318" s="6" t="str">
        <f t="shared" si="138"/>
        <v/>
      </c>
      <c r="O318" s="6" t="str">
        <f t="shared" si="139"/>
        <v/>
      </c>
      <c r="P318" s="32" t="str">
        <f t="shared" si="131"/>
        <v/>
      </c>
      <c r="Q318" s="13" t="str">
        <f t="shared" si="150"/>
        <v>-</v>
      </c>
      <c r="R318" s="13" t="str">
        <f t="shared" si="151"/>
        <v>-</v>
      </c>
      <c r="S318" s="13" t="str">
        <f t="shared" si="152"/>
        <v>-</v>
      </c>
      <c r="T318" s="13" t="str">
        <f t="shared" si="153"/>
        <v>-</v>
      </c>
      <c r="U318" s="31" t="str">
        <f t="shared" si="132"/>
        <v>-</v>
      </c>
      <c r="V318" s="6">
        <f t="shared" si="133"/>
        <v>1</v>
      </c>
      <c r="W318" s="6">
        <f>IF(V318="","",COUNT($V$3:V318))</f>
        <v>106</v>
      </c>
      <c r="X318" s="6">
        <f t="shared" si="140"/>
        <v>2</v>
      </c>
      <c r="Y318" s="6">
        <f t="shared" si="141"/>
        <v>3</v>
      </c>
      <c r="Z318" s="6">
        <f t="shared" si="142"/>
        <v>4</v>
      </c>
      <c r="AA318" s="6">
        <f t="shared" si="143"/>
        <v>1</v>
      </c>
      <c r="AB318" s="32">
        <f t="shared" si="134"/>
        <v>1</v>
      </c>
      <c r="AC318" s="13" t="str">
        <f t="shared" si="144"/>
        <v>박성현</v>
      </c>
      <c r="AD318" s="13" t="str">
        <f t="shared" si="145"/>
        <v>허지웅</v>
      </c>
      <c r="AE318" s="13" t="str">
        <f t="shared" si="146"/>
        <v>정윤준</v>
      </c>
      <c r="AF318" s="13" t="str">
        <f t="shared" si="147"/>
        <v>이기수</v>
      </c>
      <c r="AG318" s="31" t="str">
        <f t="shared" si="135"/>
        <v>허지웅</v>
      </c>
      <c r="AH318" s="2" t="str">
        <f t="shared" si="148"/>
        <v/>
      </c>
      <c r="AI318" s="2" t="str">
        <f>IF(AH318="","",COUNT($AH$3:AH318))</f>
        <v/>
      </c>
      <c r="AJ318" s="60" t="str">
        <f t="shared" si="149"/>
        <v/>
      </c>
    </row>
    <row r="319" spans="1:36" ht="16.5">
      <c r="A319" s="6">
        <v>317</v>
      </c>
      <c r="B319" s="9">
        <f t="shared" si="124"/>
        <v>46339</v>
      </c>
      <c r="C319" s="7">
        <f t="shared" si="125"/>
        <v>11</v>
      </c>
      <c r="D319" s="7">
        <f t="shared" si="126"/>
        <v>13</v>
      </c>
      <c r="E319" s="15">
        <f t="shared" si="127"/>
        <v>6</v>
      </c>
      <c r="F319" s="8" t="str">
        <f t="shared" si="128"/>
        <v/>
      </c>
      <c r="G319" s="58"/>
      <c r="H319" s="12" t="s">
        <v>64</v>
      </c>
      <c r="I319" s="6" t="str">
        <f t="shared" si="129"/>
        <v>비번</v>
      </c>
      <c r="J319" s="6" t="str">
        <f t="shared" si="130"/>
        <v/>
      </c>
      <c r="K319" s="6" t="str">
        <f>IF(J319="","",COUNT($J$3:J319))</f>
        <v/>
      </c>
      <c r="L319" s="6" t="str">
        <f t="shared" si="136"/>
        <v/>
      </c>
      <c r="M319" s="6" t="str">
        <f t="shared" si="137"/>
        <v/>
      </c>
      <c r="N319" s="6" t="str">
        <f t="shared" si="138"/>
        <v/>
      </c>
      <c r="O319" s="6" t="str">
        <f t="shared" si="139"/>
        <v/>
      </c>
      <c r="P319" s="32" t="str">
        <f t="shared" si="131"/>
        <v/>
      </c>
      <c r="Q319" s="13" t="str">
        <f t="shared" si="150"/>
        <v>-</v>
      </c>
      <c r="R319" s="13" t="str">
        <f t="shared" si="151"/>
        <v>-</v>
      </c>
      <c r="S319" s="13" t="str">
        <f t="shared" si="152"/>
        <v>-</v>
      </c>
      <c r="T319" s="13" t="str">
        <f t="shared" si="153"/>
        <v>-</v>
      </c>
      <c r="U319" s="31" t="str">
        <f t="shared" si="132"/>
        <v>-</v>
      </c>
      <c r="V319" s="6" t="str">
        <f t="shared" si="133"/>
        <v/>
      </c>
      <c r="W319" s="6" t="str">
        <f>IF(V319="","",COUNT($V$3:V319))</f>
        <v/>
      </c>
      <c r="X319" s="6" t="str">
        <f t="shared" si="140"/>
        <v/>
      </c>
      <c r="Y319" s="6" t="str">
        <f t="shared" si="141"/>
        <v/>
      </c>
      <c r="Z319" s="6" t="str">
        <f t="shared" si="142"/>
        <v/>
      </c>
      <c r="AA319" s="6" t="str">
        <f t="shared" si="143"/>
        <v/>
      </c>
      <c r="AB319" s="32" t="str">
        <f t="shared" si="134"/>
        <v/>
      </c>
      <c r="AC319" s="13" t="str">
        <f t="shared" si="144"/>
        <v>-</v>
      </c>
      <c r="AD319" s="13" t="str">
        <f t="shared" si="145"/>
        <v>-</v>
      </c>
      <c r="AE319" s="13" t="str">
        <f t="shared" si="146"/>
        <v>-</v>
      </c>
      <c r="AF319" s="13" t="str">
        <f t="shared" si="147"/>
        <v>-</v>
      </c>
      <c r="AG319" s="31" t="str">
        <f t="shared" si="135"/>
        <v>-</v>
      </c>
      <c r="AH319" s="2" t="str">
        <f t="shared" si="148"/>
        <v/>
      </c>
      <c r="AI319" s="2" t="str">
        <f>IF(AH319="","",COUNT($AH$3:AH319))</f>
        <v/>
      </c>
      <c r="AJ319" s="60" t="str">
        <f t="shared" si="149"/>
        <v/>
      </c>
    </row>
    <row r="320" spans="1:36" ht="16.5">
      <c r="A320" s="6">
        <v>318</v>
      </c>
      <c r="B320" s="9">
        <f t="shared" si="124"/>
        <v>46340</v>
      </c>
      <c r="C320" s="7">
        <f t="shared" si="125"/>
        <v>11</v>
      </c>
      <c r="D320" s="7">
        <f t="shared" si="126"/>
        <v>14</v>
      </c>
      <c r="E320" s="15">
        <f t="shared" si="127"/>
        <v>7</v>
      </c>
      <c r="F320" s="8" t="str">
        <f t="shared" si="128"/>
        <v>휴</v>
      </c>
      <c r="G320" s="58"/>
      <c r="H320" s="12" t="s">
        <v>65</v>
      </c>
      <c r="I320" s="6" t="str">
        <f t="shared" si="129"/>
        <v>휴무</v>
      </c>
      <c r="J320" s="6" t="str">
        <f t="shared" si="130"/>
        <v/>
      </c>
      <c r="K320" s="6" t="str">
        <f>IF(J320="","",COUNT($J$3:J320))</f>
        <v/>
      </c>
      <c r="L320" s="6" t="str">
        <f t="shared" si="136"/>
        <v/>
      </c>
      <c r="M320" s="6" t="str">
        <f t="shared" si="137"/>
        <v/>
      </c>
      <c r="N320" s="6" t="str">
        <f t="shared" si="138"/>
        <v/>
      </c>
      <c r="O320" s="6" t="str">
        <f t="shared" si="139"/>
        <v/>
      </c>
      <c r="P320" s="32" t="str">
        <f t="shared" si="131"/>
        <v/>
      </c>
      <c r="Q320" s="13" t="str">
        <f t="shared" si="150"/>
        <v>-</v>
      </c>
      <c r="R320" s="13" t="str">
        <f t="shared" si="151"/>
        <v>-</v>
      </c>
      <c r="S320" s="13" t="str">
        <f t="shared" si="152"/>
        <v>-</v>
      </c>
      <c r="T320" s="13" t="str">
        <f t="shared" si="153"/>
        <v>-</v>
      </c>
      <c r="U320" s="31" t="str">
        <f t="shared" si="132"/>
        <v>-</v>
      </c>
      <c r="V320" s="6" t="str">
        <f t="shared" si="133"/>
        <v/>
      </c>
      <c r="W320" s="6" t="str">
        <f>IF(V320="","",COUNT($V$3:V320))</f>
        <v/>
      </c>
      <c r="X320" s="6" t="str">
        <f t="shared" si="140"/>
        <v/>
      </c>
      <c r="Y320" s="6" t="str">
        <f t="shared" si="141"/>
        <v/>
      </c>
      <c r="Z320" s="6" t="str">
        <f t="shared" si="142"/>
        <v/>
      </c>
      <c r="AA320" s="6" t="str">
        <f t="shared" si="143"/>
        <v/>
      </c>
      <c r="AB320" s="32" t="str">
        <f t="shared" si="134"/>
        <v/>
      </c>
      <c r="AC320" s="13" t="str">
        <f t="shared" si="144"/>
        <v>-</v>
      </c>
      <c r="AD320" s="13" t="str">
        <f t="shared" si="145"/>
        <v>-</v>
      </c>
      <c r="AE320" s="13" t="str">
        <f t="shared" si="146"/>
        <v>-</v>
      </c>
      <c r="AF320" s="13" t="str">
        <f t="shared" si="147"/>
        <v>-</v>
      </c>
      <c r="AG320" s="31" t="str">
        <f t="shared" si="135"/>
        <v>-</v>
      </c>
      <c r="AH320" s="2" t="str">
        <f t="shared" si="148"/>
        <v/>
      </c>
      <c r="AI320" s="2" t="str">
        <f>IF(AH320="","",COUNT($AH$3:AH320))</f>
        <v/>
      </c>
      <c r="AJ320" s="60" t="str">
        <f t="shared" si="149"/>
        <v/>
      </c>
    </row>
    <row r="321" spans="1:36" ht="16.5">
      <c r="A321" s="6">
        <v>319</v>
      </c>
      <c r="B321" s="9">
        <f t="shared" si="124"/>
        <v>46341</v>
      </c>
      <c r="C321" s="7">
        <f t="shared" si="125"/>
        <v>11</v>
      </c>
      <c r="D321" s="7">
        <f t="shared" si="126"/>
        <v>15</v>
      </c>
      <c r="E321" s="15">
        <f t="shared" si="127"/>
        <v>1</v>
      </c>
      <c r="F321" s="8" t="str">
        <f t="shared" si="128"/>
        <v>휴</v>
      </c>
      <c r="G321" s="58"/>
      <c r="H321" s="12" t="s">
        <v>63</v>
      </c>
      <c r="I321" s="6" t="str">
        <f t="shared" si="129"/>
        <v>당직</v>
      </c>
      <c r="J321" s="6" t="str">
        <f t="shared" si="130"/>
        <v/>
      </c>
      <c r="K321" s="6" t="str">
        <f>IF(J321="","",COUNT($J$3:J321))</f>
        <v/>
      </c>
      <c r="L321" s="6" t="str">
        <f t="shared" si="136"/>
        <v/>
      </c>
      <c r="M321" s="6" t="str">
        <f t="shared" si="137"/>
        <v/>
      </c>
      <c r="N321" s="6" t="str">
        <f t="shared" si="138"/>
        <v/>
      </c>
      <c r="O321" s="6" t="str">
        <f t="shared" si="139"/>
        <v/>
      </c>
      <c r="P321" s="32" t="str">
        <f t="shared" si="131"/>
        <v/>
      </c>
      <c r="Q321" s="13" t="str">
        <f t="shared" si="150"/>
        <v>-</v>
      </c>
      <c r="R321" s="13" t="str">
        <f t="shared" si="151"/>
        <v>-</v>
      </c>
      <c r="S321" s="13" t="str">
        <f t="shared" si="152"/>
        <v>-</v>
      </c>
      <c r="T321" s="13" t="str">
        <f t="shared" si="153"/>
        <v>-</v>
      </c>
      <c r="U321" s="31" t="str">
        <f t="shared" si="132"/>
        <v>-</v>
      </c>
      <c r="V321" s="6">
        <f t="shared" si="133"/>
        <v>1</v>
      </c>
      <c r="W321" s="6">
        <f>IF(V321="","",COUNT($V$3:V321))</f>
        <v>107</v>
      </c>
      <c r="X321" s="6">
        <f t="shared" si="140"/>
        <v>1</v>
      </c>
      <c r="Y321" s="6">
        <f t="shared" si="141"/>
        <v>2</v>
      </c>
      <c r="Z321" s="6">
        <f t="shared" si="142"/>
        <v>3</v>
      </c>
      <c r="AA321" s="6">
        <f t="shared" si="143"/>
        <v>4</v>
      </c>
      <c r="AB321" s="32">
        <f t="shared" si="134"/>
        <v>2</v>
      </c>
      <c r="AC321" s="13" t="str">
        <f t="shared" si="144"/>
        <v>이기수</v>
      </c>
      <c r="AD321" s="13" t="str">
        <f t="shared" si="145"/>
        <v>박성현</v>
      </c>
      <c r="AE321" s="13" t="str">
        <f t="shared" si="146"/>
        <v>허지웅</v>
      </c>
      <c r="AF321" s="13" t="str">
        <f t="shared" si="147"/>
        <v>정윤준</v>
      </c>
      <c r="AG321" s="31" t="str">
        <f t="shared" si="135"/>
        <v>장혁진</v>
      </c>
      <c r="AH321" s="2">
        <f t="shared" si="148"/>
        <v>1</v>
      </c>
      <c r="AI321" s="2">
        <f>IF(AH321="","",COUNT($AH$3:AH321))</f>
        <v>27</v>
      </c>
      <c r="AJ321" s="60" t="str">
        <f t="shared" si="149"/>
        <v>정윤준</v>
      </c>
    </row>
    <row r="322" spans="1:36" ht="16.5">
      <c r="A322" s="6">
        <v>320</v>
      </c>
      <c r="B322" s="9">
        <f t="shared" si="124"/>
        <v>46342</v>
      </c>
      <c r="C322" s="7">
        <f t="shared" si="125"/>
        <v>11</v>
      </c>
      <c r="D322" s="7">
        <f t="shared" si="126"/>
        <v>16</v>
      </c>
      <c r="E322" s="15">
        <f t="shared" si="127"/>
        <v>2</v>
      </c>
      <c r="F322" s="8" t="str">
        <f t="shared" si="128"/>
        <v/>
      </c>
      <c r="G322" s="58"/>
      <c r="H322" s="12" t="s">
        <v>64</v>
      </c>
      <c r="I322" s="6" t="str">
        <f t="shared" si="129"/>
        <v>비번</v>
      </c>
      <c r="J322" s="6" t="str">
        <f t="shared" si="130"/>
        <v/>
      </c>
      <c r="K322" s="6" t="str">
        <f>IF(J322="","",COUNT($J$3:J322))</f>
        <v/>
      </c>
      <c r="L322" s="6" t="str">
        <f t="shared" si="136"/>
        <v/>
      </c>
      <c r="M322" s="6" t="str">
        <f t="shared" si="137"/>
        <v/>
      </c>
      <c r="N322" s="6" t="str">
        <f t="shared" si="138"/>
        <v/>
      </c>
      <c r="O322" s="6" t="str">
        <f t="shared" si="139"/>
        <v/>
      </c>
      <c r="P322" s="32" t="str">
        <f t="shared" si="131"/>
        <v/>
      </c>
      <c r="Q322" s="13" t="str">
        <f t="shared" si="150"/>
        <v>-</v>
      </c>
      <c r="R322" s="13" t="str">
        <f t="shared" si="151"/>
        <v>-</v>
      </c>
      <c r="S322" s="13" t="str">
        <f t="shared" si="152"/>
        <v>-</v>
      </c>
      <c r="T322" s="13" t="str">
        <f t="shared" si="153"/>
        <v>-</v>
      </c>
      <c r="U322" s="31" t="str">
        <f t="shared" si="132"/>
        <v>-</v>
      </c>
      <c r="V322" s="6" t="str">
        <f t="shared" si="133"/>
        <v/>
      </c>
      <c r="W322" s="6" t="str">
        <f>IF(V322="","",COUNT($V$3:V322))</f>
        <v/>
      </c>
      <c r="X322" s="6" t="str">
        <f t="shared" si="140"/>
        <v/>
      </c>
      <c r="Y322" s="6" t="str">
        <f t="shared" si="141"/>
        <v/>
      </c>
      <c r="Z322" s="6" t="str">
        <f t="shared" si="142"/>
        <v/>
      </c>
      <c r="AA322" s="6" t="str">
        <f t="shared" si="143"/>
        <v/>
      </c>
      <c r="AB322" s="32" t="str">
        <f t="shared" si="134"/>
        <v/>
      </c>
      <c r="AC322" s="13" t="str">
        <f t="shared" si="144"/>
        <v>-</v>
      </c>
      <c r="AD322" s="13" t="str">
        <f t="shared" si="145"/>
        <v>-</v>
      </c>
      <c r="AE322" s="13" t="str">
        <f t="shared" si="146"/>
        <v>-</v>
      </c>
      <c r="AF322" s="13" t="str">
        <f t="shared" si="147"/>
        <v>-</v>
      </c>
      <c r="AG322" s="31" t="str">
        <f t="shared" si="135"/>
        <v>-</v>
      </c>
      <c r="AH322" s="2" t="str">
        <f t="shared" si="148"/>
        <v/>
      </c>
      <c r="AI322" s="2" t="str">
        <f>IF(AH322="","",COUNT($AH$3:AH322))</f>
        <v/>
      </c>
      <c r="AJ322" s="60" t="str">
        <f t="shared" si="149"/>
        <v/>
      </c>
    </row>
    <row r="323" spans="1:36" ht="16.5">
      <c r="A323" s="6">
        <v>321</v>
      </c>
      <c r="B323" s="9">
        <f t="shared" ref="B323:B339" si="154">B322+1</f>
        <v>46343</v>
      </c>
      <c r="C323" s="7">
        <f t="shared" ref="C323:C339" si="155">MONTH(B323)</f>
        <v>11</v>
      </c>
      <c r="D323" s="7">
        <f t="shared" ref="D323:D339" si="156">DAY(B323)</f>
        <v>17</v>
      </c>
      <c r="E323" s="15">
        <f t="shared" ref="E323:E339" si="157">WEEKDAY(B323)</f>
        <v>3</v>
      </c>
      <c r="F323" s="8" t="str">
        <f t="shared" ref="F323:F339" si="158">IF(OR(TEXT(E323,"aaa")="토",TEXT(E323,"aaa")="일",NOT(ISBLANK(G323))),"휴","")</f>
        <v/>
      </c>
      <c r="G323" s="58"/>
      <c r="H323" s="12" t="s">
        <v>65</v>
      </c>
      <c r="I323" s="6" t="str">
        <f t="shared" ref="I323:I339" si="159">IF(AND(F323="휴",H323="주간"),"휴무",
  IF(AND(F323="휴",H323="야간"),"당직",
  H323
))</f>
        <v>주간</v>
      </c>
      <c r="J323" s="6">
        <f t="shared" ref="J323:J339" si="160">IF(OR(I323="주간"),1,"")</f>
        <v>1</v>
      </c>
      <c r="K323" s="6">
        <f>IF(J323="","",COUNT($J$3:J323))</f>
        <v>72</v>
      </c>
      <c r="L323" s="6">
        <f t="shared" si="136"/>
        <v>4</v>
      </c>
      <c r="M323" s="6">
        <f t="shared" si="137"/>
        <v>1</v>
      </c>
      <c r="N323" s="6">
        <f t="shared" si="138"/>
        <v>2</v>
      </c>
      <c r="O323" s="6">
        <f t="shared" si="139"/>
        <v>3</v>
      </c>
      <c r="P323" s="32">
        <f t="shared" ref="P323:P339" si="161">IF(ISERR(MOD($K323,5)),"",MOD($K323,5))</f>
        <v>2</v>
      </c>
      <c r="Q323" s="13" t="str">
        <f t="shared" si="150"/>
        <v>정윤준</v>
      </c>
      <c r="R323" s="13" t="str">
        <f t="shared" si="151"/>
        <v>이기수</v>
      </c>
      <c r="S323" s="13" t="str">
        <f t="shared" si="152"/>
        <v>박성현</v>
      </c>
      <c r="T323" s="13" t="str">
        <f t="shared" si="153"/>
        <v>허지웅</v>
      </c>
      <c r="U323" s="31" t="str">
        <f t="shared" ref="U323:U339" si="162">IF(P323="","-",CHOOSE(P323+1,"장혁진","이기수","정윤준","허지웅"))</f>
        <v>정윤준</v>
      </c>
      <c r="V323" s="6" t="str">
        <f t="shared" ref="V323:V368" si="163">IF(OR(I323="당직",I323="야간"),1,"")</f>
        <v/>
      </c>
      <c r="W323" s="6" t="str">
        <f>IF(V323="","",COUNT($V$3:V323))</f>
        <v/>
      </c>
      <c r="X323" s="6" t="str">
        <f t="shared" si="140"/>
        <v/>
      </c>
      <c r="Y323" s="6" t="str">
        <f t="shared" si="141"/>
        <v/>
      </c>
      <c r="Z323" s="6" t="str">
        <f t="shared" si="142"/>
        <v/>
      </c>
      <c r="AA323" s="6" t="str">
        <f t="shared" si="143"/>
        <v/>
      </c>
      <c r="AB323" s="32" t="str">
        <f t="shared" ref="AB323:AB339" si="164">IF(ISERR(MOD($W323,5)),"",MOD($W323,5))</f>
        <v/>
      </c>
      <c r="AC323" s="13" t="str">
        <f t="shared" si="144"/>
        <v>-</v>
      </c>
      <c r="AD323" s="13" t="str">
        <f t="shared" si="145"/>
        <v>-</v>
      </c>
      <c r="AE323" s="13" t="str">
        <f t="shared" si="146"/>
        <v>-</v>
      </c>
      <c r="AF323" s="13" t="str">
        <f t="shared" si="147"/>
        <v>-</v>
      </c>
      <c r="AG323" s="31" t="str">
        <f t="shared" ref="AG323:AG339" si="165">IF(AB323="","-",CHOOSE(AB323+1,"정윤준","허지웅","장혁진","이기수"))</f>
        <v>-</v>
      </c>
      <c r="AH323" s="2" t="str">
        <f t="shared" si="148"/>
        <v/>
      </c>
      <c r="AI323" s="2" t="str">
        <f>IF(AH323="","",COUNT($AH$3:AH323))</f>
        <v/>
      </c>
      <c r="AJ323" s="60" t="str">
        <f t="shared" si="149"/>
        <v/>
      </c>
    </row>
    <row r="324" spans="1:36" ht="16.5">
      <c r="A324" s="6">
        <v>322</v>
      </c>
      <c r="B324" s="9">
        <f t="shared" si="154"/>
        <v>46344</v>
      </c>
      <c r="C324" s="7">
        <f t="shared" si="155"/>
        <v>11</v>
      </c>
      <c r="D324" s="7">
        <f t="shared" si="156"/>
        <v>18</v>
      </c>
      <c r="E324" s="15">
        <f t="shared" si="157"/>
        <v>4</v>
      </c>
      <c r="F324" s="8" t="str">
        <f t="shared" si="158"/>
        <v/>
      </c>
      <c r="G324" s="58"/>
      <c r="H324" s="12" t="s">
        <v>63</v>
      </c>
      <c r="I324" s="6" t="str">
        <f t="shared" si="159"/>
        <v>야간</v>
      </c>
      <c r="J324" s="6" t="str">
        <f t="shared" si="160"/>
        <v/>
      </c>
      <c r="K324" s="6" t="str">
        <f>IF(J324="","",COUNT($J$3:J324))</f>
        <v/>
      </c>
      <c r="L324" s="6" t="str">
        <f t="shared" ref="L324:L368" si="166">IF(ISERR(4-MOD($K324,4)),"",4-MOD($K324,4))</f>
        <v/>
      </c>
      <c r="M324" s="6" t="str">
        <f t="shared" ref="M324:M368" si="167">IF(ISERR(4-MOD($K324-1,4)),"",4-MOD($K324-1,4))</f>
        <v/>
      </c>
      <c r="N324" s="6" t="str">
        <f t="shared" ref="N324:N368" si="168">IF(ISERR(4-MOD($K324-2,4)),"",4-MOD($K324-2,4))</f>
        <v/>
      </c>
      <c r="O324" s="6" t="str">
        <f t="shared" ref="O324:O368" si="169">IF(ISERR(4-MOD($K324-3,4)),"",4-MOD($K324-3,4))</f>
        <v/>
      </c>
      <c r="P324" s="32" t="str">
        <f t="shared" si="161"/>
        <v/>
      </c>
      <c r="Q324" s="13" t="str">
        <f t="shared" si="150"/>
        <v>-</v>
      </c>
      <c r="R324" s="13" t="str">
        <f t="shared" si="151"/>
        <v>-</v>
      </c>
      <c r="S324" s="13" t="str">
        <f t="shared" si="152"/>
        <v>-</v>
      </c>
      <c r="T324" s="13" t="str">
        <f t="shared" si="153"/>
        <v>-</v>
      </c>
      <c r="U324" s="31" t="str">
        <f t="shared" si="162"/>
        <v>-</v>
      </c>
      <c r="V324" s="6">
        <f t="shared" si="163"/>
        <v>1</v>
      </c>
      <c r="W324" s="6">
        <f>IF(V324="","",COUNT($V$3:V324))</f>
        <v>108</v>
      </c>
      <c r="X324" s="6">
        <f t="shared" ref="X324:X368" si="170">IF(ISERR(4-MOD($W324,4)),"",4-MOD($W324,4))</f>
        <v>4</v>
      </c>
      <c r="Y324" s="6">
        <f t="shared" ref="Y324:Y368" si="171">IF(ISERR(4-MOD($W324-1,4)),"",4-MOD($W324-1,4))</f>
        <v>1</v>
      </c>
      <c r="Z324" s="6">
        <f t="shared" ref="Z324:Z368" si="172">IF(ISERR(4-MOD($W324-2,4)),"",4-MOD($W324-2,4))</f>
        <v>2</v>
      </c>
      <c r="AA324" s="6">
        <f t="shared" ref="AA324:AA368" si="173">IF(ISERR(4-MOD($W324-3,4)),"",4-MOD($W324-3,4))</f>
        <v>3</v>
      </c>
      <c r="AB324" s="32">
        <f t="shared" si="164"/>
        <v>3</v>
      </c>
      <c r="AC324" s="13" t="str">
        <f t="shared" ref="AC324:AC368" si="174">IF(X324="","-",CHOOSE(MOD(X324+$AD$1,4)+1,$X$1,$Y$1,$Z$1,$AA$1))</f>
        <v>정윤준</v>
      </c>
      <c r="AD324" s="13" t="str">
        <f t="shared" ref="AD324:AD368" si="175">IF(Y324="","-",CHOOSE(MOD(Y324+$AD$1,4)+1,$X$1,$Y$1,$Z$1,$AA$1))</f>
        <v>이기수</v>
      </c>
      <c r="AE324" s="13" t="str">
        <f t="shared" ref="AE324:AE368" si="176">IF(Z324="","-",CHOOSE(MOD(Z324+$AD$1,4)+1,$X$1,$Y$1,$Z$1,$AA$1))</f>
        <v>박성현</v>
      </c>
      <c r="AF324" s="13" t="str">
        <f t="shared" ref="AF324:AF368" si="177">IF(AA324="","-",CHOOSE(MOD(AA324+$AD$1,4)+1,$X$1,$Y$1,$Z$1,$AA$1))</f>
        <v>허지웅</v>
      </c>
      <c r="AG324" s="31" t="str">
        <f t="shared" si="165"/>
        <v>이기수</v>
      </c>
      <c r="AH324" s="2" t="str">
        <f t="shared" ref="AH324:AH368" si="178">IF(OR(AE324&amp;AF324="허지웅정윤준", AE324&amp;AF324="정윤준허지웅"),1,"")</f>
        <v/>
      </c>
      <c r="AI324" s="2" t="str">
        <f>IF(AH324="","",COUNT($AH$3:AH324))</f>
        <v/>
      </c>
      <c r="AJ324" s="60" t="str">
        <f t="shared" ref="AJ324:AJ368" si="179">IF(AI324&lt;&gt;"", CHOOSE(MOD(AI324, 2) + 1, $X$1, $Y$1), "")</f>
        <v/>
      </c>
    </row>
    <row r="325" spans="1:36" ht="16.5">
      <c r="A325" s="6">
        <v>323</v>
      </c>
      <c r="B325" s="9">
        <f t="shared" si="154"/>
        <v>46345</v>
      </c>
      <c r="C325" s="7">
        <f t="shared" si="155"/>
        <v>11</v>
      </c>
      <c r="D325" s="7">
        <f t="shared" si="156"/>
        <v>19</v>
      </c>
      <c r="E325" s="15">
        <f t="shared" si="157"/>
        <v>5</v>
      </c>
      <c r="F325" s="8" t="str">
        <f t="shared" si="158"/>
        <v/>
      </c>
      <c r="G325" s="58"/>
      <c r="H325" s="12" t="s">
        <v>64</v>
      </c>
      <c r="I325" s="6" t="str">
        <f t="shared" si="159"/>
        <v>비번</v>
      </c>
      <c r="J325" s="6" t="str">
        <f t="shared" si="160"/>
        <v/>
      </c>
      <c r="K325" s="6" t="str">
        <f>IF(J325="","",COUNT($J$3:J325))</f>
        <v/>
      </c>
      <c r="L325" s="6" t="str">
        <f t="shared" si="166"/>
        <v/>
      </c>
      <c r="M325" s="6" t="str">
        <f t="shared" si="167"/>
        <v/>
      </c>
      <c r="N325" s="6" t="str">
        <f t="shared" si="168"/>
        <v/>
      </c>
      <c r="O325" s="6" t="str">
        <f t="shared" si="169"/>
        <v/>
      </c>
      <c r="P325" s="32" t="str">
        <f t="shared" si="161"/>
        <v/>
      </c>
      <c r="Q325" s="13" t="str">
        <f t="shared" si="150"/>
        <v>-</v>
      </c>
      <c r="R325" s="13" t="str">
        <f t="shared" si="151"/>
        <v>-</v>
      </c>
      <c r="S325" s="13" t="str">
        <f t="shared" si="152"/>
        <v>-</v>
      </c>
      <c r="T325" s="13" t="str">
        <f t="shared" si="153"/>
        <v>-</v>
      </c>
      <c r="U325" s="31" t="str">
        <f t="shared" si="162"/>
        <v>-</v>
      </c>
      <c r="V325" s="6" t="str">
        <f t="shared" si="163"/>
        <v/>
      </c>
      <c r="W325" s="6" t="str">
        <f>IF(V325="","",COUNT($V$3:V325))</f>
        <v/>
      </c>
      <c r="X325" s="6" t="str">
        <f t="shared" si="170"/>
        <v/>
      </c>
      <c r="Y325" s="6" t="str">
        <f t="shared" si="171"/>
        <v/>
      </c>
      <c r="Z325" s="6" t="str">
        <f t="shared" si="172"/>
        <v/>
      </c>
      <c r="AA325" s="6" t="str">
        <f t="shared" si="173"/>
        <v/>
      </c>
      <c r="AB325" s="32" t="str">
        <f t="shared" si="164"/>
        <v/>
      </c>
      <c r="AC325" s="13" t="str">
        <f t="shared" si="174"/>
        <v>-</v>
      </c>
      <c r="AD325" s="13" t="str">
        <f t="shared" si="175"/>
        <v>-</v>
      </c>
      <c r="AE325" s="13" t="str">
        <f t="shared" si="176"/>
        <v>-</v>
      </c>
      <c r="AF325" s="13" t="str">
        <f t="shared" si="177"/>
        <v>-</v>
      </c>
      <c r="AG325" s="31" t="str">
        <f t="shared" si="165"/>
        <v>-</v>
      </c>
      <c r="AH325" s="2" t="str">
        <f t="shared" si="178"/>
        <v/>
      </c>
      <c r="AI325" s="2" t="str">
        <f>IF(AH325="","",COUNT($AH$3:AH325))</f>
        <v/>
      </c>
      <c r="AJ325" s="60" t="str">
        <f t="shared" si="179"/>
        <v/>
      </c>
    </row>
    <row r="326" spans="1:36" ht="16.5">
      <c r="A326" s="6">
        <v>324</v>
      </c>
      <c r="B326" s="9">
        <f t="shared" si="154"/>
        <v>46346</v>
      </c>
      <c r="C326" s="7">
        <f t="shared" si="155"/>
        <v>11</v>
      </c>
      <c r="D326" s="7">
        <f t="shared" si="156"/>
        <v>20</v>
      </c>
      <c r="E326" s="15">
        <f t="shared" si="157"/>
        <v>6</v>
      </c>
      <c r="F326" s="8" t="str">
        <f t="shared" si="158"/>
        <v/>
      </c>
      <c r="G326" s="58"/>
      <c r="H326" s="12" t="s">
        <v>65</v>
      </c>
      <c r="I326" s="6" t="str">
        <f t="shared" si="159"/>
        <v>주간</v>
      </c>
      <c r="J326" s="6">
        <f t="shared" si="160"/>
        <v>1</v>
      </c>
      <c r="K326" s="6">
        <f>IF(J326="","",COUNT($J$3:J326))</f>
        <v>73</v>
      </c>
      <c r="L326" s="6">
        <f t="shared" si="166"/>
        <v>3</v>
      </c>
      <c r="M326" s="6">
        <f t="shared" si="167"/>
        <v>4</v>
      </c>
      <c r="N326" s="6">
        <f t="shared" si="168"/>
        <v>1</v>
      </c>
      <c r="O326" s="6">
        <f t="shared" si="169"/>
        <v>2</v>
      </c>
      <c r="P326" s="32">
        <f t="shared" si="161"/>
        <v>3</v>
      </c>
      <c r="Q326" s="13" t="str">
        <f t="shared" si="150"/>
        <v>허지웅</v>
      </c>
      <c r="R326" s="13" t="str">
        <f t="shared" si="151"/>
        <v>정윤준</v>
      </c>
      <c r="S326" s="13" t="str">
        <f t="shared" si="152"/>
        <v>이기수</v>
      </c>
      <c r="T326" s="13" t="str">
        <f t="shared" si="153"/>
        <v>박성현</v>
      </c>
      <c r="U326" s="31" t="str">
        <f t="shared" si="162"/>
        <v>허지웅</v>
      </c>
      <c r="V326" s="6" t="str">
        <f t="shared" si="163"/>
        <v/>
      </c>
      <c r="W326" s="6" t="str">
        <f>IF(V326="","",COUNT($V$3:V326))</f>
        <v/>
      </c>
      <c r="X326" s="6" t="str">
        <f t="shared" si="170"/>
        <v/>
      </c>
      <c r="Y326" s="6" t="str">
        <f t="shared" si="171"/>
        <v/>
      </c>
      <c r="Z326" s="6" t="str">
        <f t="shared" si="172"/>
        <v/>
      </c>
      <c r="AA326" s="6" t="str">
        <f t="shared" si="173"/>
        <v/>
      </c>
      <c r="AB326" s="32" t="str">
        <f t="shared" si="164"/>
        <v/>
      </c>
      <c r="AC326" s="13" t="str">
        <f t="shared" si="174"/>
        <v>-</v>
      </c>
      <c r="AD326" s="13" t="str">
        <f t="shared" si="175"/>
        <v>-</v>
      </c>
      <c r="AE326" s="13" t="str">
        <f t="shared" si="176"/>
        <v>-</v>
      </c>
      <c r="AF326" s="13" t="str">
        <f t="shared" si="177"/>
        <v>-</v>
      </c>
      <c r="AG326" s="31" t="str">
        <f t="shared" si="165"/>
        <v>-</v>
      </c>
      <c r="AH326" s="2" t="str">
        <f t="shared" si="178"/>
        <v/>
      </c>
      <c r="AI326" s="2" t="str">
        <f>IF(AH326="","",COUNT($AH$3:AH326))</f>
        <v/>
      </c>
      <c r="AJ326" s="60" t="str">
        <f t="shared" si="179"/>
        <v/>
      </c>
    </row>
    <row r="327" spans="1:36" ht="16.5">
      <c r="A327" s="6">
        <v>325</v>
      </c>
      <c r="B327" s="9">
        <f t="shared" si="154"/>
        <v>46347</v>
      </c>
      <c r="C327" s="7">
        <f t="shared" si="155"/>
        <v>11</v>
      </c>
      <c r="D327" s="7">
        <f t="shared" si="156"/>
        <v>21</v>
      </c>
      <c r="E327" s="15">
        <f t="shared" si="157"/>
        <v>7</v>
      </c>
      <c r="F327" s="8" t="str">
        <f t="shared" si="158"/>
        <v>휴</v>
      </c>
      <c r="G327" s="58"/>
      <c r="H327" s="12" t="s">
        <v>63</v>
      </c>
      <c r="I327" s="6" t="str">
        <f t="shared" si="159"/>
        <v>당직</v>
      </c>
      <c r="J327" s="6" t="str">
        <f t="shared" si="160"/>
        <v/>
      </c>
      <c r="K327" s="6" t="str">
        <f>IF(J327="","",COUNT($J$3:J327))</f>
        <v/>
      </c>
      <c r="L327" s="6" t="str">
        <f t="shared" si="166"/>
        <v/>
      </c>
      <c r="M327" s="6" t="str">
        <f t="shared" si="167"/>
        <v/>
      </c>
      <c r="N327" s="6" t="str">
        <f t="shared" si="168"/>
        <v/>
      </c>
      <c r="O327" s="6" t="str">
        <f t="shared" si="169"/>
        <v/>
      </c>
      <c r="P327" s="32" t="str">
        <f t="shared" si="161"/>
        <v/>
      </c>
      <c r="Q327" s="13" t="str">
        <f t="shared" si="150"/>
        <v>-</v>
      </c>
      <c r="R327" s="13" t="str">
        <f t="shared" si="151"/>
        <v>-</v>
      </c>
      <c r="S327" s="13" t="str">
        <f t="shared" si="152"/>
        <v>-</v>
      </c>
      <c r="T327" s="13" t="str">
        <f t="shared" si="153"/>
        <v>-</v>
      </c>
      <c r="U327" s="31" t="str">
        <f t="shared" si="162"/>
        <v>-</v>
      </c>
      <c r="V327" s="6">
        <f t="shared" si="163"/>
        <v>1</v>
      </c>
      <c r="W327" s="6">
        <f>IF(V327="","",COUNT($V$3:V327))</f>
        <v>109</v>
      </c>
      <c r="X327" s="6">
        <f t="shared" si="170"/>
        <v>3</v>
      </c>
      <c r="Y327" s="6">
        <f t="shared" si="171"/>
        <v>4</v>
      </c>
      <c r="Z327" s="6">
        <f t="shared" si="172"/>
        <v>1</v>
      </c>
      <c r="AA327" s="6">
        <f t="shared" si="173"/>
        <v>2</v>
      </c>
      <c r="AB327" s="32">
        <f t="shared" si="164"/>
        <v>4</v>
      </c>
      <c r="AC327" s="13" t="str">
        <f t="shared" si="174"/>
        <v>허지웅</v>
      </c>
      <c r="AD327" s="13" t="str">
        <f t="shared" si="175"/>
        <v>정윤준</v>
      </c>
      <c r="AE327" s="13" t="str">
        <f t="shared" si="176"/>
        <v>이기수</v>
      </c>
      <c r="AF327" s="13" t="str">
        <f t="shared" si="177"/>
        <v>박성현</v>
      </c>
      <c r="AG327" s="31" t="e">
        <f t="shared" si="165"/>
        <v>#VALUE!</v>
      </c>
      <c r="AH327" s="2" t="str">
        <f t="shared" si="178"/>
        <v/>
      </c>
      <c r="AI327" s="2" t="str">
        <f>IF(AH327="","",COUNT($AH$3:AH327))</f>
        <v/>
      </c>
      <c r="AJ327" s="60" t="str">
        <f t="shared" si="179"/>
        <v/>
      </c>
    </row>
    <row r="328" spans="1:36" ht="16.5">
      <c r="A328" s="6">
        <v>326</v>
      </c>
      <c r="B328" s="9">
        <f t="shared" si="154"/>
        <v>46348</v>
      </c>
      <c r="C328" s="7">
        <f t="shared" si="155"/>
        <v>11</v>
      </c>
      <c r="D328" s="7">
        <f t="shared" si="156"/>
        <v>22</v>
      </c>
      <c r="E328" s="15">
        <f t="shared" si="157"/>
        <v>1</v>
      </c>
      <c r="F328" s="8" t="str">
        <f t="shared" si="158"/>
        <v>휴</v>
      </c>
      <c r="G328" s="58"/>
      <c r="H328" s="12" t="s">
        <v>64</v>
      </c>
      <c r="I328" s="6" t="str">
        <f t="shared" si="159"/>
        <v>비번</v>
      </c>
      <c r="J328" s="6" t="str">
        <f t="shared" si="160"/>
        <v/>
      </c>
      <c r="K328" s="6" t="str">
        <f>IF(J328="","",COUNT($J$3:J328))</f>
        <v/>
      </c>
      <c r="L328" s="6" t="str">
        <f t="shared" si="166"/>
        <v/>
      </c>
      <c r="M328" s="6" t="str">
        <f t="shared" si="167"/>
        <v/>
      </c>
      <c r="N328" s="6" t="str">
        <f t="shared" si="168"/>
        <v/>
      </c>
      <c r="O328" s="6" t="str">
        <f t="shared" si="169"/>
        <v/>
      </c>
      <c r="P328" s="32" t="str">
        <f t="shared" si="161"/>
        <v/>
      </c>
      <c r="Q328" s="13" t="str">
        <f t="shared" si="150"/>
        <v>-</v>
      </c>
      <c r="R328" s="13" t="str">
        <f t="shared" si="151"/>
        <v>-</v>
      </c>
      <c r="S328" s="13" t="str">
        <f t="shared" si="152"/>
        <v>-</v>
      </c>
      <c r="T328" s="13" t="str">
        <f t="shared" si="153"/>
        <v>-</v>
      </c>
      <c r="U328" s="31" t="str">
        <f t="shared" si="162"/>
        <v>-</v>
      </c>
      <c r="V328" s="6" t="str">
        <f t="shared" si="163"/>
        <v/>
      </c>
      <c r="W328" s="6" t="str">
        <f>IF(V328="","",COUNT($V$3:V328))</f>
        <v/>
      </c>
      <c r="X328" s="6" t="str">
        <f t="shared" si="170"/>
        <v/>
      </c>
      <c r="Y328" s="6" t="str">
        <f t="shared" si="171"/>
        <v/>
      </c>
      <c r="Z328" s="6" t="str">
        <f t="shared" si="172"/>
        <v/>
      </c>
      <c r="AA328" s="6" t="str">
        <f t="shared" si="173"/>
        <v/>
      </c>
      <c r="AB328" s="32" t="str">
        <f t="shared" si="164"/>
        <v/>
      </c>
      <c r="AC328" s="13" t="str">
        <f t="shared" si="174"/>
        <v>-</v>
      </c>
      <c r="AD328" s="13" t="str">
        <f t="shared" si="175"/>
        <v>-</v>
      </c>
      <c r="AE328" s="13" t="str">
        <f t="shared" si="176"/>
        <v>-</v>
      </c>
      <c r="AF328" s="13" t="str">
        <f t="shared" si="177"/>
        <v>-</v>
      </c>
      <c r="AG328" s="31" t="str">
        <f t="shared" si="165"/>
        <v>-</v>
      </c>
      <c r="AH328" s="2" t="str">
        <f t="shared" si="178"/>
        <v/>
      </c>
      <c r="AI328" s="2" t="str">
        <f>IF(AH328="","",COUNT($AH$3:AH328))</f>
        <v/>
      </c>
      <c r="AJ328" s="60" t="str">
        <f t="shared" si="179"/>
        <v/>
      </c>
    </row>
    <row r="329" spans="1:36" ht="16.5">
      <c r="A329" s="6">
        <v>327</v>
      </c>
      <c r="B329" s="9">
        <f t="shared" si="154"/>
        <v>46349</v>
      </c>
      <c r="C329" s="7">
        <f t="shared" si="155"/>
        <v>11</v>
      </c>
      <c r="D329" s="7">
        <f t="shared" si="156"/>
        <v>23</v>
      </c>
      <c r="E329" s="15">
        <f t="shared" si="157"/>
        <v>2</v>
      </c>
      <c r="F329" s="8" t="str">
        <f t="shared" si="158"/>
        <v/>
      </c>
      <c r="G329" s="58"/>
      <c r="H329" s="12" t="s">
        <v>65</v>
      </c>
      <c r="I329" s="6" t="str">
        <f t="shared" si="159"/>
        <v>주간</v>
      </c>
      <c r="J329" s="6">
        <f t="shared" si="160"/>
        <v>1</v>
      </c>
      <c r="K329" s="6">
        <f>IF(J329="","",COUNT($J$3:J329))</f>
        <v>74</v>
      </c>
      <c r="L329" s="6">
        <f t="shared" si="166"/>
        <v>2</v>
      </c>
      <c r="M329" s="6">
        <f t="shared" si="167"/>
        <v>3</v>
      </c>
      <c r="N329" s="6">
        <f t="shared" si="168"/>
        <v>4</v>
      </c>
      <c r="O329" s="6">
        <f t="shared" si="169"/>
        <v>1</v>
      </c>
      <c r="P329" s="32">
        <f t="shared" si="161"/>
        <v>4</v>
      </c>
      <c r="Q329" s="13" t="str">
        <f t="shared" ref="Q329:Q368" si="180">IF(L329="","-",CHOOSE(MOD(L329+$R$1,4)+1,$L$1,$M$1,$N$1,$O$1))</f>
        <v>박성현</v>
      </c>
      <c r="R329" s="13" t="str">
        <f t="shared" ref="R329:R368" si="181">IF(M329="","-",CHOOSE(MOD(M329+$R$1,4)+1,$L$1,$M$1,$N$1,$O$1))</f>
        <v>허지웅</v>
      </c>
      <c r="S329" s="13" t="str">
        <f t="shared" ref="S329:S368" si="182">IF(N329="","-",CHOOSE(MOD(N329+$R$1,4)+1,$L$1,$M$1,$N$1,$O$1))</f>
        <v>정윤준</v>
      </c>
      <c r="T329" s="13" t="str">
        <f t="shared" ref="T329:T368" si="183">IF(O329="","-",CHOOSE(MOD(O329+$R$1,4)+1,$L$1,$M$1,$N$1,$O$1))</f>
        <v>이기수</v>
      </c>
      <c r="U329" s="31" t="e">
        <f t="shared" si="162"/>
        <v>#VALUE!</v>
      </c>
      <c r="V329" s="6" t="str">
        <f t="shared" si="163"/>
        <v/>
      </c>
      <c r="W329" s="6" t="str">
        <f>IF(V329="","",COUNT($V$3:V329))</f>
        <v/>
      </c>
      <c r="X329" s="6" t="str">
        <f t="shared" si="170"/>
        <v/>
      </c>
      <c r="Y329" s="6" t="str">
        <f t="shared" si="171"/>
        <v/>
      </c>
      <c r="Z329" s="6" t="str">
        <f t="shared" si="172"/>
        <v/>
      </c>
      <c r="AA329" s="6" t="str">
        <f t="shared" si="173"/>
        <v/>
      </c>
      <c r="AB329" s="32" t="str">
        <f t="shared" si="164"/>
        <v/>
      </c>
      <c r="AC329" s="13" t="str">
        <f t="shared" si="174"/>
        <v>-</v>
      </c>
      <c r="AD329" s="13" t="str">
        <f t="shared" si="175"/>
        <v>-</v>
      </c>
      <c r="AE329" s="13" t="str">
        <f t="shared" si="176"/>
        <v>-</v>
      </c>
      <c r="AF329" s="13" t="str">
        <f t="shared" si="177"/>
        <v>-</v>
      </c>
      <c r="AG329" s="31" t="str">
        <f t="shared" si="165"/>
        <v>-</v>
      </c>
      <c r="AH329" s="2" t="str">
        <f t="shared" si="178"/>
        <v/>
      </c>
      <c r="AI329" s="2" t="str">
        <f>IF(AH329="","",COUNT($AH$3:AH329))</f>
        <v/>
      </c>
      <c r="AJ329" s="60" t="str">
        <f t="shared" si="179"/>
        <v/>
      </c>
    </row>
    <row r="330" spans="1:36" ht="16.5">
      <c r="A330" s="6">
        <v>328</v>
      </c>
      <c r="B330" s="9">
        <f t="shared" si="154"/>
        <v>46350</v>
      </c>
      <c r="C330" s="7">
        <f t="shared" si="155"/>
        <v>11</v>
      </c>
      <c r="D330" s="7">
        <f t="shared" si="156"/>
        <v>24</v>
      </c>
      <c r="E330" s="15">
        <f t="shared" si="157"/>
        <v>3</v>
      </c>
      <c r="F330" s="8" t="str">
        <f t="shared" si="158"/>
        <v/>
      </c>
      <c r="G330" s="58"/>
      <c r="H330" s="12" t="s">
        <v>63</v>
      </c>
      <c r="I330" s="6" t="str">
        <f t="shared" si="159"/>
        <v>야간</v>
      </c>
      <c r="J330" s="6" t="str">
        <f t="shared" si="160"/>
        <v/>
      </c>
      <c r="K330" s="6" t="str">
        <f>IF(J330="","",COUNT($J$3:J330))</f>
        <v/>
      </c>
      <c r="L330" s="6" t="str">
        <f t="shared" si="166"/>
        <v/>
      </c>
      <c r="M330" s="6" t="str">
        <f t="shared" si="167"/>
        <v/>
      </c>
      <c r="N330" s="6" t="str">
        <f t="shared" si="168"/>
        <v/>
      </c>
      <c r="O330" s="6" t="str">
        <f t="shared" si="169"/>
        <v/>
      </c>
      <c r="P330" s="32" t="str">
        <f t="shared" si="161"/>
        <v/>
      </c>
      <c r="Q330" s="13" t="str">
        <f t="shared" si="180"/>
        <v>-</v>
      </c>
      <c r="R330" s="13" t="str">
        <f t="shared" si="181"/>
        <v>-</v>
      </c>
      <c r="S330" s="13" t="str">
        <f t="shared" si="182"/>
        <v>-</v>
      </c>
      <c r="T330" s="13" t="str">
        <f t="shared" si="183"/>
        <v>-</v>
      </c>
      <c r="U330" s="31" t="str">
        <f t="shared" si="162"/>
        <v>-</v>
      </c>
      <c r="V330" s="6">
        <f t="shared" si="163"/>
        <v>1</v>
      </c>
      <c r="W330" s="6">
        <f>IF(V330="","",COUNT($V$3:V330))</f>
        <v>110</v>
      </c>
      <c r="X330" s="6">
        <f t="shared" si="170"/>
        <v>2</v>
      </c>
      <c r="Y330" s="6">
        <f t="shared" si="171"/>
        <v>3</v>
      </c>
      <c r="Z330" s="6">
        <f t="shared" si="172"/>
        <v>4</v>
      </c>
      <c r="AA330" s="6">
        <f t="shared" si="173"/>
        <v>1</v>
      </c>
      <c r="AB330" s="32">
        <f t="shared" si="164"/>
        <v>0</v>
      </c>
      <c r="AC330" s="13" t="str">
        <f t="shared" si="174"/>
        <v>박성현</v>
      </c>
      <c r="AD330" s="13" t="str">
        <f t="shared" si="175"/>
        <v>허지웅</v>
      </c>
      <c r="AE330" s="13" t="str">
        <f t="shared" si="176"/>
        <v>정윤준</v>
      </c>
      <c r="AF330" s="13" t="str">
        <f t="shared" si="177"/>
        <v>이기수</v>
      </c>
      <c r="AG330" s="31" t="str">
        <f t="shared" si="165"/>
        <v>정윤준</v>
      </c>
      <c r="AH330" s="2" t="str">
        <f t="shared" si="178"/>
        <v/>
      </c>
      <c r="AI330" s="2" t="str">
        <f>IF(AH330="","",COUNT($AH$3:AH330))</f>
        <v/>
      </c>
      <c r="AJ330" s="60" t="str">
        <f t="shared" si="179"/>
        <v/>
      </c>
    </row>
    <row r="331" spans="1:36" ht="16.5">
      <c r="A331" s="6">
        <v>329</v>
      </c>
      <c r="B331" s="9">
        <f t="shared" si="154"/>
        <v>46351</v>
      </c>
      <c r="C331" s="7">
        <f t="shared" si="155"/>
        <v>11</v>
      </c>
      <c r="D331" s="7">
        <f t="shared" si="156"/>
        <v>25</v>
      </c>
      <c r="E331" s="15">
        <f t="shared" si="157"/>
        <v>4</v>
      </c>
      <c r="F331" s="8" t="str">
        <f t="shared" si="158"/>
        <v/>
      </c>
      <c r="G331" s="58"/>
      <c r="H331" s="12" t="s">
        <v>64</v>
      </c>
      <c r="I331" s="6" t="str">
        <f t="shared" si="159"/>
        <v>비번</v>
      </c>
      <c r="J331" s="6" t="str">
        <f t="shared" si="160"/>
        <v/>
      </c>
      <c r="K331" s="6" t="str">
        <f>IF(J331="","",COUNT($J$3:J331))</f>
        <v/>
      </c>
      <c r="L331" s="6" t="str">
        <f t="shared" si="166"/>
        <v/>
      </c>
      <c r="M331" s="6" t="str">
        <f t="shared" si="167"/>
        <v/>
      </c>
      <c r="N331" s="6" t="str">
        <f t="shared" si="168"/>
        <v/>
      </c>
      <c r="O331" s="6" t="str">
        <f t="shared" si="169"/>
        <v/>
      </c>
      <c r="P331" s="32" t="str">
        <f t="shared" si="161"/>
        <v/>
      </c>
      <c r="Q331" s="13" t="str">
        <f t="shared" si="180"/>
        <v>-</v>
      </c>
      <c r="R331" s="13" t="str">
        <f t="shared" si="181"/>
        <v>-</v>
      </c>
      <c r="S331" s="13" t="str">
        <f t="shared" si="182"/>
        <v>-</v>
      </c>
      <c r="T331" s="13" t="str">
        <f t="shared" si="183"/>
        <v>-</v>
      </c>
      <c r="U331" s="31" t="str">
        <f t="shared" si="162"/>
        <v>-</v>
      </c>
      <c r="V331" s="6" t="str">
        <f t="shared" si="163"/>
        <v/>
      </c>
      <c r="W331" s="6" t="str">
        <f>IF(V331="","",COUNT($V$3:V331))</f>
        <v/>
      </c>
      <c r="X331" s="6" t="str">
        <f t="shared" si="170"/>
        <v/>
      </c>
      <c r="Y331" s="6" t="str">
        <f t="shared" si="171"/>
        <v/>
      </c>
      <c r="Z331" s="6" t="str">
        <f t="shared" si="172"/>
        <v/>
      </c>
      <c r="AA331" s="6" t="str">
        <f t="shared" si="173"/>
        <v/>
      </c>
      <c r="AB331" s="32" t="str">
        <f t="shared" si="164"/>
        <v/>
      </c>
      <c r="AC331" s="13" t="str">
        <f t="shared" si="174"/>
        <v>-</v>
      </c>
      <c r="AD331" s="13" t="str">
        <f t="shared" si="175"/>
        <v>-</v>
      </c>
      <c r="AE331" s="13" t="str">
        <f t="shared" si="176"/>
        <v>-</v>
      </c>
      <c r="AF331" s="13" t="str">
        <f t="shared" si="177"/>
        <v>-</v>
      </c>
      <c r="AG331" s="31" t="str">
        <f t="shared" si="165"/>
        <v>-</v>
      </c>
      <c r="AH331" s="2" t="str">
        <f t="shared" si="178"/>
        <v/>
      </c>
      <c r="AI331" s="2" t="str">
        <f>IF(AH331="","",COUNT($AH$3:AH331))</f>
        <v/>
      </c>
      <c r="AJ331" s="60" t="str">
        <f t="shared" si="179"/>
        <v/>
      </c>
    </row>
    <row r="332" spans="1:36" ht="16.5">
      <c r="A332" s="6">
        <v>330</v>
      </c>
      <c r="B332" s="9">
        <f t="shared" si="154"/>
        <v>46352</v>
      </c>
      <c r="C332" s="7">
        <f t="shared" si="155"/>
        <v>11</v>
      </c>
      <c r="D332" s="7">
        <f t="shared" si="156"/>
        <v>26</v>
      </c>
      <c r="E332" s="15">
        <f t="shared" si="157"/>
        <v>5</v>
      </c>
      <c r="F332" s="8" t="str">
        <f t="shared" si="158"/>
        <v/>
      </c>
      <c r="G332" s="58"/>
      <c r="H332" s="12" t="s">
        <v>65</v>
      </c>
      <c r="I332" s="6" t="str">
        <f t="shared" si="159"/>
        <v>주간</v>
      </c>
      <c r="J332" s="6">
        <f t="shared" si="160"/>
        <v>1</v>
      </c>
      <c r="K332" s="6">
        <f>IF(J332="","",COUNT($J$3:J332))</f>
        <v>75</v>
      </c>
      <c r="L332" s="6">
        <f t="shared" si="166"/>
        <v>1</v>
      </c>
      <c r="M332" s="6">
        <f t="shared" si="167"/>
        <v>2</v>
      </c>
      <c r="N332" s="6">
        <f t="shared" si="168"/>
        <v>3</v>
      </c>
      <c r="O332" s="6">
        <f t="shared" si="169"/>
        <v>4</v>
      </c>
      <c r="P332" s="32">
        <f t="shared" si="161"/>
        <v>0</v>
      </c>
      <c r="Q332" s="13" t="str">
        <f t="shared" si="180"/>
        <v>이기수</v>
      </c>
      <c r="R332" s="13" t="str">
        <f t="shared" si="181"/>
        <v>박성현</v>
      </c>
      <c r="S332" s="13" t="str">
        <f t="shared" si="182"/>
        <v>허지웅</v>
      </c>
      <c r="T332" s="13" t="str">
        <f t="shared" si="183"/>
        <v>정윤준</v>
      </c>
      <c r="U332" s="31" t="str">
        <f t="shared" si="162"/>
        <v>장혁진</v>
      </c>
      <c r="V332" s="6" t="str">
        <f t="shared" si="163"/>
        <v/>
      </c>
      <c r="W332" s="6" t="str">
        <f>IF(V332="","",COUNT($V$3:V332))</f>
        <v/>
      </c>
      <c r="X332" s="6" t="str">
        <f t="shared" si="170"/>
        <v/>
      </c>
      <c r="Y332" s="6" t="str">
        <f t="shared" si="171"/>
        <v/>
      </c>
      <c r="Z332" s="6" t="str">
        <f t="shared" si="172"/>
        <v/>
      </c>
      <c r="AA332" s="6" t="str">
        <f t="shared" si="173"/>
        <v/>
      </c>
      <c r="AB332" s="32" t="str">
        <f t="shared" si="164"/>
        <v/>
      </c>
      <c r="AC332" s="13" t="str">
        <f t="shared" si="174"/>
        <v>-</v>
      </c>
      <c r="AD332" s="13" t="str">
        <f t="shared" si="175"/>
        <v>-</v>
      </c>
      <c r="AE332" s="13" t="str">
        <f t="shared" si="176"/>
        <v>-</v>
      </c>
      <c r="AF332" s="13" t="str">
        <f t="shared" si="177"/>
        <v>-</v>
      </c>
      <c r="AG332" s="31" t="str">
        <f t="shared" si="165"/>
        <v>-</v>
      </c>
      <c r="AH332" s="2" t="str">
        <f t="shared" si="178"/>
        <v/>
      </c>
      <c r="AI332" s="2" t="str">
        <f>IF(AH332="","",COUNT($AH$3:AH332))</f>
        <v/>
      </c>
      <c r="AJ332" s="60" t="str">
        <f t="shared" si="179"/>
        <v/>
      </c>
    </row>
    <row r="333" spans="1:36" ht="16.5">
      <c r="A333" s="6">
        <v>331</v>
      </c>
      <c r="B333" s="9">
        <f t="shared" si="154"/>
        <v>46353</v>
      </c>
      <c r="C333" s="7">
        <f t="shared" si="155"/>
        <v>11</v>
      </c>
      <c r="D333" s="7">
        <f t="shared" si="156"/>
        <v>27</v>
      </c>
      <c r="E333" s="15">
        <f t="shared" si="157"/>
        <v>6</v>
      </c>
      <c r="F333" s="8" t="str">
        <f t="shared" si="158"/>
        <v/>
      </c>
      <c r="G333" s="58"/>
      <c r="H333" s="12" t="s">
        <v>63</v>
      </c>
      <c r="I333" s="6" t="str">
        <f t="shared" si="159"/>
        <v>야간</v>
      </c>
      <c r="J333" s="6" t="str">
        <f t="shared" si="160"/>
        <v/>
      </c>
      <c r="K333" s="6" t="str">
        <f>IF(J333="","",COUNT($J$3:J333))</f>
        <v/>
      </c>
      <c r="L333" s="6" t="str">
        <f t="shared" si="166"/>
        <v/>
      </c>
      <c r="M333" s="6" t="str">
        <f t="shared" si="167"/>
        <v/>
      </c>
      <c r="N333" s="6" t="str">
        <f t="shared" si="168"/>
        <v/>
      </c>
      <c r="O333" s="6" t="str">
        <f t="shared" si="169"/>
        <v/>
      </c>
      <c r="P333" s="32" t="str">
        <f t="shared" si="161"/>
        <v/>
      </c>
      <c r="Q333" s="13" t="str">
        <f t="shared" si="180"/>
        <v>-</v>
      </c>
      <c r="R333" s="13" t="str">
        <f t="shared" si="181"/>
        <v>-</v>
      </c>
      <c r="S333" s="13" t="str">
        <f t="shared" si="182"/>
        <v>-</v>
      </c>
      <c r="T333" s="13" t="str">
        <f t="shared" si="183"/>
        <v>-</v>
      </c>
      <c r="U333" s="31" t="str">
        <f t="shared" si="162"/>
        <v>-</v>
      </c>
      <c r="V333" s="6">
        <f t="shared" si="163"/>
        <v>1</v>
      </c>
      <c r="W333" s="6">
        <f>IF(V333="","",COUNT($V$3:V333))</f>
        <v>111</v>
      </c>
      <c r="X333" s="6">
        <f t="shared" si="170"/>
        <v>1</v>
      </c>
      <c r="Y333" s="6">
        <f t="shared" si="171"/>
        <v>2</v>
      </c>
      <c r="Z333" s="6">
        <f t="shared" si="172"/>
        <v>3</v>
      </c>
      <c r="AA333" s="6">
        <f t="shared" si="173"/>
        <v>4</v>
      </c>
      <c r="AB333" s="32">
        <f t="shared" si="164"/>
        <v>1</v>
      </c>
      <c r="AC333" s="13" t="str">
        <f t="shared" si="174"/>
        <v>이기수</v>
      </c>
      <c r="AD333" s="13" t="str">
        <f t="shared" si="175"/>
        <v>박성현</v>
      </c>
      <c r="AE333" s="13" t="str">
        <f t="shared" si="176"/>
        <v>허지웅</v>
      </c>
      <c r="AF333" s="13" t="str">
        <f t="shared" si="177"/>
        <v>정윤준</v>
      </c>
      <c r="AG333" s="31" t="str">
        <f t="shared" si="165"/>
        <v>허지웅</v>
      </c>
      <c r="AH333" s="2">
        <f t="shared" si="178"/>
        <v>1</v>
      </c>
      <c r="AI333" s="2">
        <f>IF(AH333="","",COUNT($AH$3:AH333))</f>
        <v>28</v>
      </c>
      <c r="AJ333" s="60" t="str">
        <f t="shared" si="179"/>
        <v>허지웅</v>
      </c>
    </row>
    <row r="334" spans="1:36" ht="16.5">
      <c r="A334" s="6">
        <v>332</v>
      </c>
      <c r="B334" s="9">
        <f t="shared" si="154"/>
        <v>46354</v>
      </c>
      <c r="C334" s="7">
        <f t="shared" si="155"/>
        <v>11</v>
      </c>
      <c r="D334" s="7">
        <f t="shared" si="156"/>
        <v>28</v>
      </c>
      <c r="E334" s="15">
        <f t="shared" si="157"/>
        <v>7</v>
      </c>
      <c r="F334" s="8" t="str">
        <f t="shared" si="158"/>
        <v>휴</v>
      </c>
      <c r="G334" s="58"/>
      <c r="H334" s="12" t="s">
        <v>64</v>
      </c>
      <c r="I334" s="6" t="str">
        <f t="shared" si="159"/>
        <v>비번</v>
      </c>
      <c r="J334" s="6" t="str">
        <f t="shared" si="160"/>
        <v/>
      </c>
      <c r="K334" s="6" t="str">
        <f>IF(J334="","",COUNT($J$3:J334))</f>
        <v/>
      </c>
      <c r="L334" s="6" t="str">
        <f t="shared" si="166"/>
        <v/>
      </c>
      <c r="M334" s="6" t="str">
        <f t="shared" si="167"/>
        <v/>
      </c>
      <c r="N334" s="6" t="str">
        <f t="shared" si="168"/>
        <v/>
      </c>
      <c r="O334" s="6" t="str">
        <f t="shared" si="169"/>
        <v/>
      </c>
      <c r="P334" s="32" t="str">
        <f t="shared" si="161"/>
        <v/>
      </c>
      <c r="Q334" s="13" t="str">
        <f t="shared" si="180"/>
        <v>-</v>
      </c>
      <c r="R334" s="13" t="str">
        <f t="shared" si="181"/>
        <v>-</v>
      </c>
      <c r="S334" s="13" t="str">
        <f t="shared" si="182"/>
        <v>-</v>
      </c>
      <c r="T334" s="13" t="str">
        <f t="shared" si="183"/>
        <v>-</v>
      </c>
      <c r="U334" s="31" t="str">
        <f t="shared" si="162"/>
        <v>-</v>
      </c>
      <c r="V334" s="6" t="str">
        <f t="shared" si="163"/>
        <v/>
      </c>
      <c r="W334" s="6" t="str">
        <f>IF(V334="","",COUNT($V$3:V334))</f>
        <v/>
      </c>
      <c r="X334" s="6" t="str">
        <f t="shared" si="170"/>
        <v/>
      </c>
      <c r="Y334" s="6" t="str">
        <f t="shared" si="171"/>
        <v/>
      </c>
      <c r="Z334" s="6" t="str">
        <f t="shared" si="172"/>
        <v/>
      </c>
      <c r="AA334" s="6" t="str">
        <f t="shared" si="173"/>
        <v/>
      </c>
      <c r="AB334" s="32" t="str">
        <f t="shared" si="164"/>
        <v/>
      </c>
      <c r="AC334" s="13" t="str">
        <f t="shared" si="174"/>
        <v>-</v>
      </c>
      <c r="AD334" s="13" t="str">
        <f t="shared" si="175"/>
        <v>-</v>
      </c>
      <c r="AE334" s="13" t="str">
        <f t="shared" si="176"/>
        <v>-</v>
      </c>
      <c r="AF334" s="13" t="str">
        <f t="shared" si="177"/>
        <v>-</v>
      </c>
      <c r="AG334" s="31" t="str">
        <f t="shared" si="165"/>
        <v>-</v>
      </c>
      <c r="AH334" s="2" t="str">
        <f t="shared" si="178"/>
        <v/>
      </c>
      <c r="AI334" s="2" t="str">
        <f>IF(AH334="","",COUNT($AH$3:AH334))</f>
        <v/>
      </c>
      <c r="AJ334" s="60" t="str">
        <f t="shared" si="179"/>
        <v/>
      </c>
    </row>
    <row r="335" spans="1:36" ht="16.5">
      <c r="A335" s="6">
        <v>333</v>
      </c>
      <c r="B335" s="9">
        <f t="shared" si="154"/>
        <v>46355</v>
      </c>
      <c r="C335" s="7">
        <f t="shared" si="155"/>
        <v>11</v>
      </c>
      <c r="D335" s="7">
        <f t="shared" si="156"/>
        <v>29</v>
      </c>
      <c r="E335" s="15">
        <f t="shared" si="157"/>
        <v>1</v>
      </c>
      <c r="F335" s="8" t="str">
        <f t="shared" si="158"/>
        <v>휴</v>
      </c>
      <c r="G335" s="58"/>
      <c r="H335" s="12" t="s">
        <v>65</v>
      </c>
      <c r="I335" s="6" t="str">
        <f t="shared" si="159"/>
        <v>휴무</v>
      </c>
      <c r="J335" s="6" t="str">
        <f t="shared" si="160"/>
        <v/>
      </c>
      <c r="K335" s="6" t="str">
        <f>IF(J335="","",COUNT($J$3:J335))</f>
        <v/>
      </c>
      <c r="L335" s="6" t="str">
        <f t="shared" si="166"/>
        <v/>
      </c>
      <c r="M335" s="6" t="str">
        <f t="shared" si="167"/>
        <v/>
      </c>
      <c r="N335" s="6" t="str">
        <f t="shared" si="168"/>
        <v/>
      </c>
      <c r="O335" s="6" t="str">
        <f t="shared" si="169"/>
        <v/>
      </c>
      <c r="P335" s="32" t="str">
        <f t="shared" si="161"/>
        <v/>
      </c>
      <c r="Q335" s="13" t="str">
        <f t="shared" si="180"/>
        <v>-</v>
      </c>
      <c r="R335" s="13" t="str">
        <f t="shared" si="181"/>
        <v>-</v>
      </c>
      <c r="S335" s="13" t="str">
        <f t="shared" si="182"/>
        <v>-</v>
      </c>
      <c r="T335" s="13" t="str">
        <f t="shared" si="183"/>
        <v>-</v>
      </c>
      <c r="U335" s="31" t="str">
        <f t="shared" si="162"/>
        <v>-</v>
      </c>
      <c r="V335" s="6" t="str">
        <f t="shared" si="163"/>
        <v/>
      </c>
      <c r="W335" s="6" t="str">
        <f>IF(V335="","",COUNT($V$3:V335))</f>
        <v/>
      </c>
      <c r="X335" s="6" t="str">
        <f t="shared" si="170"/>
        <v/>
      </c>
      <c r="Y335" s="6" t="str">
        <f t="shared" si="171"/>
        <v/>
      </c>
      <c r="Z335" s="6" t="str">
        <f t="shared" si="172"/>
        <v/>
      </c>
      <c r="AA335" s="6" t="str">
        <f t="shared" si="173"/>
        <v/>
      </c>
      <c r="AB335" s="32" t="str">
        <f t="shared" si="164"/>
        <v/>
      </c>
      <c r="AC335" s="13" t="str">
        <f t="shared" si="174"/>
        <v>-</v>
      </c>
      <c r="AD335" s="13" t="str">
        <f t="shared" si="175"/>
        <v>-</v>
      </c>
      <c r="AE335" s="13" t="str">
        <f t="shared" si="176"/>
        <v>-</v>
      </c>
      <c r="AF335" s="13" t="str">
        <f t="shared" si="177"/>
        <v>-</v>
      </c>
      <c r="AG335" s="31" t="str">
        <f t="shared" si="165"/>
        <v>-</v>
      </c>
      <c r="AH335" s="2" t="str">
        <f t="shared" si="178"/>
        <v/>
      </c>
      <c r="AI335" s="2" t="str">
        <f>IF(AH335="","",COUNT($AH$3:AH335))</f>
        <v/>
      </c>
      <c r="AJ335" s="60" t="str">
        <f t="shared" si="179"/>
        <v/>
      </c>
    </row>
    <row r="336" spans="1:36" ht="16.5">
      <c r="A336" s="6">
        <v>334</v>
      </c>
      <c r="B336" s="9">
        <f t="shared" si="154"/>
        <v>46356</v>
      </c>
      <c r="C336" s="7">
        <f t="shared" si="155"/>
        <v>11</v>
      </c>
      <c r="D336" s="7">
        <f t="shared" si="156"/>
        <v>30</v>
      </c>
      <c r="E336" s="15">
        <f t="shared" si="157"/>
        <v>2</v>
      </c>
      <c r="F336" s="8" t="str">
        <f t="shared" si="158"/>
        <v/>
      </c>
      <c r="G336" s="58"/>
      <c r="H336" s="12" t="s">
        <v>63</v>
      </c>
      <c r="I336" s="6" t="str">
        <f t="shared" si="159"/>
        <v>야간</v>
      </c>
      <c r="J336" s="6" t="str">
        <f t="shared" si="160"/>
        <v/>
      </c>
      <c r="K336" s="6" t="str">
        <f>IF(J336="","",COUNT($J$3:J336))</f>
        <v/>
      </c>
      <c r="L336" s="6" t="str">
        <f t="shared" si="166"/>
        <v/>
      </c>
      <c r="M336" s="6" t="str">
        <f t="shared" si="167"/>
        <v/>
      </c>
      <c r="N336" s="6" t="str">
        <f t="shared" si="168"/>
        <v/>
      </c>
      <c r="O336" s="6" t="str">
        <f t="shared" si="169"/>
        <v/>
      </c>
      <c r="P336" s="32" t="str">
        <f t="shared" si="161"/>
        <v/>
      </c>
      <c r="Q336" s="13" t="str">
        <f t="shared" si="180"/>
        <v>-</v>
      </c>
      <c r="R336" s="13" t="str">
        <f t="shared" si="181"/>
        <v>-</v>
      </c>
      <c r="S336" s="13" t="str">
        <f t="shared" si="182"/>
        <v>-</v>
      </c>
      <c r="T336" s="13" t="str">
        <f t="shared" si="183"/>
        <v>-</v>
      </c>
      <c r="U336" s="31" t="str">
        <f t="shared" si="162"/>
        <v>-</v>
      </c>
      <c r="V336" s="6">
        <f t="shared" si="163"/>
        <v>1</v>
      </c>
      <c r="W336" s="6">
        <f>IF(V336="","",COUNT($V$3:V336))</f>
        <v>112</v>
      </c>
      <c r="X336" s="6">
        <f t="shared" si="170"/>
        <v>4</v>
      </c>
      <c r="Y336" s="6">
        <f t="shared" si="171"/>
        <v>1</v>
      </c>
      <c r="Z336" s="6">
        <f t="shared" si="172"/>
        <v>2</v>
      </c>
      <c r="AA336" s="6">
        <f t="shared" si="173"/>
        <v>3</v>
      </c>
      <c r="AB336" s="32">
        <f t="shared" si="164"/>
        <v>2</v>
      </c>
      <c r="AC336" s="13" t="str">
        <f t="shared" si="174"/>
        <v>정윤준</v>
      </c>
      <c r="AD336" s="13" t="str">
        <f t="shared" si="175"/>
        <v>이기수</v>
      </c>
      <c r="AE336" s="13" t="str">
        <f t="shared" si="176"/>
        <v>박성현</v>
      </c>
      <c r="AF336" s="13" t="str">
        <f t="shared" si="177"/>
        <v>허지웅</v>
      </c>
      <c r="AG336" s="31" t="str">
        <f t="shared" si="165"/>
        <v>장혁진</v>
      </c>
      <c r="AH336" s="2" t="str">
        <f t="shared" si="178"/>
        <v/>
      </c>
      <c r="AI336" s="2" t="str">
        <f>IF(AH336="","",COUNT($AH$3:AH336))</f>
        <v/>
      </c>
      <c r="AJ336" s="60" t="str">
        <f t="shared" si="179"/>
        <v/>
      </c>
    </row>
    <row r="337" spans="1:36" ht="16.5">
      <c r="A337" s="6">
        <v>335</v>
      </c>
      <c r="B337" s="9">
        <f t="shared" si="154"/>
        <v>46357</v>
      </c>
      <c r="C337" s="7">
        <f t="shared" si="155"/>
        <v>12</v>
      </c>
      <c r="D337" s="7">
        <f t="shared" si="156"/>
        <v>1</v>
      </c>
      <c r="E337" s="15">
        <f t="shared" si="157"/>
        <v>3</v>
      </c>
      <c r="F337" s="8" t="str">
        <f t="shared" si="158"/>
        <v/>
      </c>
      <c r="G337" s="58"/>
      <c r="H337" s="12" t="s">
        <v>64</v>
      </c>
      <c r="I337" s="6" t="str">
        <f t="shared" si="159"/>
        <v>비번</v>
      </c>
      <c r="J337" s="6" t="str">
        <f t="shared" si="160"/>
        <v/>
      </c>
      <c r="K337" s="6" t="str">
        <f>IF(J337="","",COUNT($J$3:J337))</f>
        <v/>
      </c>
      <c r="L337" s="6" t="str">
        <f t="shared" si="166"/>
        <v/>
      </c>
      <c r="M337" s="6" t="str">
        <f t="shared" si="167"/>
        <v/>
      </c>
      <c r="N337" s="6" t="str">
        <f t="shared" si="168"/>
        <v/>
      </c>
      <c r="O337" s="6" t="str">
        <f t="shared" si="169"/>
        <v/>
      </c>
      <c r="P337" s="32" t="str">
        <f t="shared" si="161"/>
        <v/>
      </c>
      <c r="Q337" s="13" t="str">
        <f t="shared" si="180"/>
        <v>-</v>
      </c>
      <c r="R337" s="13" t="str">
        <f t="shared" si="181"/>
        <v>-</v>
      </c>
      <c r="S337" s="13" t="str">
        <f t="shared" si="182"/>
        <v>-</v>
      </c>
      <c r="T337" s="13" t="str">
        <f t="shared" si="183"/>
        <v>-</v>
      </c>
      <c r="U337" s="31" t="str">
        <f t="shared" si="162"/>
        <v>-</v>
      </c>
      <c r="V337" s="6" t="str">
        <f t="shared" si="163"/>
        <v/>
      </c>
      <c r="W337" s="6" t="str">
        <f>IF(V337="","",COUNT($V$3:V337))</f>
        <v/>
      </c>
      <c r="X337" s="6" t="str">
        <f t="shared" si="170"/>
        <v/>
      </c>
      <c r="Y337" s="6" t="str">
        <f t="shared" si="171"/>
        <v/>
      </c>
      <c r="Z337" s="6" t="str">
        <f t="shared" si="172"/>
        <v/>
      </c>
      <c r="AA337" s="6" t="str">
        <f t="shared" si="173"/>
        <v/>
      </c>
      <c r="AB337" s="32" t="str">
        <f t="shared" si="164"/>
        <v/>
      </c>
      <c r="AC337" s="13" t="str">
        <f t="shared" si="174"/>
        <v>-</v>
      </c>
      <c r="AD337" s="13" t="str">
        <f t="shared" si="175"/>
        <v>-</v>
      </c>
      <c r="AE337" s="13" t="str">
        <f t="shared" si="176"/>
        <v>-</v>
      </c>
      <c r="AF337" s="13" t="str">
        <f t="shared" si="177"/>
        <v>-</v>
      </c>
      <c r="AG337" s="31" t="str">
        <f t="shared" si="165"/>
        <v>-</v>
      </c>
      <c r="AH337" s="2" t="str">
        <f t="shared" si="178"/>
        <v/>
      </c>
      <c r="AI337" s="2" t="str">
        <f>IF(AH337="","",COUNT($AH$3:AH337))</f>
        <v/>
      </c>
      <c r="AJ337" s="60" t="str">
        <f t="shared" si="179"/>
        <v/>
      </c>
    </row>
    <row r="338" spans="1:36" ht="16.5">
      <c r="A338" s="6">
        <v>336</v>
      </c>
      <c r="B338" s="9">
        <f t="shared" si="154"/>
        <v>46358</v>
      </c>
      <c r="C338" s="7">
        <f t="shared" si="155"/>
        <v>12</v>
      </c>
      <c r="D338" s="7">
        <f t="shared" si="156"/>
        <v>2</v>
      </c>
      <c r="E338" s="15">
        <f t="shared" si="157"/>
        <v>4</v>
      </c>
      <c r="F338" s="8" t="str">
        <f t="shared" si="158"/>
        <v/>
      </c>
      <c r="G338" s="58"/>
      <c r="H338" s="12" t="s">
        <v>65</v>
      </c>
      <c r="I338" s="6" t="str">
        <f t="shared" si="159"/>
        <v>주간</v>
      </c>
      <c r="J338" s="6">
        <f t="shared" si="160"/>
        <v>1</v>
      </c>
      <c r="K338" s="6">
        <f>IF(J338="","",COUNT($J$3:J338))</f>
        <v>76</v>
      </c>
      <c r="L338" s="6">
        <f t="shared" si="166"/>
        <v>4</v>
      </c>
      <c r="M338" s="6">
        <f t="shared" si="167"/>
        <v>1</v>
      </c>
      <c r="N338" s="6">
        <f t="shared" si="168"/>
        <v>2</v>
      </c>
      <c r="O338" s="6">
        <f t="shared" si="169"/>
        <v>3</v>
      </c>
      <c r="P338" s="32">
        <f t="shared" si="161"/>
        <v>1</v>
      </c>
      <c r="Q338" s="13" t="str">
        <f t="shared" si="180"/>
        <v>정윤준</v>
      </c>
      <c r="R338" s="13" t="str">
        <f t="shared" si="181"/>
        <v>이기수</v>
      </c>
      <c r="S338" s="13" t="str">
        <f t="shared" si="182"/>
        <v>박성현</v>
      </c>
      <c r="T338" s="13" t="str">
        <f t="shared" si="183"/>
        <v>허지웅</v>
      </c>
      <c r="U338" s="31" t="str">
        <f t="shared" si="162"/>
        <v>이기수</v>
      </c>
      <c r="V338" s="6" t="str">
        <f t="shared" si="163"/>
        <v/>
      </c>
      <c r="W338" s="6" t="str">
        <f>IF(V338="","",COUNT($V$3:V338))</f>
        <v/>
      </c>
      <c r="X338" s="6" t="str">
        <f t="shared" si="170"/>
        <v/>
      </c>
      <c r="Y338" s="6" t="str">
        <f t="shared" si="171"/>
        <v/>
      </c>
      <c r="Z338" s="6" t="str">
        <f t="shared" si="172"/>
        <v/>
      </c>
      <c r="AA338" s="6" t="str">
        <f t="shared" si="173"/>
        <v/>
      </c>
      <c r="AB338" s="32" t="str">
        <f t="shared" si="164"/>
        <v/>
      </c>
      <c r="AC338" s="13" t="str">
        <f t="shared" si="174"/>
        <v>-</v>
      </c>
      <c r="AD338" s="13" t="str">
        <f t="shared" si="175"/>
        <v>-</v>
      </c>
      <c r="AE338" s="13" t="str">
        <f t="shared" si="176"/>
        <v>-</v>
      </c>
      <c r="AF338" s="13" t="str">
        <f t="shared" si="177"/>
        <v>-</v>
      </c>
      <c r="AG338" s="31" t="str">
        <f t="shared" si="165"/>
        <v>-</v>
      </c>
      <c r="AH338" s="2" t="str">
        <f t="shared" si="178"/>
        <v/>
      </c>
      <c r="AI338" s="2" t="str">
        <f>IF(AH338="","",COUNT($AH$3:AH338))</f>
        <v/>
      </c>
      <c r="AJ338" s="60" t="str">
        <f t="shared" si="179"/>
        <v/>
      </c>
    </row>
    <row r="339" spans="1:36" ht="16.5">
      <c r="A339" s="6">
        <v>337</v>
      </c>
      <c r="B339" s="9">
        <f t="shared" si="154"/>
        <v>46359</v>
      </c>
      <c r="C339" s="7">
        <f t="shared" si="155"/>
        <v>12</v>
      </c>
      <c r="D339" s="7">
        <f t="shared" si="156"/>
        <v>3</v>
      </c>
      <c r="E339" s="15">
        <f t="shared" si="157"/>
        <v>5</v>
      </c>
      <c r="F339" s="8" t="str">
        <f t="shared" si="158"/>
        <v/>
      </c>
      <c r="G339" s="58"/>
      <c r="H339" s="12" t="s">
        <v>63</v>
      </c>
      <c r="I339" s="6" t="str">
        <f t="shared" si="159"/>
        <v>야간</v>
      </c>
      <c r="J339" s="6" t="str">
        <f t="shared" si="160"/>
        <v/>
      </c>
      <c r="K339" s="6" t="str">
        <f>IF(J339="","",COUNT($J$3:J339))</f>
        <v/>
      </c>
      <c r="L339" s="6" t="str">
        <f t="shared" si="166"/>
        <v/>
      </c>
      <c r="M339" s="6" t="str">
        <f t="shared" si="167"/>
        <v/>
      </c>
      <c r="N339" s="6" t="str">
        <f t="shared" si="168"/>
        <v/>
      </c>
      <c r="O339" s="6" t="str">
        <f t="shared" si="169"/>
        <v/>
      </c>
      <c r="P339" s="32" t="str">
        <f t="shared" si="161"/>
        <v/>
      </c>
      <c r="Q339" s="13" t="str">
        <f t="shared" si="180"/>
        <v>-</v>
      </c>
      <c r="R339" s="13" t="str">
        <f t="shared" si="181"/>
        <v>-</v>
      </c>
      <c r="S339" s="13" t="str">
        <f t="shared" si="182"/>
        <v>-</v>
      </c>
      <c r="T339" s="13" t="str">
        <f t="shared" si="183"/>
        <v>-</v>
      </c>
      <c r="U339" s="31" t="str">
        <f t="shared" si="162"/>
        <v>-</v>
      </c>
      <c r="V339" s="6">
        <f t="shared" si="163"/>
        <v>1</v>
      </c>
      <c r="W339" s="6">
        <f>IF(V339="","",COUNT($V$3:V339))</f>
        <v>113</v>
      </c>
      <c r="X339" s="6">
        <f t="shared" si="170"/>
        <v>3</v>
      </c>
      <c r="Y339" s="6">
        <f t="shared" si="171"/>
        <v>4</v>
      </c>
      <c r="Z339" s="6">
        <f t="shared" si="172"/>
        <v>1</v>
      </c>
      <c r="AA339" s="6">
        <f t="shared" si="173"/>
        <v>2</v>
      </c>
      <c r="AB339" s="32">
        <f t="shared" si="164"/>
        <v>3</v>
      </c>
      <c r="AC339" s="13" t="str">
        <f t="shared" si="174"/>
        <v>허지웅</v>
      </c>
      <c r="AD339" s="13" t="str">
        <f t="shared" si="175"/>
        <v>정윤준</v>
      </c>
      <c r="AE339" s="13" t="str">
        <f t="shared" si="176"/>
        <v>이기수</v>
      </c>
      <c r="AF339" s="13" t="str">
        <f t="shared" si="177"/>
        <v>박성현</v>
      </c>
      <c r="AG339" s="31" t="str">
        <f t="shared" si="165"/>
        <v>이기수</v>
      </c>
      <c r="AH339" s="2" t="str">
        <f t="shared" si="178"/>
        <v/>
      </c>
      <c r="AI339" s="2" t="str">
        <f>IF(AH339="","",COUNT($AH$3:AH339))</f>
        <v/>
      </c>
      <c r="AJ339" s="60" t="str">
        <f t="shared" si="179"/>
        <v/>
      </c>
    </row>
    <row r="340" spans="1:36" ht="16.5">
      <c r="A340" s="6">
        <v>338</v>
      </c>
      <c r="B340" s="9">
        <f t="shared" ref="B340:B368" si="184">B339+1</f>
        <v>46360</v>
      </c>
      <c r="C340" s="7">
        <f t="shared" ref="C340:C368" si="185">MONTH(B340)</f>
        <v>12</v>
      </c>
      <c r="D340" s="7">
        <f t="shared" ref="D340:D368" si="186">DAY(B340)</f>
        <v>4</v>
      </c>
      <c r="E340" s="15">
        <f t="shared" ref="E340:E368" si="187">WEEKDAY(B340)</f>
        <v>6</v>
      </c>
      <c r="F340" s="8" t="str">
        <f t="shared" ref="F340:F368" si="188">IF(OR(TEXT(E340,"aaa")="토",TEXT(E340,"aaa")="일",NOT(ISBLANK(G340))),"휴","")</f>
        <v/>
      </c>
      <c r="G340" s="58"/>
      <c r="H340" s="12" t="s">
        <v>64</v>
      </c>
      <c r="I340" s="6" t="str">
        <f t="shared" ref="I340:I368" si="189">IF(AND(F340="휴",H340="주간"),"휴무",
  IF(AND(F340="휴",H340="야간"),"당직",
  H340
))</f>
        <v>비번</v>
      </c>
      <c r="J340" s="6" t="str">
        <f>IF(OR(I340="주간"),1,"")</f>
        <v/>
      </c>
      <c r="K340" s="6" t="str">
        <f>IF(J340="","",COUNT($J$3:J340))</f>
        <v/>
      </c>
      <c r="L340" s="6" t="str">
        <f t="shared" si="166"/>
        <v/>
      </c>
      <c r="M340" s="6" t="str">
        <f t="shared" si="167"/>
        <v/>
      </c>
      <c r="N340" s="6" t="str">
        <f t="shared" si="168"/>
        <v/>
      </c>
      <c r="O340" s="6" t="str">
        <f t="shared" si="169"/>
        <v/>
      </c>
      <c r="P340" s="32" t="str">
        <f t="shared" ref="P340:P368" si="190">IF(ISERR(MOD($K340,5)),"",MOD($K340,5))</f>
        <v/>
      </c>
      <c r="Q340" s="13" t="str">
        <f t="shared" si="180"/>
        <v>-</v>
      </c>
      <c r="R340" s="13" t="str">
        <f t="shared" si="181"/>
        <v>-</v>
      </c>
      <c r="S340" s="13" t="str">
        <f t="shared" si="182"/>
        <v>-</v>
      </c>
      <c r="T340" s="13" t="str">
        <f t="shared" si="183"/>
        <v>-</v>
      </c>
      <c r="U340" s="31" t="str">
        <f>IF(P340="","-",CHOOSE(P340+1,"장혁진","이기수","정윤준","허지웅"))</f>
        <v>-</v>
      </c>
      <c r="V340" s="6" t="str">
        <f t="shared" si="163"/>
        <v/>
      </c>
      <c r="W340" s="6" t="str">
        <f>IF(V340="","",COUNT($V$3:V340))</f>
        <v/>
      </c>
      <c r="X340" s="6" t="str">
        <f t="shared" si="170"/>
        <v/>
      </c>
      <c r="Y340" s="6" t="str">
        <f t="shared" si="171"/>
        <v/>
      </c>
      <c r="Z340" s="6" t="str">
        <f t="shared" si="172"/>
        <v/>
      </c>
      <c r="AA340" s="6" t="str">
        <f t="shared" si="173"/>
        <v/>
      </c>
      <c r="AB340" s="32" t="str">
        <f t="shared" ref="AB340:AB368" si="191">IF(ISERR(MOD($W340,5)),"",MOD($W340,5))</f>
        <v/>
      </c>
      <c r="AC340" s="13" t="str">
        <f t="shared" si="174"/>
        <v>-</v>
      </c>
      <c r="AD340" s="13" t="str">
        <f t="shared" si="175"/>
        <v>-</v>
      </c>
      <c r="AE340" s="13" t="str">
        <f t="shared" si="176"/>
        <v>-</v>
      </c>
      <c r="AF340" s="13" t="str">
        <f t="shared" si="177"/>
        <v>-</v>
      </c>
      <c r="AG340" s="31" t="str">
        <f>IF(AB340="","-",CHOOSE(AB340+1,"정윤준","허지웅","장혁진","이기수"))</f>
        <v>-</v>
      </c>
      <c r="AH340" s="2" t="str">
        <f t="shared" si="178"/>
        <v/>
      </c>
      <c r="AI340" s="2" t="str">
        <f>IF(AH340="","",COUNT($AH$3:AH340))</f>
        <v/>
      </c>
      <c r="AJ340" s="60" t="str">
        <f t="shared" si="179"/>
        <v/>
      </c>
    </row>
    <row r="341" spans="1:36" ht="16.5">
      <c r="A341" s="6">
        <v>339</v>
      </c>
      <c r="B341" s="9">
        <f t="shared" si="184"/>
        <v>46361</v>
      </c>
      <c r="C341" s="7">
        <f t="shared" si="185"/>
        <v>12</v>
      </c>
      <c r="D341" s="7">
        <f t="shared" si="186"/>
        <v>5</v>
      </c>
      <c r="E341" s="15">
        <f t="shared" si="187"/>
        <v>7</v>
      </c>
      <c r="F341" s="8" t="str">
        <f t="shared" si="188"/>
        <v>휴</v>
      </c>
      <c r="G341" s="58"/>
      <c r="H341" s="12" t="s">
        <v>65</v>
      </c>
      <c r="I341" s="6" t="str">
        <f t="shared" si="189"/>
        <v>휴무</v>
      </c>
      <c r="J341" s="6" t="str">
        <f>IF(OR(I341="주간"),1,"")</f>
        <v/>
      </c>
      <c r="K341" s="6" t="str">
        <f>IF(J341="","",COUNT($J$3:J341))</f>
        <v/>
      </c>
      <c r="L341" s="6" t="str">
        <f t="shared" si="166"/>
        <v/>
      </c>
      <c r="M341" s="6" t="str">
        <f t="shared" si="167"/>
        <v/>
      </c>
      <c r="N341" s="6" t="str">
        <f t="shared" si="168"/>
        <v/>
      </c>
      <c r="O341" s="6" t="str">
        <f t="shared" si="169"/>
        <v/>
      </c>
      <c r="P341" s="32" t="str">
        <f t="shared" si="190"/>
        <v/>
      </c>
      <c r="Q341" s="13" t="str">
        <f t="shared" si="180"/>
        <v>-</v>
      </c>
      <c r="R341" s="13" t="str">
        <f t="shared" si="181"/>
        <v>-</v>
      </c>
      <c r="S341" s="13" t="str">
        <f t="shared" si="182"/>
        <v>-</v>
      </c>
      <c r="T341" s="13" t="str">
        <f t="shared" si="183"/>
        <v>-</v>
      </c>
      <c r="U341" s="31" t="str">
        <f>IF(P341="","-",CHOOSE(P341+1,"장혁진","이기수","정윤준","허지웅"))</f>
        <v>-</v>
      </c>
      <c r="V341" s="6" t="str">
        <f t="shared" si="163"/>
        <v/>
      </c>
      <c r="W341" s="6" t="str">
        <f>IF(V341="","",COUNT($V$3:V341))</f>
        <v/>
      </c>
      <c r="X341" s="6" t="str">
        <f t="shared" si="170"/>
        <v/>
      </c>
      <c r="Y341" s="6" t="str">
        <f t="shared" si="171"/>
        <v/>
      </c>
      <c r="Z341" s="6" t="str">
        <f t="shared" si="172"/>
        <v/>
      </c>
      <c r="AA341" s="6" t="str">
        <f t="shared" si="173"/>
        <v/>
      </c>
      <c r="AB341" s="32" t="str">
        <f t="shared" si="191"/>
        <v/>
      </c>
      <c r="AC341" s="13" t="str">
        <f t="shared" si="174"/>
        <v>-</v>
      </c>
      <c r="AD341" s="13" t="str">
        <f t="shared" si="175"/>
        <v>-</v>
      </c>
      <c r="AE341" s="13" t="str">
        <f t="shared" si="176"/>
        <v>-</v>
      </c>
      <c r="AF341" s="13" t="str">
        <f t="shared" si="177"/>
        <v>-</v>
      </c>
      <c r="AG341" s="31" t="str">
        <f>IF(AB341="","-",CHOOSE(AB341+1,"정윤준","허지웅","장혁진","이기수"))</f>
        <v>-</v>
      </c>
      <c r="AH341" s="2" t="str">
        <f t="shared" si="178"/>
        <v/>
      </c>
      <c r="AI341" s="2" t="str">
        <f>IF(AH341="","",COUNT($AH$3:AH341))</f>
        <v/>
      </c>
      <c r="AJ341" s="60" t="str">
        <f t="shared" si="179"/>
        <v/>
      </c>
    </row>
    <row r="342" spans="1:36" ht="16.5">
      <c r="A342" s="6">
        <v>340</v>
      </c>
      <c r="B342" s="9">
        <f t="shared" si="184"/>
        <v>46362</v>
      </c>
      <c r="C342" s="7">
        <f t="shared" si="185"/>
        <v>12</v>
      </c>
      <c r="D342" s="7">
        <f t="shared" si="186"/>
        <v>6</v>
      </c>
      <c r="E342" s="15">
        <f t="shared" si="187"/>
        <v>1</v>
      </c>
      <c r="F342" s="8" t="str">
        <f t="shared" si="188"/>
        <v>휴</v>
      </c>
      <c r="G342" s="58"/>
      <c r="H342" s="12" t="s">
        <v>63</v>
      </c>
      <c r="I342" s="6" t="str">
        <f t="shared" si="189"/>
        <v>당직</v>
      </c>
      <c r="J342" s="6" t="str">
        <f>IF(OR(I342="주간"),1,"")</f>
        <v/>
      </c>
      <c r="K342" s="6" t="str">
        <f>IF(J342="","",COUNT($J$3:J342))</f>
        <v/>
      </c>
      <c r="L342" s="6" t="str">
        <f t="shared" si="166"/>
        <v/>
      </c>
      <c r="M342" s="6" t="str">
        <f t="shared" si="167"/>
        <v/>
      </c>
      <c r="N342" s="6" t="str">
        <f t="shared" si="168"/>
        <v/>
      </c>
      <c r="O342" s="6" t="str">
        <f t="shared" si="169"/>
        <v/>
      </c>
      <c r="P342" s="32" t="str">
        <f t="shared" si="190"/>
        <v/>
      </c>
      <c r="Q342" s="13" t="str">
        <f t="shared" si="180"/>
        <v>-</v>
      </c>
      <c r="R342" s="13" t="str">
        <f t="shared" si="181"/>
        <v>-</v>
      </c>
      <c r="S342" s="13" t="str">
        <f t="shared" si="182"/>
        <v>-</v>
      </c>
      <c r="T342" s="13" t="str">
        <f t="shared" si="183"/>
        <v>-</v>
      </c>
      <c r="U342" s="31" t="str">
        <f>IF(P342="","-",CHOOSE(P342+1,"장혁진","이기수","정윤준","허지웅"))</f>
        <v>-</v>
      </c>
      <c r="V342" s="6">
        <f t="shared" si="163"/>
        <v>1</v>
      </c>
      <c r="W342" s="6">
        <f>IF(V342="","",COUNT($V$3:V342))</f>
        <v>114</v>
      </c>
      <c r="X342" s="6">
        <f t="shared" si="170"/>
        <v>2</v>
      </c>
      <c r="Y342" s="6">
        <f t="shared" si="171"/>
        <v>3</v>
      </c>
      <c r="Z342" s="6">
        <f t="shared" si="172"/>
        <v>4</v>
      </c>
      <c r="AA342" s="6">
        <f t="shared" si="173"/>
        <v>1</v>
      </c>
      <c r="AB342" s="32">
        <f t="shared" si="191"/>
        <v>4</v>
      </c>
      <c r="AC342" s="13" t="str">
        <f t="shared" si="174"/>
        <v>박성현</v>
      </c>
      <c r="AD342" s="13" t="str">
        <f t="shared" si="175"/>
        <v>허지웅</v>
      </c>
      <c r="AE342" s="13" t="str">
        <f t="shared" si="176"/>
        <v>정윤준</v>
      </c>
      <c r="AF342" s="13" t="str">
        <f t="shared" si="177"/>
        <v>이기수</v>
      </c>
      <c r="AG342" s="31" t="e">
        <f>IF(AB342="","-",CHOOSE(AB342+1,"정윤준","허지웅","장혁진","이기수"))</f>
        <v>#VALUE!</v>
      </c>
      <c r="AH342" s="2" t="str">
        <f t="shared" si="178"/>
        <v/>
      </c>
      <c r="AI342" s="2" t="str">
        <f>IF(AH342="","",COUNT($AH$3:AH342))</f>
        <v/>
      </c>
      <c r="AJ342" s="60" t="str">
        <f t="shared" si="179"/>
        <v/>
      </c>
    </row>
    <row r="343" spans="1:36" ht="16.5">
      <c r="A343" s="6">
        <v>341</v>
      </c>
      <c r="B343" s="9">
        <f t="shared" si="184"/>
        <v>46363</v>
      </c>
      <c r="C343" s="7">
        <f t="shared" si="185"/>
        <v>12</v>
      </c>
      <c r="D343" s="7">
        <f t="shared" si="186"/>
        <v>7</v>
      </c>
      <c r="E343" s="15">
        <f t="shared" si="187"/>
        <v>2</v>
      </c>
      <c r="F343" s="8" t="str">
        <f t="shared" si="188"/>
        <v/>
      </c>
      <c r="G343" s="58"/>
      <c r="H343" s="12" t="s">
        <v>64</v>
      </c>
      <c r="I343" s="6" t="str">
        <f t="shared" si="189"/>
        <v>비번</v>
      </c>
      <c r="J343" s="6" t="str">
        <f>IF(OR(I343="주간"),1,"")</f>
        <v/>
      </c>
      <c r="K343" s="6" t="str">
        <f>IF(J343="","",COUNT($J$3:J343))</f>
        <v/>
      </c>
      <c r="L343" s="6" t="str">
        <f t="shared" si="166"/>
        <v/>
      </c>
      <c r="M343" s="6" t="str">
        <f t="shared" si="167"/>
        <v/>
      </c>
      <c r="N343" s="6" t="str">
        <f t="shared" si="168"/>
        <v/>
      </c>
      <c r="O343" s="6" t="str">
        <f t="shared" si="169"/>
        <v/>
      </c>
      <c r="P343" s="32" t="str">
        <f t="shared" si="190"/>
        <v/>
      </c>
      <c r="Q343" s="13" t="str">
        <f t="shared" si="180"/>
        <v>-</v>
      </c>
      <c r="R343" s="13" t="str">
        <f t="shared" si="181"/>
        <v>-</v>
      </c>
      <c r="S343" s="13" t="str">
        <f t="shared" si="182"/>
        <v>-</v>
      </c>
      <c r="T343" s="13" t="str">
        <f t="shared" si="183"/>
        <v>-</v>
      </c>
      <c r="U343" s="31" t="str">
        <f>IF(P343="","-",CHOOSE(P343+1,"장혁진","이기수","정윤준","허지웅"))</f>
        <v>-</v>
      </c>
      <c r="V343" s="6" t="str">
        <f t="shared" si="163"/>
        <v/>
      </c>
      <c r="W343" s="6" t="str">
        <f>IF(V343="","",COUNT($V$3:V343))</f>
        <v/>
      </c>
      <c r="X343" s="6" t="str">
        <f t="shared" si="170"/>
        <v/>
      </c>
      <c r="Y343" s="6" t="str">
        <f t="shared" si="171"/>
        <v/>
      </c>
      <c r="Z343" s="6" t="str">
        <f t="shared" si="172"/>
        <v/>
      </c>
      <c r="AA343" s="6" t="str">
        <f t="shared" si="173"/>
        <v/>
      </c>
      <c r="AB343" s="32" t="str">
        <f t="shared" si="191"/>
        <v/>
      </c>
      <c r="AC343" s="13" t="str">
        <f t="shared" si="174"/>
        <v>-</v>
      </c>
      <c r="AD343" s="13" t="str">
        <f t="shared" si="175"/>
        <v>-</v>
      </c>
      <c r="AE343" s="13" t="str">
        <f t="shared" si="176"/>
        <v>-</v>
      </c>
      <c r="AF343" s="13" t="str">
        <f t="shared" si="177"/>
        <v>-</v>
      </c>
      <c r="AG343" s="31" t="str">
        <f>IF(AB343="","-",CHOOSE(AB343+1,"정윤준","허지웅","장혁진","이기수"))</f>
        <v>-</v>
      </c>
      <c r="AH343" s="2" t="str">
        <f t="shared" si="178"/>
        <v/>
      </c>
      <c r="AI343" s="2" t="str">
        <f>IF(AH343="","",COUNT($AH$3:AH343))</f>
        <v/>
      </c>
      <c r="AJ343" s="60" t="str">
        <f t="shared" si="179"/>
        <v/>
      </c>
    </row>
    <row r="344" spans="1:36" ht="16.5">
      <c r="A344" s="6">
        <v>342</v>
      </c>
      <c r="B344" s="9">
        <f t="shared" si="184"/>
        <v>46364</v>
      </c>
      <c r="C344" s="7">
        <f t="shared" si="185"/>
        <v>12</v>
      </c>
      <c r="D344" s="7">
        <f t="shared" si="186"/>
        <v>8</v>
      </c>
      <c r="E344" s="15">
        <f t="shared" si="187"/>
        <v>3</v>
      </c>
      <c r="F344" s="8" t="str">
        <f t="shared" si="188"/>
        <v/>
      </c>
      <c r="G344" s="58"/>
      <c r="H344" s="12" t="s">
        <v>65</v>
      </c>
      <c r="I344" s="6" t="str">
        <f t="shared" si="189"/>
        <v>주간</v>
      </c>
      <c r="J344" s="6">
        <f>IF(OR(I344="주간"),1,"")</f>
        <v>1</v>
      </c>
      <c r="K344" s="6">
        <f>IF(J344="","",COUNT($J$3:J344))</f>
        <v>77</v>
      </c>
      <c r="L344" s="6">
        <f t="shared" si="166"/>
        <v>3</v>
      </c>
      <c r="M344" s="6">
        <f t="shared" si="167"/>
        <v>4</v>
      </c>
      <c r="N344" s="6">
        <f t="shared" si="168"/>
        <v>1</v>
      </c>
      <c r="O344" s="6">
        <f t="shared" si="169"/>
        <v>2</v>
      </c>
      <c r="P344" s="32">
        <f t="shared" si="190"/>
        <v>2</v>
      </c>
      <c r="Q344" s="13" t="str">
        <f t="shared" si="180"/>
        <v>허지웅</v>
      </c>
      <c r="R344" s="13" t="str">
        <f t="shared" si="181"/>
        <v>정윤준</v>
      </c>
      <c r="S344" s="13" t="str">
        <f t="shared" si="182"/>
        <v>이기수</v>
      </c>
      <c r="T344" s="13" t="str">
        <f t="shared" si="183"/>
        <v>박성현</v>
      </c>
      <c r="U344" s="31" t="str">
        <f>IF(P344="","-",CHOOSE(P344+1,"장혁진","이기수","정윤준","허지웅"))</f>
        <v>정윤준</v>
      </c>
      <c r="V344" s="6" t="str">
        <f t="shared" si="163"/>
        <v/>
      </c>
      <c r="W344" s="6" t="str">
        <f>IF(V344="","",COUNT($V$3:V344))</f>
        <v/>
      </c>
      <c r="X344" s="6" t="str">
        <f t="shared" si="170"/>
        <v/>
      </c>
      <c r="Y344" s="6" t="str">
        <f t="shared" si="171"/>
        <v/>
      </c>
      <c r="Z344" s="6" t="str">
        <f t="shared" si="172"/>
        <v/>
      </c>
      <c r="AA344" s="6" t="str">
        <f t="shared" si="173"/>
        <v/>
      </c>
      <c r="AB344" s="32" t="str">
        <f t="shared" si="191"/>
        <v/>
      </c>
      <c r="AC344" s="13" t="str">
        <f t="shared" si="174"/>
        <v>-</v>
      </c>
      <c r="AD344" s="13" t="str">
        <f t="shared" si="175"/>
        <v>-</v>
      </c>
      <c r="AE344" s="13" t="str">
        <f t="shared" si="176"/>
        <v>-</v>
      </c>
      <c r="AF344" s="13" t="str">
        <f t="shared" si="177"/>
        <v>-</v>
      </c>
      <c r="AG344" s="31" t="str">
        <f>IF(AB344="","-",CHOOSE(AB344+1,"정윤준","허지웅","장혁진","이기수"))</f>
        <v>-</v>
      </c>
      <c r="AH344" s="2" t="str">
        <f t="shared" si="178"/>
        <v/>
      </c>
      <c r="AI344" s="2" t="str">
        <f>IF(AH344="","",COUNT($AH$3:AH344))</f>
        <v/>
      </c>
      <c r="AJ344" s="60" t="str">
        <f t="shared" si="179"/>
        <v/>
      </c>
    </row>
    <row r="345" spans="1:36" ht="16.5">
      <c r="A345" s="6">
        <v>343</v>
      </c>
      <c r="B345" s="9">
        <f t="shared" si="184"/>
        <v>46365</v>
      </c>
      <c r="C345" s="7">
        <f t="shared" si="185"/>
        <v>12</v>
      </c>
      <c r="D345" s="7">
        <f t="shared" si="186"/>
        <v>9</v>
      </c>
      <c r="E345" s="15">
        <f t="shared" si="187"/>
        <v>4</v>
      </c>
      <c r="F345" s="8" t="str">
        <f t="shared" si="188"/>
        <v/>
      </c>
      <c r="G345" s="58"/>
      <c r="H345" s="12" t="s">
        <v>63</v>
      </c>
      <c r="I345" s="6" t="str">
        <f t="shared" si="189"/>
        <v>야간</v>
      </c>
      <c r="J345" s="6" t="str">
        <f t="shared" ref="J345:J368" si="192">IF(OR(I345="주간"),1,"")</f>
        <v/>
      </c>
      <c r="K345" s="6" t="str">
        <f>IF(J345="","",COUNT($J$3:J345))</f>
        <v/>
      </c>
      <c r="L345" s="6" t="str">
        <f t="shared" si="166"/>
        <v/>
      </c>
      <c r="M345" s="6" t="str">
        <f t="shared" si="167"/>
        <v/>
      </c>
      <c r="N345" s="6" t="str">
        <f t="shared" si="168"/>
        <v/>
      </c>
      <c r="O345" s="6" t="str">
        <f t="shared" si="169"/>
        <v/>
      </c>
      <c r="P345" s="32" t="str">
        <f t="shared" si="190"/>
        <v/>
      </c>
      <c r="Q345" s="13" t="str">
        <f t="shared" si="180"/>
        <v>-</v>
      </c>
      <c r="R345" s="13" t="str">
        <f t="shared" si="181"/>
        <v>-</v>
      </c>
      <c r="S345" s="13" t="str">
        <f t="shared" si="182"/>
        <v>-</v>
      </c>
      <c r="T345" s="13" t="str">
        <f t="shared" si="183"/>
        <v>-</v>
      </c>
      <c r="U345" s="31" t="str">
        <f t="shared" ref="U345:U368" si="193">IF(P345="","-",CHOOSE(P345+1,"장혁진","이기수","정윤준","허지웅"))</f>
        <v>-</v>
      </c>
      <c r="V345" s="6">
        <f t="shared" si="163"/>
        <v>1</v>
      </c>
      <c r="W345" s="6">
        <f>IF(V345="","",COUNT($V$3:V345))</f>
        <v>115</v>
      </c>
      <c r="X345" s="6">
        <f t="shared" si="170"/>
        <v>1</v>
      </c>
      <c r="Y345" s="6">
        <f t="shared" si="171"/>
        <v>2</v>
      </c>
      <c r="Z345" s="6">
        <f t="shared" si="172"/>
        <v>3</v>
      </c>
      <c r="AA345" s="6">
        <f t="shared" si="173"/>
        <v>4</v>
      </c>
      <c r="AB345" s="32">
        <f t="shared" si="191"/>
        <v>0</v>
      </c>
      <c r="AC345" s="13" t="str">
        <f t="shared" si="174"/>
        <v>이기수</v>
      </c>
      <c r="AD345" s="13" t="str">
        <f t="shared" si="175"/>
        <v>박성현</v>
      </c>
      <c r="AE345" s="13" t="str">
        <f t="shared" si="176"/>
        <v>허지웅</v>
      </c>
      <c r="AF345" s="13" t="str">
        <f t="shared" si="177"/>
        <v>정윤준</v>
      </c>
      <c r="AG345" s="31" t="str">
        <f t="shared" ref="AG345:AG368" si="194">IF(AB345="","-",CHOOSE(AB345+1,"정윤준","허지웅","장혁진","이기수"))</f>
        <v>정윤준</v>
      </c>
      <c r="AH345" s="2">
        <f t="shared" si="178"/>
        <v>1</v>
      </c>
      <c r="AI345" s="2">
        <f>IF(AH345="","",COUNT($AH$3:AH345))</f>
        <v>29</v>
      </c>
      <c r="AJ345" s="60" t="str">
        <f t="shared" si="179"/>
        <v>정윤준</v>
      </c>
    </row>
    <row r="346" spans="1:36" ht="16.5">
      <c r="A346" s="6">
        <v>344</v>
      </c>
      <c r="B346" s="9">
        <f t="shared" si="184"/>
        <v>46366</v>
      </c>
      <c r="C346" s="7">
        <f t="shared" si="185"/>
        <v>12</v>
      </c>
      <c r="D346" s="7">
        <f t="shared" si="186"/>
        <v>10</v>
      </c>
      <c r="E346" s="15">
        <f t="shared" si="187"/>
        <v>5</v>
      </c>
      <c r="F346" s="8" t="str">
        <f t="shared" si="188"/>
        <v/>
      </c>
      <c r="G346" s="58"/>
      <c r="H346" s="12" t="s">
        <v>64</v>
      </c>
      <c r="I346" s="6" t="str">
        <f t="shared" si="189"/>
        <v>비번</v>
      </c>
      <c r="J346" s="6" t="str">
        <f t="shared" si="192"/>
        <v/>
      </c>
      <c r="K346" s="6" t="str">
        <f>IF(J346="","",COUNT($J$3:J346))</f>
        <v/>
      </c>
      <c r="L346" s="6" t="str">
        <f t="shared" si="166"/>
        <v/>
      </c>
      <c r="M346" s="6" t="str">
        <f t="shared" si="167"/>
        <v/>
      </c>
      <c r="N346" s="6" t="str">
        <f t="shared" si="168"/>
        <v/>
      </c>
      <c r="O346" s="6" t="str">
        <f t="shared" si="169"/>
        <v/>
      </c>
      <c r="P346" s="32" t="str">
        <f t="shared" si="190"/>
        <v/>
      </c>
      <c r="Q346" s="13" t="str">
        <f t="shared" si="180"/>
        <v>-</v>
      </c>
      <c r="R346" s="13" t="str">
        <f t="shared" si="181"/>
        <v>-</v>
      </c>
      <c r="S346" s="13" t="str">
        <f t="shared" si="182"/>
        <v>-</v>
      </c>
      <c r="T346" s="13" t="str">
        <f t="shared" si="183"/>
        <v>-</v>
      </c>
      <c r="U346" s="31" t="str">
        <f t="shared" si="193"/>
        <v>-</v>
      </c>
      <c r="V346" s="6" t="str">
        <f t="shared" si="163"/>
        <v/>
      </c>
      <c r="W346" s="6" t="str">
        <f>IF(V346="","",COUNT($V$3:V346))</f>
        <v/>
      </c>
      <c r="X346" s="6" t="str">
        <f t="shared" si="170"/>
        <v/>
      </c>
      <c r="Y346" s="6" t="str">
        <f t="shared" si="171"/>
        <v/>
      </c>
      <c r="Z346" s="6" t="str">
        <f t="shared" si="172"/>
        <v/>
      </c>
      <c r="AA346" s="6" t="str">
        <f t="shared" si="173"/>
        <v/>
      </c>
      <c r="AB346" s="32" t="str">
        <f t="shared" si="191"/>
        <v/>
      </c>
      <c r="AC346" s="13" t="str">
        <f t="shared" si="174"/>
        <v>-</v>
      </c>
      <c r="AD346" s="13" t="str">
        <f t="shared" si="175"/>
        <v>-</v>
      </c>
      <c r="AE346" s="13" t="str">
        <f t="shared" si="176"/>
        <v>-</v>
      </c>
      <c r="AF346" s="13" t="str">
        <f t="shared" si="177"/>
        <v>-</v>
      </c>
      <c r="AG346" s="31" t="str">
        <f t="shared" si="194"/>
        <v>-</v>
      </c>
      <c r="AH346" s="2" t="str">
        <f t="shared" si="178"/>
        <v/>
      </c>
      <c r="AI346" s="2" t="str">
        <f>IF(AH346="","",COUNT($AH$3:AH346))</f>
        <v/>
      </c>
      <c r="AJ346" s="60" t="str">
        <f t="shared" si="179"/>
        <v/>
      </c>
    </row>
    <row r="347" spans="1:36" ht="16.5">
      <c r="A347" s="6">
        <v>345</v>
      </c>
      <c r="B347" s="9">
        <f t="shared" si="184"/>
        <v>46367</v>
      </c>
      <c r="C347" s="7">
        <f t="shared" si="185"/>
        <v>12</v>
      </c>
      <c r="D347" s="7">
        <f t="shared" si="186"/>
        <v>11</v>
      </c>
      <c r="E347" s="15">
        <f t="shared" si="187"/>
        <v>6</v>
      </c>
      <c r="F347" s="8" t="str">
        <f t="shared" si="188"/>
        <v/>
      </c>
      <c r="G347" s="58"/>
      <c r="H347" s="12" t="s">
        <v>65</v>
      </c>
      <c r="I347" s="6" t="str">
        <f t="shared" si="189"/>
        <v>주간</v>
      </c>
      <c r="J347" s="6">
        <f t="shared" si="192"/>
        <v>1</v>
      </c>
      <c r="K347" s="6">
        <f>IF(J347="","",COUNT($J$3:J347))</f>
        <v>78</v>
      </c>
      <c r="L347" s="6">
        <f t="shared" si="166"/>
        <v>2</v>
      </c>
      <c r="M347" s="6">
        <f t="shared" si="167"/>
        <v>3</v>
      </c>
      <c r="N347" s="6">
        <f t="shared" si="168"/>
        <v>4</v>
      </c>
      <c r="O347" s="6">
        <f t="shared" si="169"/>
        <v>1</v>
      </c>
      <c r="P347" s="32">
        <f t="shared" si="190"/>
        <v>3</v>
      </c>
      <c r="Q347" s="13" t="str">
        <f t="shared" si="180"/>
        <v>박성현</v>
      </c>
      <c r="R347" s="13" t="str">
        <f t="shared" si="181"/>
        <v>허지웅</v>
      </c>
      <c r="S347" s="13" t="str">
        <f t="shared" si="182"/>
        <v>정윤준</v>
      </c>
      <c r="T347" s="13" t="str">
        <f t="shared" si="183"/>
        <v>이기수</v>
      </c>
      <c r="U347" s="31" t="str">
        <f t="shared" si="193"/>
        <v>허지웅</v>
      </c>
      <c r="V347" s="6" t="str">
        <f t="shared" si="163"/>
        <v/>
      </c>
      <c r="W347" s="6" t="str">
        <f>IF(V347="","",COUNT($V$3:V347))</f>
        <v/>
      </c>
      <c r="X347" s="6" t="str">
        <f t="shared" si="170"/>
        <v/>
      </c>
      <c r="Y347" s="6" t="str">
        <f t="shared" si="171"/>
        <v/>
      </c>
      <c r="Z347" s="6" t="str">
        <f t="shared" si="172"/>
        <v/>
      </c>
      <c r="AA347" s="6" t="str">
        <f t="shared" si="173"/>
        <v/>
      </c>
      <c r="AB347" s="32" t="str">
        <f t="shared" si="191"/>
        <v/>
      </c>
      <c r="AC347" s="13" t="str">
        <f t="shared" si="174"/>
        <v>-</v>
      </c>
      <c r="AD347" s="13" t="str">
        <f t="shared" si="175"/>
        <v>-</v>
      </c>
      <c r="AE347" s="13" t="str">
        <f t="shared" si="176"/>
        <v>-</v>
      </c>
      <c r="AF347" s="13" t="str">
        <f t="shared" si="177"/>
        <v>-</v>
      </c>
      <c r="AG347" s="31" t="str">
        <f t="shared" si="194"/>
        <v>-</v>
      </c>
      <c r="AH347" s="2" t="str">
        <f t="shared" si="178"/>
        <v/>
      </c>
      <c r="AI347" s="2" t="str">
        <f>IF(AH347="","",COUNT($AH$3:AH347))</f>
        <v/>
      </c>
      <c r="AJ347" s="60" t="str">
        <f t="shared" si="179"/>
        <v/>
      </c>
    </row>
    <row r="348" spans="1:36" ht="16.5">
      <c r="A348" s="6">
        <v>346</v>
      </c>
      <c r="B348" s="9">
        <f t="shared" si="184"/>
        <v>46368</v>
      </c>
      <c r="C348" s="7">
        <f t="shared" si="185"/>
        <v>12</v>
      </c>
      <c r="D348" s="7">
        <f t="shared" si="186"/>
        <v>12</v>
      </c>
      <c r="E348" s="15">
        <f t="shared" si="187"/>
        <v>7</v>
      </c>
      <c r="F348" s="8" t="str">
        <f t="shared" si="188"/>
        <v>휴</v>
      </c>
      <c r="G348" s="58"/>
      <c r="H348" s="12" t="s">
        <v>63</v>
      </c>
      <c r="I348" s="6" t="str">
        <f t="shared" si="189"/>
        <v>당직</v>
      </c>
      <c r="J348" s="6" t="str">
        <f t="shared" si="192"/>
        <v/>
      </c>
      <c r="K348" s="6" t="str">
        <f>IF(J348="","",COUNT($J$3:J348))</f>
        <v/>
      </c>
      <c r="L348" s="6" t="str">
        <f t="shared" si="166"/>
        <v/>
      </c>
      <c r="M348" s="6" t="str">
        <f t="shared" si="167"/>
        <v/>
      </c>
      <c r="N348" s="6" t="str">
        <f t="shared" si="168"/>
        <v/>
      </c>
      <c r="O348" s="6" t="str">
        <f t="shared" si="169"/>
        <v/>
      </c>
      <c r="P348" s="32" t="str">
        <f t="shared" si="190"/>
        <v/>
      </c>
      <c r="Q348" s="13" t="str">
        <f t="shared" si="180"/>
        <v>-</v>
      </c>
      <c r="R348" s="13" t="str">
        <f t="shared" si="181"/>
        <v>-</v>
      </c>
      <c r="S348" s="13" t="str">
        <f t="shared" si="182"/>
        <v>-</v>
      </c>
      <c r="T348" s="13" t="str">
        <f t="shared" si="183"/>
        <v>-</v>
      </c>
      <c r="U348" s="31" t="str">
        <f t="shared" si="193"/>
        <v>-</v>
      </c>
      <c r="V348" s="6">
        <f t="shared" si="163"/>
        <v>1</v>
      </c>
      <c r="W348" s="6">
        <f>IF(V348="","",COUNT($V$3:V348))</f>
        <v>116</v>
      </c>
      <c r="X348" s="6">
        <f t="shared" si="170"/>
        <v>4</v>
      </c>
      <c r="Y348" s="6">
        <f t="shared" si="171"/>
        <v>1</v>
      </c>
      <c r="Z348" s="6">
        <f t="shared" si="172"/>
        <v>2</v>
      </c>
      <c r="AA348" s="6">
        <f t="shared" si="173"/>
        <v>3</v>
      </c>
      <c r="AB348" s="32">
        <f t="shared" si="191"/>
        <v>1</v>
      </c>
      <c r="AC348" s="13" t="str">
        <f t="shared" si="174"/>
        <v>정윤준</v>
      </c>
      <c r="AD348" s="13" t="str">
        <f t="shared" si="175"/>
        <v>이기수</v>
      </c>
      <c r="AE348" s="13" t="str">
        <f t="shared" si="176"/>
        <v>박성현</v>
      </c>
      <c r="AF348" s="13" t="str">
        <f t="shared" si="177"/>
        <v>허지웅</v>
      </c>
      <c r="AG348" s="31" t="str">
        <f t="shared" si="194"/>
        <v>허지웅</v>
      </c>
      <c r="AH348" s="2" t="str">
        <f t="shared" si="178"/>
        <v/>
      </c>
      <c r="AI348" s="2" t="str">
        <f>IF(AH348="","",COUNT($AH$3:AH348))</f>
        <v/>
      </c>
      <c r="AJ348" s="60" t="str">
        <f t="shared" si="179"/>
        <v/>
      </c>
    </row>
    <row r="349" spans="1:36" ht="16.5">
      <c r="A349" s="6">
        <v>347</v>
      </c>
      <c r="B349" s="9">
        <f t="shared" si="184"/>
        <v>46369</v>
      </c>
      <c r="C349" s="7">
        <f t="shared" si="185"/>
        <v>12</v>
      </c>
      <c r="D349" s="7">
        <f t="shared" si="186"/>
        <v>13</v>
      </c>
      <c r="E349" s="15">
        <f t="shared" si="187"/>
        <v>1</v>
      </c>
      <c r="F349" s="8" t="str">
        <f t="shared" si="188"/>
        <v>휴</v>
      </c>
      <c r="G349" s="58"/>
      <c r="H349" s="12" t="s">
        <v>64</v>
      </c>
      <c r="I349" s="6" t="str">
        <f t="shared" si="189"/>
        <v>비번</v>
      </c>
      <c r="J349" s="6" t="str">
        <f t="shared" si="192"/>
        <v/>
      </c>
      <c r="K349" s="6" t="str">
        <f>IF(J349="","",COUNT($J$3:J349))</f>
        <v/>
      </c>
      <c r="L349" s="6" t="str">
        <f t="shared" si="166"/>
        <v/>
      </c>
      <c r="M349" s="6" t="str">
        <f t="shared" si="167"/>
        <v/>
      </c>
      <c r="N349" s="6" t="str">
        <f t="shared" si="168"/>
        <v/>
      </c>
      <c r="O349" s="6" t="str">
        <f t="shared" si="169"/>
        <v/>
      </c>
      <c r="P349" s="32" t="str">
        <f t="shared" si="190"/>
        <v/>
      </c>
      <c r="Q349" s="13" t="str">
        <f t="shared" si="180"/>
        <v>-</v>
      </c>
      <c r="R349" s="13" t="str">
        <f t="shared" si="181"/>
        <v>-</v>
      </c>
      <c r="S349" s="13" t="str">
        <f t="shared" si="182"/>
        <v>-</v>
      </c>
      <c r="T349" s="13" t="str">
        <f t="shared" si="183"/>
        <v>-</v>
      </c>
      <c r="U349" s="31" t="str">
        <f t="shared" si="193"/>
        <v>-</v>
      </c>
      <c r="V349" s="6" t="str">
        <f t="shared" si="163"/>
        <v/>
      </c>
      <c r="W349" s="6" t="str">
        <f>IF(V349="","",COUNT($V$3:V349))</f>
        <v/>
      </c>
      <c r="X349" s="6" t="str">
        <f t="shared" si="170"/>
        <v/>
      </c>
      <c r="Y349" s="6" t="str">
        <f t="shared" si="171"/>
        <v/>
      </c>
      <c r="Z349" s="6" t="str">
        <f t="shared" si="172"/>
        <v/>
      </c>
      <c r="AA349" s="6" t="str">
        <f t="shared" si="173"/>
        <v/>
      </c>
      <c r="AB349" s="32" t="str">
        <f t="shared" si="191"/>
        <v/>
      </c>
      <c r="AC349" s="13" t="str">
        <f t="shared" si="174"/>
        <v>-</v>
      </c>
      <c r="AD349" s="13" t="str">
        <f t="shared" si="175"/>
        <v>-</v>
      </c>
      <c r="AE349" s="13" t="str">
        <f t="shared" si="176"/>
        <v>-</v>
      </c>
      <c r="AF349" s="13" t="str">
        <f t="shared" si="177"/>
        <v>-</v>
      </c>
      <c r="AG349" s="31" t="str">
        <f t="shared" si="194"/>
        <v>-</v>
      </c>
      <c r="AH349" s="2" t="str">
        <f t="shared" si="178"/>
        <v/>
      </c>
      <c r="AI349" s="2" t="str">
        <f>IF(AH349="","",COUNT($AH$3:AH349))</f>
        <v/>
      </c>
      <c r="AJ349" s="60" t="str">
        <f t="shared" si="179"/>
        <v/>
      </c>
    </row>
    <row r="350" spans="1:36" ht="16.5">
      <c r="A350" s="6">
        <v>348</v>
      </c>
      <c r="B350" s="9">
        <f t="shared" si="184"/>
        <v>46370</v>
      </c>
      <c r="C350" s="7">
        <f t="shared" si="185"/>
        <v>12</v>
      </c>
      <c r="D350" s="7">
        <f t="shared" si="186"/>
        <v>14</v>
      </c>
      <c r="E350" s="15">
        <f t="shared" si="187"/>
        <v>2</v>
      </c>
      <c r="F350" s="8" t="str">
        <f t="shared" si="188"/>
        <v/>
      </c>
      <c r="G350" s="58"/>
      <c r="H350" s="12" t="s">
        <v>65</v>
      </c>
      <c r="I350" s="6" t="str">
        <f t="shared" si="189"/>
        <v>주간</v>
      </c>
      <c r="J350" s="6">
        <f t="shared" si="192"/>
        <v>1</v>
      </c>
      <c r="K350" s="6">
        <f>IF(J350="","",COUNT($J$3:J350))</f>
        <v>79</v>
      </c>
      <c r="L350" s="6">
        <f t="shared" si="166"/>
        <v>1</v>
      </c>
      <c r="M350" s="6">
        <f t="shared" si="167"/>
        <v>2</v>
      </c>
      <c r="N350" s="6">
        <f t="shared" si="168"/>
        <v>3</v>
      </c>
      <c r="O350" s="6">
        <f t="shared" si="169"/>
        <v>4</v>
      </c>
      <c r="P350" s="32">
        <f t="shared" si="190"/>
        <v>4</v>
      </c>
      <c r="Q350" s="13" t="str">
        <f t="shared" si="180"/>
        <v>이기수</v>
      </c>
      <c r="R350" s="13" t="str">
        <f t="shared" si="181"/>
        <v>박성현</v>
      </c>
      <c r="S350" s="13" t="str">
        <f t="shared" si="182"/>
        <v>허지웅</v>
      </c>
      <c r="T350" s="13" t="str">
        <f t="shared" si="183"/>
        <v>정윤준</v>
      </c>
      <c r="U350" s="31" t="e">
        <f t="shared" si="193"/>
        <v>#VALUE!</v>
      </c>
      <c r="V350" s="6" t="str">
        <f t="shared" si="163"/>
        <v/>
      </c>
      <c r="W350" s="6" t="str">
        <f>IF(V350="","",COUNT($V$3:V350))</f>
        <v/>
      </c>
      <c r="X350" s="6" t="str">
        <f t="shared" si="170"/>
        <v/>
      </c>
      <c r="Y350" s="6" t="str">
        <f t="shared" si="171"/>
        <v/>
      </c>
      <c r="Z350" s="6" t="str">
        <f t="shared" si="172"/>
        <v/>
      </c>
      <c r="AA350" s="6" t="str">
        <f t="shared" si="173"/>
        <v/>
      </c>
      <c r="AB350" s="32" t="str">
        <f t="shared" si="191"/>
        <v/>
      </c>
      <c r="AC350" s="13" t="str">
        <f t="shared" si="174"/>
        <v>-</v>
      </c>
      <c r="AD350" s="13" t="str">
        <f t="shared" si="175"/>
        <v>-</v>
      </c>
      <c r="AE350" s="13" t="str">
        <f t="shared" si="176"/>
        <v>-</v>
      </c>
      <c r="AF350" s="13" t="str">
        <f t="shared" si="177"/>
        <v>-</v>
      </c>
      <c r="AG350" s="31" t="str">
        <f t="shared" si="194"/>
        <v>-</v>
      </c>
      <c r="AH350" s="2" t="str">
        <f t="shared" si="178"/>
        <v/>
      </c>
      <c r="AI350" s="2" t="str">
        <f>IF(AH350="","",COUNT($AH$3:AH350))</f>
        <v/>
      </c>
      <c r="AJ350" s="60" t="str">
        <f t="shared" si="179"/>
        <v/>
      </c>
    </row>
    <row r="351" spans="1:36" ht="16.5">
      <c r="A351" s="6">
        <v>349</v>
      </c>
      <c r="B351" s="9">
        <f t="shared" si="184"/>
        <v>46371</v>
      </c>
      <c r="C351" s="7">
        <f t="shared" si="185"/>
        <v>12</v>
      </c>
      <c r="D351" s="7">
        <f t="shared" si="186"/>
        <v>15</v>
      </c>
      <c r="E351" s="15">
        <f t="shared" si="187"/>
        <v>3</v>
      </c>
      <c r="F351" s="8" t="str">
        <f t="shared" si="188"/>
        <v/>
      </c>
      <c r="G351" s="58"/>
      <c r="H351" s="12" t="s">
        <v>63</v>
      </c>
      <c r="I351" s="6" t="str">
        <f t="shared" si="189"/>
        <v>야간</v>
      </c>
      <c r="J351" s="6" t="str">
        <f t="shared" si="192"/>
        <v/>
      </c>
      <c r="K351" s="6" t="str">
        <f>IF(J351="","",COUNT($J$3:J351))</f>
        <v/>
      </c>
      <c r="L351" s="6" t="str">
        <f t="shared" si="166"/>
        <v/>
      </c>
      <c r="M351" s="6" t="str">
        <f t="shared" si="167"/>
        <v/>
      </c>
      <c r="N351" s="6" t="str">
        <f t="shared" si="168"/>
        <v/>
      </c>
      <c r="O351" s="6" t="str">
        <f t="shared" si="169"/>
        <v/>
      </c>
      <c r="P351" s="32" t="str">
        <f t="shared" si="190"/>
        <v/>
      </c>
      <c r="Q351" s="13" t="str">
        <f t="shared" si="180"/>
        <v>-</v>
      </c>
      <c r="R351" s="13" t="str">
        <f t="shared" si="181"/>
        <v>-</v>
      </c>
      <c r="S351" s="13" t="str">
        <f t="shared" si="182"/>
        <v>-</v>
      </c>
      <c r="T351" s="13" t="str">
        <f t="shared" si="183"/>
        <v>-</v>
      </c>
      <c r="U351" s="31" t="str">
        <f t="shared" si="193"/>
        <v>-</v>
      </c>
      <c r="V351" s="6">
        <f t="shared" si="163"/>
        <v>1</v>
      </c>
      <c r="W351" s="6">
        <f>IF(V351="","",COUNT($V$3:V351))</f>
        <v>117</v>
      </c>
      <c r="X351" s="6">
        <f t="shared" si="170"/>
        <v>3</v>
      </c>
      <c r="Y351" s="6">
        <f t="shared" si="171"/>
        <v>4</v>
      </c>
      <c r="Z351" s="6">
        <f t="shared" si="172"/>
        <v>1</v>
      </c>
      <c r="AA351" s="6">
        <f t="shared" si="173"/>
        <v>2</v>
      </c>
      <c r="AB351" s="32">
        <f t="shared" si="191"/>
        <v>2</v>
      </c>
      <c r="AC351" s="13" t="str">
        <f t="shared" si="174"/>
        <v>허지웅</v>
      </c>
      <c r="AD351" s="13" t="str">
        <f t="shared" si="175"/>
        <v>정윤준</v>
      </c>
      <c r="AE351" s="13" t="str">
        <f t="shared" si="176"/>
        <v>이기수</v>
      </c>
      <c r="AF351" s="13" t="str">
        <f t="shared" si="177"/>
        <v>박성현</v>
      </c>
      <c r="AG351" s="31" t="str">
        <f t="shared" si="194"/>
        <v>장혁진</v>
      </c>
      <c r="AH351" s="2" t="str">
        <f t="shared" si="178"/>
        <v/>
      </c>
      <c r="AI351" s="2" t="str">
        <f>IF(AH351="","",COUNT($AH$3:AH351))</f>
        <v/>
      </c>
      <c r="AJ351" s="60" t="str">
        <f t="shared" si="179"/>
        <v/>
      </c>
    </row>
    <row r="352" spans="1:36" ht="16.5">
      <c r="A352" s="6">
        <v>350</v>
      </c>
      <c r="B352" s="9">
        <f t="shared" si="184"/>
        <v>46372</v>
      </c>
      <c r="C352" s="7">
        <f t="shared" si="185"/>
        <v>12</v>
      </c>
      <c r="D352" s="7">
        <f t="shared" si="186"/>
        <v>16</v>
      </c>
      <c r="E352" s="15">
        <f t="shared" si="187"/>
        <v>4</v>
      </c>
      <c r="F352" s="8" t="str">
        <f t="shared" si="188"/>
        <v/>
      </c>
      <c r="G352" s="58"/>
      <c r="H352" s="12" t="s">
        <v>64</v>
      </c>
      <c r="I352" s="6" t="str">
        <f t="shared" si="189"/>
        <v>비번</v>
      </c>
      <c r="J352" s="6" t="str">
        <f t="shared" si="192"/>
        <v/>
      </c>
      <c r="K352" s="6" t="str">
        <f>IF(J352="","",COUNT($J$3:J352))</f>
        <v/>
      </c>
      <c r="L352" s="6" t="str">
        <f t="shared" si="166"/>
        <v/>
      </c>
      <c r="M352" s="6" t="str">
        <f t="shared" si="167"/>
        <v/>
      </c>
      <c r="N352" s="6" t="str">
        <f t="shared" si="168"/>
        <v/>
      </c>
      <c r="O352" s="6" t="str">
        <f t="shared" si="169"/>
        <v/>
      </c>
      <c r="P352" s="32" t="str">
        <f t="shared" si="190"/>
        <v/>
      </c>
      <c r="Q352" s="13" t="str">
        <f t="shared" si="180"/>
        <v>-</v>
      </c>
      <c r="R352" s="13" t="str">
        <f t="shared" si="181"/>
        <v>-</v>
      </c>
      <c r="S352" s="13" t="str">
        <f t="shared" si="182"/>
        <v>-</v>
      </c>
      <c r="T352" s="13" t="str">
        <f t="shared" si="183"/>
        <v>-</v>
      </c>
      <c r="U352" s="31" t="str">
        <f t="shared" si="193"/>
        <v>-</v>
      </c>
      <c r="V352" s="6" t="str">
        <f t="shared" si="163"/>
        <v/>
      </c>
      <c r="W352" s="6" t="str">
        <f>IF(V352="","",COUNT($V$3:V352))</f>
        <v/>
      </c>
      <c r="X352" s="6" t="str">
        <f t="shared" si="170"/>
        <v/>
      </c>
      <c r="Y352" s="6" t="str">
        <f t="shared" si="171"/>
        <v/>
      </c>
      <c r="Z352" s="6" t="str">
        <f t="shared" si="172"/>
        <v/>
      </c>
      <c r="AA352" s="6" t="str">
        <f t="shared" si="173"/>
        <v/>
      </c>
      <c r="AB352" s="32" t="str">
        <f t="shared" si="191"/>
        <v/>
      </c>
      <c r="AC352" s="13" t="str">
        <f t="shared" si="174"/>
        <v>-</v>
      </c>
      <c r="AD352" s="13" t="str">
        <f t="shared" si="175"/>
        <v>-</v>
      </c>
      <c r="AE352" s="13" t="str">
        <f t="shared" si="176"/>
        <v>-</v>
      </c>
      <c r="AF352" s="13" t="str">
        <f t="shared" si="177"/>
        <v>-</v>
      </c>
      <c r="AG352" s="31" t="str">
        <f t="shared" si="194"/>
        <v>-</v>
      </c>
      <c r="AH352" s="2" t="str">
        <f t="shared" si="178"/>
        <v/>
      </c>
      <c r="AI352" s="2" t="str">
        <f>IF(AH352="","",COUNT($AH$3:AH352))</f>
        <v/>
      </c>
      <c r="AJ352" s="60" t="str">
        <f t="shared" si="179"/>
        <v/>
      </c>
    </row>
    <row r="353" spans="1:36" ht="16.5">
      <c r="A353" s="6">
        <v>351</v>
      </c>
      <c r="B353" s="9">
        <f t="shared" si="184"/>
        <v>46373</v>
      </c>
      <c r="C353" s="7">
        <f t="shared" si="185"/>
        <v>12</v>
      </c>
      <c r="D353" s="7">
        <f t="shared" si="186"/>
        <v>17</v>
      </c>
      <c r="E353" s="15">
        <f t="shared" si="187"/>
        <v>5</v>
      </c>
      <c r="F353" s="8" t="str">
        <f t="shared" si="188"/>
        <v/>
      </c>
      <c r="G353" s="58"/>
      <c r="H353" s="12" t="s">
        <v>65</v>
      </c>
      <c r="I353" s="6" t="str">
        <f t="shared" si="189"/>
        <v>주간</v>
      </c>
      <c r="J353" s="6">
        <f t="shared" si="192"/>
        <v>1</v>
      </c>
      <c r="K353" s="6">
        <f>IF(J353="","",COUNT($J$3:J353))</f>
        <v>80</v>
      </c>
      <c r="L353" s="6">
        <f t="shared" si="166"/>
        <v>4</v>
      </c>
      <c r="M353" s="6">
        <f t="shared" si="167"/>
        <v>1</v>
      </c>
      <c r="N353" s="6">
        <f t="shared" si="168"/>
        <v>2</v>
      </c>
      <c r="O353" s="6">
        <f t="shared" si="169"/>
        <v>3</v>
      </c>
      <c r="P353" s="32">
        <f t="shared" si="190"/>
        <v>0</v>
      </c>
      <c r="Q353" s="13" t="str">
        <f t="shared" si="180"/>
        <v>정윤준</v>
      </c>
      <c r="R353" s="13" t="str">
        <f t="shared" si="181"/>
        <v>이기수</v>
      </c>
      <c r="S353" s="13" t="str">
        <f t="shared" si="182"/>
        <v>박성현</v>
      </c>
      <c r="T353" s="13" t="str">
        <f t="shared" si="183"/>
        <v>허지웅</v>
      </c>
      <c r="U353" s="31" t="str">
        <f t="shared" si="193"/>
        <v>장혁진</v>
      </c>
      <c r="V353" s="6" t="str">
        <f t="shared" si="163"/>
        <v/>
      </c>
      <c r="W353" s="6" t="str">
        <f>IF(V353="","",COUNT($V$3:V353))</f>
        <v/>
      </c>
      <c r="X353" s="6" t="str">
        <f t="shared" si="170"/>
        <v/>
      </c>
      <c r="Y353" s="6" t="str">
        <f t="shared" si="171"/>
        <v/>
      </c>
      <c r="Z353" s="6" t="str">
        <f t="shared" si="172"/>
        <v/>
      </c>
      <c r="AA353" s="6" t="str">
        <f t="shared" si="173"/>
        <v/>
      </c>
      <c r="AB353" s="32" t="str">
        <f t="shared" si="191"/>
        <v/>
      </c>
      <c r="AC353" s="13" t="str">
        <f t="shared" si="174"/>
        <v>-</v>
      </c>
      <c r="AD353" s="13" t="str">
        <f t="shared" si="175"/>
        <v>-</v>
      </c>
      <c r="AE353" s="13" t="str">
        <f t="shared" si="176"/>
        <v>-</v>
      </c>
      <c r="AF353" s="13" t="str">
        <f t="shared" si="177"/>
        <v>-</v>
      </c>
      <c r="AG353" s="31" t="str">
        <f t="shared" si="194"/>
        <v>-</v>
      </c>
      <c r="AH353" s="2" t="str">
        <f t="shared" si="178"/>
        <v/>
      </c>
      <c r="AI353" s="2" t="str">
        <f>IF(AH353="","",COUNT($AH$3:AH353))</f>
        <v/>
      </c>
      <c r="AJ353" s="60" t="str">
        <f t="shared" si="179"/>
        <v/>
      </c>
    </row>
    <row r="354" spans="1:36" ht="16.5">
      <c r="A354" s="6">
        <v>352</v>
      </c>
      <c r="B354" s="9">
        <f t="shared" si="184"/>
        <v>46374</v>
      </c>
      <c r="C354" s="7">
        <f t="shared" si="185"/>
        <v>12</v>
      </c>
      <c r="D354" s="7">
        <f t="shared" si="186"/>
        <v>18</v>
      </c>
      <c r="E354" s="15">
        <f t="shared" si="187"/>
        <v>6</v>
      </c>
      <c r="F354" s="8" t="str">
        <f t="shared" si="188"/>
        <v/>
      </c>
      <c r="G354" s="58"/>
      <c r="H354" s="12" t="s">
        <v>63</v>
      </c>
      <c r="I354" s="6" t="str">
        <f t="shared" si="189"/>
        <v>야간</v>
      </c>
      <c r="J354" s="6" t="str">
        <f t="shared" si="192"/>
        <v/>
      </c>
      <c r="K354" s="6" t="str">
        <f>IF(J354="","",COUNT($J$3:J354))</f>
        <v/>
      </c>
      <c r="L354" s="6" t="str">
        <f t="shared" si="166"/>
        <v/>
      </c>
      <c r="M354" s="6" t="str">
        <f t="shared" si="167"/>
        <v/>
      </c>
      <c r="N354" s="6" t="str">
        <f t="shared" si="168"/>
        <v/>
      </c>
      <c r="O354" s="6" t="str">
        <f t="shared" si="169"/>
        <v/>
      </c>
      <c r="P354" s="32" t="str">
        <f t="shared" si="190"/>
        <v/>
      </c>
      <c r="Q354" s="13" t="str">
        <f t="shared" si="180"/>
        <v>-</v>
      </c>
      <c r="R354" s="13" t="str">
        <f t="shared" si="181"/>
        <v>-</v>
      </c>
      <c r="S354" s="13" t="str">
        <f t="shared" si="182"/>
        <v>-</v>
      </c>
      <c r="T354" s="13" t="str">
        <f t="shared" si="183"/>
        <v>-</v>
      </c>
      <c r="U354" s="31" t="str">
        <f t="shared" si="193"/>
        <v>-</v>
      </c>
      <c r="V354" s="6">
        <f t="shared" si="163"/>
        <v>1</v>
      </c>
      <c r="W354" s="6">
        <f>IF(V354="","",COUNT($V$3:V354))</f>
        <v>118</v>
      </c>
      <c r="X354" s="6">
        <f t="shared" si="170"/>
        <v>2</v>
      </c>
      <c r="Y354" s="6">
        <f t="shared" si="171"/>
        <v>3</v>
      </c>
      <c r="Z354" s="6">
        <f t="shared" si="172"/>
        <v>4</v>
      </c>
      <c r="AA354" s="6">
        <f t="shared" si="173"/>
        <v>1</v>
      </c>
      <c r="AB354" s="32">
        <f t="shared" si="191"/>
        <v>3</v>
      </c>
      <c r="AC354" s="13" t="str">
        <f t="shared" si="174"/>
        <v>박성현</v>
      </c>
      <c r="AD354" s="13" t="str">
        <f t="shared" si="175"/>
        <v>허지웅</v>
      </c>
      <c r="AE354" s="13" t="str">
        <f t="shared" si="176"/>
        <v>정윤준</v>
      </c>
      <c r="AF354" s="13" t="str">
        <f t="shared" si="177"/>
        <v>이기수</v>
      </c>
      <c r="AG354" s="31" t="str">
        <f t="shared" si="194"/>
        <v>이기수</v>
      </c>
      <c r="AH354" s="2" t="str">
        <f t="shared" si="178"/>
        <v/>
      </c>
      <c r="AI354" s="2" t="str">
        <f>IF(AH354="","",COUNT($AH$3:AH354))</f>
        <v/>
      </c>
      <c r="AJ354" s="60" t="str">
        <f t="shared" si="179"/>
        <v/>
      </c>
    </row>
    <row r="355" spans="1:36" ht="16.5">
      <c r="A355" s="6">
        <v>353</v>
      </c>
      <c r="B355" s="9">
        <f t="shared" si="184"/>
        <v>46375</v>
      </c>
      <c r="C355" s="7">
        <f t="shared" si="185"/>
        <v>12</v>
      </c>
      <c r="D355" s="7">
        <f t="shared" si="186"/>
        <v>19</v>
      </c>
      <c r="E355" s="15">
        <f t="shared" si="187"/>
        <v>7</v>
      </c>
      <c r="F355" s="8" t="str">
        <f t="shared" si="188"/>
        <v>휴</v>
      </c>
      <c r="G355" s="58"/>
      <c r="H355" s="12" t="s">
        <v>64</v>
      </c>
      <c r="I355" s="6" t="str">
        <f t="shared" si="189"/>
        <v>비번</v>
      </c>
      <c r="J355" s="6" t="str">
        <f t="shared" si="192"/>
        <v/>
      </c>
      <c r="K355" s="6" t="str">
        <f>IF(J355="","",COUNT($J$3:J355))</f>
        <v/>
      </c>
      <c r="L355" s="6" t="str">
        <f t="shared" si="166"/>
        <v/>
      </c>
      <c r="M355" s="6" t="str">
        <f t="shared" si="167"/>
        <v/>
      </c>
      <c r="N355" s="6" t="str">
        <f t="shared" si="168"/>
        <v/>
      </c>
      <c r="O355" s="6" t="str">
        <f t="shared" si="169"/>
        <v/>
      </c>
      <c r="P355" s="32" t="str">
        <f t="shared" si="190"/>
        <v/>
      </c>
      <c r="Q355" s="13" t="str">
        <f t="shared" si="180"/>
        <v>-</v>
      </c>
      <c r="R355" s="13" t="str">
        <f t="shared" si="181"/>
        <v>-</v>
      </c>
      <c r="S355" s="13" t="str">
        <f t="shared" si="182"/>
        <v>-</v>
      </c>
      <c r="T355" s="13" t="str">
        <f t="shared" si="183"/>
        <v>-</v>
      </c>
      <c r="U355" s="31" t="str">
        <f t="shared" si="193"/>
        <v>-</v>
      </c>
      <c r="V355" s="6" t="str">
        <f t="shared" si="163"/>
        <v/>
      </c>
      <c r="W355" s="6" t="str">
        <f>IF(V355="","",COUNT($V$3:V355))</f>
        <v/>
      </c>
      <c r="X355" s="6" t="str">
        <f t="shared" si="170"/>
        <v/>
      </c>
      <c r="Y355" s="6" t="str">
        <f t="shared" si="171"/>
        <v/>
      </c>
      <c r="Z355" s="6" t="str">
        <f t="shared" si="172"/>
        <v/>
      </c>
      <c r="AA355" s="6" t="str">
        <f t="shared" si="173"/>
        <v/>
      </c>
      <c r="AB355" s="32" t="str">
        <f t="shared" si="191"/>
        <v/>
      </c>
      <c r="AC355" s="13" t="str">
        <f t="shared" si="174"/>
        <v>-</v>
      </c>
      <c r="AD355" s="13" t="str">
        <f t="shared" si="175"/>
        <v>-</v>
      </c>
      <c r="AE355" s="13" t="str">
        <f t="shared" si="176"/>
        <v>-</v>
      </c>
      <c r="AF355" s="13" t="str">
        <f t="shared" si="177"/>
        <v>-</v>
      </c>
      <c r="AG355" s="31" t="str">
        <f t="shared" si="194"/>
        <v>-</v>
      </c>
      <c r="AH355" s="2" t="str">
        <f t="shared" si="178"/>
        <v/>
      </c>
      <c r="AI355" s="2" t="str">
        <f>IF(AH355="","",COUNT($AH$3:AH355))</f>
        <v/>
      </c>
      <c r="AJ355" s="60" t="str">
        <f t="shared" si="179"/>
        <v/>
      </c>
    </row>
    <row r="356" spans="1:36" ht="16.5">
      <c r="A356" s="6">
        <v>354</v>
      </c>
      <c r="B356" s="9">
        <f t="shared" si="184"/>
        <v>46376</v>
      </c>
      <c r="C356" s="7">
        <f t="shared" si="185"/>
        <v>12</v>
      </c>
      <c r="D356" s="7">
        <f t="shared" si="186"/>
        <v>20</v>
      </c>
      <c r="E356" s="15">
        <f t="shared" si="187"/>
        <v>1</v>
      </c>
      <c r="F356" s="8" t="str">
        <f t="shared" si="188"/>
        <v>휴</v>
      </c>
      <c r="G356" s="58"/>
      <c r="H356" s="12" t="s">
        <v>65</v>
      </c>
      <c r="I356" s="6" t="str">
        <f t="shared" si="189"/>
        <v>휴무</v>
      </c>
      <c r="J356" s="6" t="str">
        <f t="shared" si="192"/>
        <v/>
      </c>
      <c r="K356" s="6" t="str">
        <f>IF(J356="","",COUNT($J$3:J356))</f>
        <v/>
      </c>
      <c r="L356" s="6" t="str">
        <f t="shared" si="166"/>
        <v/>
      </c>
      <c r="M356" s="6" t="str">
        <f t="shared" si="167"/>
        <v/>
      </c>
      <c r="N356" s="6" t="str">
        <f t="shared" si="168"/>
        <v/>
      </c>
      <c r="O356" s="6" t="str">
        <f t="shared" si="169"/>
        <v/>
      </c>
      <c r="P356" s="32" t="str">
        <f t="shared" si="190"/>
        <v/>
      </c>
      <c r="Q356" s="13" t="str">
        <f t="shared" si="180"/>
        <v>-</v>
      </c>
      <c r="R356" s="13" t="str">
        <f t="shared" si="181"/>
        <v>-</v>
      </c>
      <c r="S356" s="13" t="str">
        <f t="shared" si="182"/>
        <v>-</v>
      </c>
      <c r="T356" s="13" t="str">
        <f t="shared" si="183"/>
        <v>-</v>
      </c>
      <c r="U356" s="31" t="str">
        <f t="shared" si="193"/>
        <v>-</v>
      </c>
      <c r="V356" s="6" t="str">
        <f t="shared" si="163"/>
        <v/>
      </c>
      <c r="W356" s="6" t="str">
        <f>IF(V356="","",COUNT($V$3:V356))</f>
        <v/>
      </c>
      <c r="X356" s="6" t="str">
        <f t="shared" si="170"/>
        <v/>
      </c>
      <c r="Y356" s="6" t="str">
        <f t="shared" si="171"/>
        <v/>
      </c>
      <c r="Z356" s="6" t="str">
        <f t="shared" si="172"/>
        <v/>
      </c>
      <c r="AA356" s="6" t="str">
        <f t="shared" si="173"/>
        <v/>
      </c>
      <c r="AB356" s="32" t="str">
        <f t="shared" si="191"/>
        <v/>
      </c>
      <c r="AC356" s="13" t="str">
        <f t="shared" si="174"/>
        <v>-</v>
      </c>
      <c r="AD356" s="13" t="str">
        <f t="shared" si="175"/>
        <v>-</v>
      </c>
      <c r="AE356" s="13" t="str">
        <f t="shared" si="176"/>
        <v>-</v>
      </c>
      <c r="AF356" s="13" t="str">
        <f t="shared" si="177"/>
        <v>-</v>
      </c>
      <c r="AG356" s="31" t="str">
        <f t="shared" si="194"/>
        <v>-</v>
      </c>
      <c r="AH356" s="2" t="str">
        <f t="shared" si="178"/>
        <v/>
      </c>
      <c r="AI356" s="2" t="str">
        <f>IF(AH356="","",COUNT($AH$3:AH356))</f>
        <v/>
      </c>
      <c r="AJ356" s="60" t="str">
        <f t="shared" si="179"/>
        <v/>
      </c>
    </row>
    <row r="357" spans="1:36" ht="16.5">
      <c r="A357" s="6">
        <v>355</v>
      </c>
      <c r="B357" s="9">
        <f t="shared" si="184"/>
        <v>46377</v>
      </c>
      <c r="C357" s="7">
        <f t="shared" si="185"/>
        <v>12</v>
      </c>
      <c r="D357" s="7">
        <f t="shared" si="186"/>
        <v>21</v>
      </c>
      <c r="E357" s="15">
        <f t="shared" si="187"/>
        <v>2</v>
      </c>
      <c r="F357" s="8" t="str">
        <f t="shared" si="188"/>
        <v/>
      </c>
      <c r="G357" s="58"/>
      <c r="H357" s="12" t="s">
        <v>63</v>
      </c>
      <c r="I357" s="6" t="str">
        <f t="shared" si="189"/>
        <v>야간</v>
      </c>
      <c r="J357" s="6" t="str">
        <f t="shared" si="192"/>
        <v/>
      </c>
      <c r="K357" s="6" t="str">
        <f>IF(J357="","",COUNT($J$3:J357))</f>
        <v/>
      </c>
      <c r="L357" s="6" t="str">
        <f t="shared" si="166"/>
        <v/>
      </c>
      <c r="M357" s="6" t="str">
        <f t="shared" si="167"/>
        <v/>
      </c>
      <c r="N357" s="6" t="str">
        <f t="shared" si="168"/>
        <v/>
      </c>
      <c r="O357" s="6" t="str">
        <f t="shared" si="169"/>
        <v/>
      </c>
      <c r="P357" s="32" t="str">
        <f t="shared" si="190"/>
        <v/>
      </c>
      <c r="Q357" s="13" t="str">
        <f t="shared" si="180"/>
        <v>-</v>
      </c>
      <c r="R357" s="13" t="str">
        <f t="shared" si="181"/>
        <v>-</v>
      </c>
      <c r="S357" s="13" t="str">
        <f t="shared" si="182"/>
        <v>-</v>
      </c>
      <c r="T357" s="13" t="str">
        <f t="shared" si="183"/>
        <v>-</v>
      </c>
      <c r="U357" s="31" t="str">
        <f t="shared" si="193"/>
        <v>-</v>
      </c>
      <c r="V357" s="6">
        <f t="shared" si="163"/>
        <v>1</v>
      </c>
      <c r="W357" s="6">
        <f>IF(V357="","",COUNT($V$3:V357))</f>
        <v>119</v>
      </c>
      <c r="X357" s="6">
        <f t="shared" si="170"/>
        <v>1</v>
      </c>
      <c r="Y357" s="6">
        <f t="shared" si="171"/>
        <v>2</v>
      </c>
      <c r="Z357" s="6">
        <f t="shared" si="172"/>
        <v>3</v>
      </c>
      <c r="AA357" s="6">
        <f t="shared" si="173"/>
        <v>4</v>
      </c>
      <c r="AB357" s="32">
        <f t="shared" si="191"/>
        <v>4</v>
      </c>
      <c r="AC357" s="13" t="str">
        <f t="shared" si="174"/>
        <v>이기수</v>
      </c>
      <c r="AD357" s="13" t="str">
        <f t="shared" si="175"/>
        <v>박성현</v>
      </c>
      <c r="AE357" s="13" t="str">
        <f t="shared" si="176"/>
        <v>허지웅</v>
      </c>
      <c r="AF357" s="13" t="str">
        <f t="shared" si="177"/>
        <v>정윤준</v>
      </c>
      <c r="AG357" s="31" t="e">
        <f t="shared" si="194"/>
        <v>#VALUE!</v>
      </c>
      <c r="AH357" s="2">
        <f t="shared" si="178"/>
        <v>1</v>
      </c>
      <c r="AI357" s="2">
        <f>IF(AH357="","",COUNT($AH$3:AH357))</f>
        <v>30</v>
      </c>
      <c r="AJ357" s="60" t="str">
        <f t="shared" si="179"/>
        <v>허지웅</v>
      </c>
    </row>
    <row r="358" spans="1:36" ht="16.5">
      <c r="A358" s="6">
        <v>356</v>
      </c>
      <c r="B358" s="9">
        <f t="shared" si="184"/>
        <v>46378</v>
      </c>
      <c r="C358" s="7">
        <f t="shared" si="185"/>
        <v>12</v>
      </c>
      <c r="D358" s="7">
        <f t="shared" si="186"/>
        <v>22</v>
      </c>
      <c r="E358" s="15">
        <f t="shared" si="187"/>
        <v>3</v>
      </c>
      <c r="F358" s="8" t="str">
        <f t="shared" si="188"/>
        <v/>
      </c>
      <c r="G358" s="58"/>
      <c r="H358" s="12" t="s">
        <v>64</v>
      </c>
      <c r="I358" s="6" t="str">
        <f t="shared" si="189"/>
        <v>비번</v>
      </c>
      <c r="J358" s="6" t="str">
        <f t="shared" si="192"/>
        <v/>
      </c>
      <c r="K358" s="6" t="str">
        <f>IF(J358="","",COUNT($J$3:J358))</f>
        <v/>
      </c>
      <c r="L358" s="6" t="str">
        <f t="shared" si="166"/>
        <v/>
      </c>
      <c r="M358" s="6" t="str">
        <f t="shared" si="167"/>
        <v/>
      </c>
      <c r="N358" s="6" t="str">
        <f t="shared" si="168"/>
        <v/>
      </c>
      <c r="O358" s="6" t="str">
        <f t="shared" si="169"/>
        <v/>
      </c>
      <c r="P358" s="32" t="str">
        <f t="shared" si="190"/>
        <v/>
      </c>
      <c r="Q358" s="13" t="str">
        <f t="shared" si="180"/>
        <v>-</v>
      </c>
      <c r="R358" s="13" t="str">
        <f t="shared" si="181"/>
        <v>-</v>
      </c>
      <c r="S358" s="13" t="str">
        <f t="shared" si="182"/>
        <v>-</v>
      </c>
      <c r="T358" s="13" t="str">
        <f t="shared" si="183"/>
        <v>-</v>
      </c>
      <c r="U358" s="31" t="str">
        <f t="shared" si="193"/>
        <v>-</v>
      </c>
      <c r="V358" s="6" t="str">
        <f t="shared" si="163"/>
        <v/>
      </c>
      <c r="W358" s="6" t="str">
        <f>IF(V358="","",COUNT($V$3:V358))</f>
        <v/>
      </c>
      <c r="X358" s="6" t="str">
        <f t="shared" si="170"/>
        <v/>
      </c>
      <c r="Y358" s="6" t="str">
        <f t="shared" si="171"/>
        <v/>
      </c>
      <c r="Z358" s="6" t="str">
        <f t="shared" si="172"/>
        <v/>
      </c>
      <c r="AA358" s="6" t="str">
        <f t="shared" si="173"/>
        <v/>
      </c>
      <c r="AB358" s="32" t="str">
        <f t="shared" si="191"/>
        <v/>
      </c>
      <c r="AC358" s="13" t="str">
        <f t="shared" si="174"/>
        <v>-</v>
      </c>
      <c r="AD358" s="13" t="str">
        <f t="shared" si="175"/>
        <v>-</v>
      </c>
      <c r="AE358" s="13" t="str">
        <f t="shared" si="176"/>
        <v>-</v>
      </c>
      <c r="AF358" s="13" t="str">
        <f t="shared" si="177"/>
        <v>-</v>
      </c>
      <c r="AG358" s="31" t="str">
        <f t="shared" si="194"/>
        <v>-</v>
      </c>
      <c r="AH358" s="2" t="str">
        <f t="shared" si="178"/>
        <v/>
      </c>
      <c r="AI358" s="2" t="str">
        <f>IF(AH358="","",COUNT($AH$3:AH358))</f>
        <v/>
      </c>
      <c r="AJ358" s="60" t="str">
        <f t="shared" si="179"/>
        <v/>
      </c>
    </row>
    <row r="359" spans="1:36" ht="16.5">
      <c r="A359" s="6">
        <v>357</v>
      </c>
      <c r="B359" s="9">
        <f t="shared" si="184"/>
        <v>46379</v>
      </c>
      <c r="C359" s="7">
        <f t="shared" si="185"/>
        <v>12</v>
      </c>
      <c r="D359" s="7">
        <f t="shared" si="186"/>
        <v>23</v>
      </c>
      <c r="E359" s="15">
        <f t="shared" si="187"/>
        <v>4</v>
      </c>
      <c r="F359" s="8" t="str">
        <f t="shared" si="188"/>
        <v/>
      </c>
      <c r="G359" s="58"/>
      <c r="H359" s="12" t="s">
        <v>65</v>
      </c>
      <c r="I359" s="6" t="str">
        <f t="shared" si="189"/>
        <v>주간</v>
      </c>
      <c r="J359" s="6">
        <f t="shared" si="192"/>
        <v>1</v>
      </c>
      <c r="K359" s="6">
        <f>IF(J359="","",COUNT($J$3:J359))</f>
        <v>81</v>
      </c>
      <c r="L359" s="6">
        <f t="shared" si="166"/>
        <v>3</v>
      </c>
      <c r="M359" s="6">
        <f t="shared" si="167"/>
        <v>4</v>
      </c>
      <c r="N359" s="6">
        <f t="shared" si="168"/>
        <v>1</v>
      </c>
      <c r="O359" s="6">
        <f t="shared" si="169"/>
        <v>2</v>
      </c>
      <c r="P359" s="32">
        <f t="shared" si="190"/>
        <v>1</v>
      </c>
      <c r="Q359" s="13" t="str">
        <f t="shared" si="180"/>
        <v>허지웅</v>
      </c>
      <c r="R359" s="13" t="str">
        <f t="shared" si="181"/>
        <v>정윤준</v>
      </c>
      <c r="S359" s="13" t="str">
        <f t="shared" si="182"/>
        <v>이기수</v>
      </c>
      <c r="T359" s="13" t="str">
        <f t="shared" si="183"/>
        <v>박성현</v>
      </c>
      <c r="U359" s="31" t="str">
        <f t="shared" si="193"/>
        <v>이기수</v>
      </c>
      <c r="V359" s="6" t="str">
        <f t="shared" si="163"/>
        <v/>
      </c>
      <c r="W359" s="6" t="str">
        <f>IF(V359="","",COUNT($V$3:V359))</f>
        <v/>
      </c>
      <c r="X359" s="6" t="str">
        <f t="shared" si="170"/>
        <v/>
      </c>
      <c r="Y359" s="6" t="str">
        <f t="shared" si="171"/>
        <v/>
      </c>
      <c r="Z359" s="6" t="str">
        <f t="shared" si="172"/>
        <v/>
      </c>
      <c r="AA359" s="6" t="str">
        <f t="shared" si="173"/>
        <v/>
      </c>
      <c r="AB359" s="32" t="str">
        <f t="shared" si="191"/>
        <v/>
      </c>
      <c r="AC359" s="13" t="str">
        <f t="shared" si="174"/>
        <v>-</v>
      </c>
      <c r="AD359" s="13" t="str">
        <f t="shared" si="175"/>
        <v>-</v>
      </c>
      <c r="AE359" s="13" t="str">
        <f t="shared" si="176"/>
        <v>-</v>
      </c>
      <c r="AF359" s="13" t="str">
        <f t="shared" si="177"/>
        <v>-</v>
      </c>
      <c r="AG359" s="31" t="str">
        <f t="shared" si="194"/>
        <v>-</v>
      </c>
      <c r="AH359" s="2" t="str">
        <f t="shared" si="178"/>
        <v/>
      </c>
      <c r="AI359" s="2" t="str">
        <f>IF(AH359="","",COUNT($AH$3:AH359))</f>
        <v/>
      </c>
      <c r="AJ359" s="60" t="str">
        <f t="shared" si="179"/>
        <v/>
      </c>
    </row>
    <row r="360" spans="1:36" ht="16.5">
      <c r="A360" s="6">
        <v>358</v>
      </c>
      <c r="B360" s="9">
        <f t="shared" si="184"/>
        <v>46380</v>
      </c>
      <c r="C360" s="7">
        <f t="shared" si="185"/>
        <v>12</v>
      </c>
      <c r="D360" s="7">
        <f t="shared" si="186"/>
        <v>24</v>
      </c>
      <c r="E360" s="15">
        <f t="shared" si="187"/>
        <v>5</v>
      </c>
      <c r="F360" s="8" t="str">
        <f t="shared" si="188"/>
        <v/>
      </c>
      <c r="G360" s="58"/>
      <c r="H360" s="12" t="s">
        <v>63</v>
      </c>
      <c r="I360" s="6" t="str">
        <f t="shared" si="189"/>
        <v>야간</v>
      </c>
      <c r="J360" s="6" t="str">
        <f t="shared" si="192"/>
        <v/>
      </c>
      <c r="K360" s="6" t="str">
        <f>IF(J360="","",COUNT($J$3:J360))</f>
        <v/>
      </c>
      <c r="L360" s="6" t="str">
        <f t="shared" si="166"/>
        <v/>
      </c>
      <c r="M360" s="6" t="str">
        <f t="shared" si="167"/>
        <v/>
      </c>
      <c r="N360" s="6" t="str">
        <f t="shared" si="168"/>
        <v/>
      </c>
      <c r="O360" s="6" t="str">
        <f t="shared" si="169"/>
        <v/>
      </c>
      <c r="P360" s="32" t="str">
        <f t="shared" si="190"/>
        <v/>
      </c>
      <c r="Q360" s="13" t="str">
        <f t="shared" si="180"/>
        <v>-</v>
      </c>
      <c r="R360" s="13" t="str">
        <f t="shared" si="181"/>
        <v>-</v>
      </c>
      <c r="S360" s="13" t="str">
        <f t="shared" si="182"/>
        <v>-</v>
      </c>
      <c r="T360" s="13" t="str">
        <f t="shared" si="183"/>
        <v>-</v>
      </c>
      <c r="U360" s="31" t="str">
        <f t="shared" si="193"/>
        <v>-</v>
      </c>
      <c r="V360" s="6">
        <f t="shared" si="163"/>
        <v>1</v>
      </c>
      <c r="W360" s="6">
        <f>IF(V360="","",COUNT($V$3:V360))</f>
        <v>120</v>
      </c>
      <c r="X360" s="6">
        <f t="shared" si="170"/>
        <v>4</v>
      </c>
      <c r="Y360" s="6">
        <f t="shared" si="171"/>
        <v>1</v>
      </c>
      <c r="Z360" s="6">
        <f t="shared" si="172"/>
        <v>2</v>
      </c>
      <c r="AA360" s="6">
        <f t="shared" si="173"/>
        <v>3</v>
      </c>
      <c r="AB360" s="32">
        <f t="shared" si="191"/>
        <v>0</v>
      </c>
      <c r="AC360" s="13" t="str">
        <f t="shared" si="174"/>
        <v>정윤준</v>
      </c>
      <c r="AD360" s="13" t="str">
        <f t="shared" si="175"/>
        <v>이기수</v>
      </c>
      <c r="AE360" s="13" t="str">
        <f t="shared" si="176"/>
        <v>박성현</v>
      </c>
      <c r="AF360" s="13" t="str">
        <f t="shared" si="177"/>
        <v>허지웅</v>
      </c>
      <c r="AG360" s="31" t="str">
        <f t="shared" si="194"/>
        <v>정윤준</v>
      </c>
      <c r="AH360" s="2" t="str">
        <f t="shared" si="178"/>
        <v/>
      </c>
      <c r="AI360" s="2" t="str">
        <f>IF(AH360="","",COUNT($AH$3:AH360))</f>
        <v/>
      </c>
      <c r="AJ360" s="60" t="str">
        <f t="shared" si="179"/>
        <v/>
      </c>
    </row>
    <row r="361" spans="1:36" ht="16.5">
      <c r="A361" s="6">
        <v>359</v>
      </c>
      <c r="B361" s="9">
        <f t="shared" si="184"/>
        <v>46381</v>
      </c>
      <c r="C361" s="7">
        <f t="shared" si="185"/>
        <v>12</v>
      </c>
      <c r="D361" s="7">
        <f t="shared" si="186"/>
        <v>25</v>
      </c>
      <c r="E361" s="15">
        <f t="shared" si="187"/>
        <v>6</v>
      </c>
      <c r="F361" s="8" t="str">
        <f t="shared" si="188"/>
        <v>휴</v>
      </c>
      <c r="G361" s="58" t="s">
        <v>82</v>
      </c>
      <c r="H361" s="12" t="s">
        <v>64</v>
      </c>
      <c r="I361" s="6" t="str">
        <f t="shared" si="189"/>
        <v>비번</v>
      </c>
      <c r="J361" s="6" t="str">
        <f t="shared" si="192"/>
        <v/>
      </c>
      <c r="K361" s="6" t="str">
        <f>IF(J361="","",COUNT($J$3:J361))</f>
        <v/>
      </c>
      <c r="L361" s="6" t="str">
        <f t="shared" si="166"/>
        <v/>
      </c>
      <c r="M361" s="6" t="str">
        <f t="shared" si="167"/>
        <v/>
      </c>
      <c r="N361" s="6" t="str">
        <f t="shared" si="168"/>
        <v/>
      </c>
      <c r="O361" s="6" t="str">
        <f t="shared" si="169"/>
        <v/>
      </c>
      <c r="P361" s="32" t="str">
        <f t="shared" si="190"/>
        <v/>
      </c>
      <c r="Q361" s="13" t="str">
        <f t="shared" si="180"/>
        <v>-</v>
      </c>
      <c r="R361" s="13" t="str">
        <f t="shared" si="181"/>
        <v>-</v>
      </c>
      <c r="S361" s="13" t="str">
        <f t="shared" si="182"/>
        <v>-</v>
      </c>
      <c r="T361" s="13" t="str">
        <f t="shared" si="183"/>
        <v>-</v>
      </c>
      <c r="U361" s="31" t="str">
        <f t="shared" si="193"/>
        <v>-</v>
      </c>
      <c r="V361" s="6" t="str">
        <f t="shared" si="163"/>
        <v/>
      </c>
      <c r="W361" s="6" t="str">
        <f>IF(V361="","",COUNT($V$3:V361))</f>
        <v/>
      </c>
      <c r="X361" s="6" t="str">
        <f t="shared" si="170"/>
        <v/>
      </c>
      <c r="Y361" s="6" t="str">
        <f t="shared" si="171"/>
        <v/>
      </c>
      <c r="Z361" s="6" t="str">
        <f t="shared" si="172"/>
        <v/>
      </c>
      <c r="AA361" s="6" t="str">
        <f t="shared" si="173"/>
        <v/>
      </c>
      <c r="AB361" s="32" t="str">
        <f t="shared" si="191"/>
        <v/>
      </c>
      <c r="AC361" s="13" t="str">
        <f t="shared" si="174"/>
        <v>-</v>
      </c>
      <c r="AD361" s="13" t="str">
        <f t="shared" si="175"/>
        <v>-</v>
      </c>
      <c r="AE361" s="13" t="str">
        <f t="shared" si="176"/>
        <v>-</v>
      </c>
      <c r="AF361" s="13" t="str">
        <f t="shared" si="177"/>
        <v>-</v>
      </c>
      <c r="AG361" s="31" t="str">
        <f t="shared" si="194"/>
        <v>-</v>
      </c>
      <c r="AH361" s="2" t="str">
        <f t="shared" si="178"/>
        <v/>
      </c>
      <c r="AI361" s="2" t="str">
        <f>IF(AH361="","",COUNT($AH$3:AH361))</f>
        <v/>
      </c>
      <c r="AJ361" s="60" t="str">
        <f t="shared" si="179"/>
        <v/>
      </c>
    </row>
    <row r="362" spans="1:36" ht="16.5">
      <c r="A362" s="6">
        <v>360</v>
      </c>
      <c r="B362" s="9">
        <f t="shared" si="184"/>
        <v>46382</v>
      </c>
      <c r="C362" s="7">
        <f t="shared" si="185"/>
        <v>12</v>
      </c>
      <c r="D362" s="7">
        <f t="shared" si="186"/>
        <v>26</v>
      </c>
      <c r="E362" s="15">
        <f t="shared" si="187"/>
        <v>7</v>
      </c>
      <c r="F362" s="8" t="str">
        <f t="shared" si="188"/>
        <v>휴</v>
      </c>
      <c r="G362" s="58"/>
      <c r="H362" s="12" t="s">
        <v>65</v>
      </c>
      <c r="I362" s="6" t="str">
        <f t="shared" si="189"/>
        <v>휴무</v>
      </c>
      <c r="J362" s="6" t="str">
        <f t="shared" si="192"/>
        <v/>
      </c>
      <c r="K362" s="6" t="str">
        <f>IF(J362="","",COUNT($J$3:J362))</f>
        <v/>
      </c>
      <c r="L362" s="6" t="str">
        <f t="shared" si="166"/>
        <v/>
      </c>
      <c r="M362" s="6" t="str">
        <f t="shared" si="167"/>
        <v/>
      </c>
      <c r="N362" s="6" t="str">
        <f t="shared" si="168"/>
        <v/>
      </c>
      <c r="O362" s="6" t="str">
        <f t="shared" si="169"/>
        <v/>
      </c>
      <c r="P362" s="32" t="str">
        <f t="shared" si="190"/>
        <v/>
      </c>
      <c r="Q362" s="13" t="str">
        <f t="shared" si="180"/>
        <v>-</v>
      </c>
      <c r="R362" s="13" t="str">
        <f t="shared" si="181"/>
        <v>-</v>
      </c>
      <c r="S362" s="13" t="str">
        <f t="shared" si="182"/>
        <v>-</v>
      </c>
      <c r="T362" s="13" t="str">
        <f t="shared" si="183"/>
        <v>-</v>
      </c>
      <c r="U362" s="31" t="str">
        <f t="shared" si="193"/>
        <v>-</v>
      </c>
      <c r="V362" s="6" t="str">
        <f t="shared" si="163"/>
        <v/>
      </c>
      <c r="W362" s="6" t="str">
        <f>IF(V362="","",COUNT($V$3:V362))</f>
        <v/>
      </c>
      <c r="X362" s="6" t="str">
        <f t="shared" si="170"/>
        <v/>
      </c>
      <c r="Y362" s="6" t="str">
        <f t="shared" si="171"/>
        <v/>
      </c>
      <c r="Z362" s="6" t="str">
        <f t="shared" si="172"/>
        <v/>
      </c>
      <c r="AA362" s="6" t="str">
        <f t="shared" si="173"/>
        <v/>
      </c>
      <c r="AB362" s="32" t="str">
        <f t="shared" si="191"/>
        <v/>
      </c>
      <c r="AC362" s="13" t="str">
        <f t="shared" si="174"/>
        <v>-</v>
      </c>
      <c r="AD362" s="13" t="str">
        <f t="shared" si="175"/>
        <v>-</v>
      </c>
      <c r="AE362" s="13" t="str">
        <f t="shared" si="176"/>
        <v>-</v>
      </c>
      <c r="AF362" s="13" t="str">
        <f t="shared" si="177"/>
        <v>-</v>
      </c>
      <c r="AG362" s="31" t="str">
        <f t="shared" si="194"/>
        <v>-</v>
      </c>
      <c r="AH362" s="2" t="str">
        <f t="shared" si="178"/>
        <v/>
      </c>
      <c r="AI362" s="2" t="str">
        <f>IF(AH362="","",COUNT($AH$3:AH362))</f>
        <v/>
      </c>
      <c r="AJ362" s="60" t="str">
        <f t="shared" si="179"/>
        <v/>
      </c>
    </row>
    <row r="363" spans="1:36" ht="16.5">
      <c r="A363" s="6">
        <v>361</v>
      </c>
      <c r="B363" s="9">
        <f t="shared" si="184"/>
        <v>46383</v>
      </c>
      <c r="C363" s="7">
        <f t="shared" si="185"/>
        <v>12</v>
      </c>
      <c r="D363" s="7">
        <f t="shared" si="186"/>
        <v>27</v>
      </c>
      <c r="E363" s="15">
        <f t="shared" si="187"/>
        <v>1</v>
      </c>
      <c r="F363" s="8" t="str">
        <f t="shared" si="188"/>
        <v>휴</v>
      </c>
      <c r="G363" s="58"/>
      <c r="H363" s="12" t="s">
        <v>63</v>
      </c>
      <c r="I363" s="6" t="str">
        <f t="shared" si="189"/>
        <v>당직</v>
      </c>
      <c r="J363" s="6" t="str">
        <f t="shared" si="192"/>
        <v/>
      </c>
      <c r="K363" s="6" t="str">
        <f>IF(J363="","",COUNT($J$3:J363))</f>
        <v/>
      </c>
      <c r="L363" s="6" t="str">
        <f t="shared" si="166"/>
        <v/>
      </c>
      <c r="M363" s="6" t="str">
        <f t="shared" si="167"/>
        <v/>
      </c>
      <c r="N363" s="6" t="str">
        <f t="shared" si="168"/>
        <v/>
      </c>
      <c r="O363" s="6" t="str">
        <f t="shared" si="169"/>
        <v/>
      </c>
      <c r="P363" s="32" t="str">
        <f t="shared" si="190"/>
        <v/>
      </c>
      <c r="Q363" s="13" t="str">
        <f t="shared" si="180"/>
        <v>-</v>
      </c>
      <c r="R363" s="13" t="str">
        <f t="shared" si="181"/>
        <v>-</v>
      </c>
      <c r="S363" s="13" t="str">
        <f t="shared" si="182"/>
        <v>-</v>
      </c>
      <c r="T363" s="13" t="str">
        <f t="shared" si="183"/>
        <v>-</v>
      </c>
      <c r="U363" s="31" t="str">
        <f t="shared" si="193"/>
        <v>-</v>
      </c>
      <c r="V363" s="6">
        <f t="shared" si="163"/>
        <v>1</v>
      </c>
      <c r="W363" s="6">
        <f>IF(V363="","",COUNT($V$3:V363))</f>
        <v>121</v>
      </c>
      <c r="X363" s="6">
        <f t="shared" si="170"/>
        <v>3</v>
      </c>
      <c r="Y363" s="6">
        <f t="shared" si="171"/>
        <v>4</v>
      </c>
      <c r="Z363" s="6">
        <f t="shared" si="172"/>
        <v>1</v>
      </c>
      <c r="AA363" s="6">
        <f t="shared" si="173"/>
        <v>2</v>
      </c>
      <c r="AB363" s="32">
        <f t="shared" si="191"/>
        <v>1</v>
      </c>
      <c r="AC363" s="13" t="str">
        <f t="shared" si="174"/>
        <v>허지웅</v>
      </c>
      <c r="AD363" s="13" t="str">
        <f t="shared" si="175"/>
        <v>정윤준</v>
      </c>
      <c r="AE363" s="13" t="str">
        <f t="shared" si="176"/>
        <v>이기수</v>
      </c>
      <c r="AF363" s="13" t="str">
        <f t="shared" si="177"/>
        <v>박성현</v>
      </c>
      <c r="AG363" s="31" t="str">
        <f t="shared" si="194"/>
        <v>허지웅</v>
      </c>
      <c r="AH363" s="2" t="str">
        <f t="shared" si="178"/>
        <v/>
      </c>
      <c r="AI363" s="2" t="str">
        <f>IF(AH363="","",COUNT($AH$3:AH363))</f>
        <v/>
      </c>
      <c r="AJ363" s="60" t="str">
        <f t="shared" si="179"/>
        <v/>
      </c>
    </row>
    <row r="364" spans="1:36" ht="16.5">
      <c r="A364" s="6">
        <v>362</v>
      </c>
      <c r="B364" s="9">
        <f t="shared" si="184"/>
        <v>46384</v>
      </c>
      <c r="C364" s="7">
        <f t="shared" si="185"/>
        <v>12</v>
      </c>
      <c r="D364" s="7">
        <f t="shared" si="186"/>
        <v>28</v>
      </c>
      <c r="E364" s="15">
        <f t="shared" si="187"/>
        <v>2</v>
      </c>
      <c r="F364" s="8" t="str">
        <f t="shared" si="188"/>
        <v/>
      </c>
      <c r="G364" s="58"/>
      <c r="H364" s="12" t="s">
        <v>64</v>
      </c>
      <c r="I364" s="6" t="str">
        <f t="shared" si="189"/>
        <v>비번</v>
      </c>
      <c r="J364" s="6" t="str">
        <f t="shared" si="192"/>
        <v/>
      </c>
      <c r="K364" s="6" t="str">
        <f>IF(J364="","",COUNT($J$3:J364))</f>
        <v/>
      </c>
      <c r="L364" s="6" t="str">
        <f t="shared" si="166"/>
        <v/>
      </c>
      <c r="M364" s="6" t="str">
        <f t="shared" si="167"/>
        <v/>
      </c>
      <c r="N364" s="6" t="str">
        <f t="shared" si="168"/>
        <v/>
      </c>
      <c r="O364" s="6" t="str">
        <f t="shared" si="169"/>
        <v/>
      </c>
      <c r="P364" s="32" t="str">
        <f t="shared" si="190"/>
        <v/>
      </c>
      <c r="Q364" s="13" t="str">
        <f t="shared" si="180"/>
        <v>-</v>
      </c>
      <c r="R364" s="13" t="str">
        <f t="shared" si="181"/>
        <v>-</v>
      </c>
      <c r="S364" s="13" t="str">
        <f t="shared" si="182"/>
        <v>-</v>
      </c>
      <c r="T364" s="13" t="str">
        <f t="shared" si="183"/>
        <v>-</v>
      </c>
      <c r="U364" s="31" t="str">
        <f t="shared" si="193"/>
        <v>-</v>
      </c>
      <c r="V364" s="6" t="str">
        <f t="shared" si="163"/>
        <v/>
      </c>
      <c r="W364" s="6" t="str">
        <f>IF(V364="","",COUNT($V$3:V364))</f>
        <v/>
      </c>
      <c r="X364" s="6" t="str">
        <f t="shared" si="170"/>
        <v/>
      </c>
      <c r="Y364" s="6" t="str">
        <f t="shared" si="171"/>
        <v/>
      </c>
      <c r="Z364" s="6" t="str">
        <f t="shared" si="172"/>
        <v/>
      </c>
      <c r="AA364" s="6" t="str">
        <f t="shared" si="173"/>
        <v/>
      </c>
      <c r="AB364" s="32" t="str">
        <f t="shared" si="191"/>
        <v/>
      </c>
      <c r="AC364" s="13" t="str">
        <f t="shared" si="174"/>
        <v>-</v>
      </c>
      <c r="AD364" s="13" t="str">
        <f t="shared" si="175"/>
        <v>-</v>
      </c>
      <c r="AE364" s="13" t="str">
        <f t="shared" si="176"/>
        <v>-</v>
      </c>
      <c r="AF364" s="13" t="str">
        <f t="shared" si="177"/>
        <v>-</v>
      </c>
      <c r="AG364" s="31" t="str">
        <f t="shared" si="194"/>
        <v>-</v>
      </c>
      <c r="AH364" s="2" t="str">
        <f t="shared" si="178"/>
        <v/>
      </c>
      <c r="AI364" s="2" t="str">
        <f>IF(AH364="","",COUNT($AH$3:AH364))</f>
        <v/>
      </c>
      <c r="AJ364" s="60" t="str">
        <f t="shared" si="179"/>
        <v/>
      </c>
    </row>
    <row r="365" spans="1:36" ht="16.5">
      <c r="A365" s="6">
        <v>363</v>
      </c>
      <c r="B365" s="9">
        <f t="shared" si="184"/>
        <v>46385</v>
      </c>
      <c r="C365" s="7">
        <f t="shared" si="185"/>
        <v>12</v>
      </c>
      <c r="D365" s="7">
        <f t="shared" si="186"/>
        <v>29</v>
      </c>
      <c r="E365" s="15">
        <f t="shared" si="187"/>
        <v>3</v>
      </c>
      <c r="F365" s="8" t="str">
        <f t="shared" si="188"/>
        <v/>
      </c>
      <c r="G365" s="58"/>
      <c r="H365" s="12" t="s">
        <v>65</v>
      </c>
      <c r="I365" s="6" t="str">
        <f t="shared" si="189"/>
        <v>주간</v>
      </c>
      <c r="J365" s="6">
        <f t="shared" si="192"/>
        <v>1</v>
      </c>
      <c r="K365" s="6">
        <f>IF(J365="","",COUNT($J$3:J365))</f>
        <v>82</v>
      </c>
      <c r="L365" s="6">
        <f t="shared" si="166"/>
        <v>2</v>
      </c>
      <c r="M365" s="6">
        <f t="shared" si="167"/>
        <v>3</v>
      </c>
      <c r="N365" s="6">
        <f t="shared" si="168"/>
        <v>4</v>
      </c>
      <c r="O365" s="6">
        <f t="shared" si="169"/>
        <v>1</v>
      </c>
      <c r="P365" s="32">
        <f t="shared" si="190"/>
        <v>2</v>
      </c>
      <c r="Q365" s="13" t="str">
        <f t="shared" si="180"/>
        <v>박성현</v>
      </c>
      <c r="R365" s="13" t="str">
        <f t="shared" si="181"/>
        <v>허지웅</v>
      </c>
      <c r="S365" s="13" t="str">
        <f t="shared" si="182"/>
        <v>정윤준</v>
      </c>
      <c r="T365" s="13" t="str">
        <f t="shared" si="183"/>
        <v>이기수</v>
      </c>
      <c r="U365" s="31" t="str">
        <f t="shared" si="193"/>
        <v>정윤준</v>
      </c>
      <c r="V365" s="6" t="str">
        <f t="shared" si="163"/>
        <v/>
      </c>
      <c r="W365" s="6" t="str">
        <f>IF(V365="","",COUNT($V$3:V365))</f>
        <v/>
      </c>
      <c r="X365" s="6" t="str">
        <f t="shared" si="170"/>
        <v/>
      </c>
      <c r="Y365" s="6" t="str">
        <f t="shared" si="171"/>
        <v/>
      </c>
      <c r="Z365" s="6" t="str">
        <f t="shared" si="172"/>
        <v/>
      </c>
      <c r="AA365" s="6" t="str">
        <f t="shared" si="173"/>
        <v/>
      </c>
      <c r="AB365" s="32" t="str">
        <f t="shared" si="191"/>
        <v/>
      </c>
      <c r="AC365" s="13" t="str">
        <f t="shared" si="174"/>
        <v>-</v>
      </c>
      <c r="AD365" s="13" t="str">
        <f t="shared" si="175"/>
        <v>-</v>
      </c>
      <c r="AE365" s="13" t="str">
        <f t="shared" si="176"/>
        <v>-</v>
      </c>
      <c r="AF365" s="13" t="str">
        <f t="shared" si="177"/>
        <v>-</v>
      </c>
      <c r="AG365" s="31" t="str">
        <f t="shared" si="194"/>
        <v>-</v>
      </c>
      <c r="AH365" s="2" t="str">
        <f t="shared" si="178"/>
        <v/>
      </c>
      <c r="AI365" s="2" t="str">
        <f>IF(AH365="","",COUNT($AH$3:AH365))</f>
        <v/>
      </c>
      <c r="AJ365" s="60" t="str">
        <f t="shared" si="179"/>
        <v/>
      </c>
    </row>
    <row r="366" spans="1:36" ht="16.5">
      <c r="A366" s="6">
        <v>364</v>
      </c>
      <c r="B366" s="9">
        <f t="shared" si="184"/>
        <v>46386</v>
      </c>
      <c r="C366" s="7">
        <f t="shared" si="185"/>
        <v>12</v>
      </c>
      <c r="D366" s="7">
        <f t="shared" si="186"/>
        <v>30</v>
      </c>
      <c r="E366" s="15">
        <f t="shared" si="187"/>
        <v>4</v>
      </c>
      <c r="F366" s="8" t="str">
        <f t="shared" si="188"/>
        <v/>
      </c>
      <c r="G366" s="58"/>
      <c r="H366" s="12" t="s">
        <v>63</v>
      </c>
      <c r="I366" s="6" t="str">
        <f t="shared" si="189"/>
        <v>야간</v>
      </c>
      <c r="J366" s="6" t="str">
        <f t="shared" si="192"/>
        <v/>
      </c>
      <c r="K366" s="6" t="str">
        <f>IF(J366="","",COUNT($J$3:J366))</f>
        <v/>
      </c>
      <c r="L366" s="6" t="str">
        <f t="shared" si="166"/>
        <v/>
      </c>
      <c r="M366" s="6" t="str">
        <f t="shared" si="167"/>
        <v/>
      </c>
      <c r="N366" s="6" t="str">
        <f t="shared" si="168"/>
        <v/>
      </c>
      <c r="O366" s="6" t="str">
        <f t="shared" si="169"/>
        <v/>
      </c>
      <c r="P366" s="32" t="str">
        <f t="shared" si="190"/>
        <v/>
      </c>
      <c r="Q366" s="13" t="str">
        <f t="shared" si="180"/>
        <v>-</v>
      </c>
      <c r="R366" s="13" t="str">
        <f t="shared" si="181"/>
        <v>-</v>
      </c>
      <c r="S366" s="13" t="str">
        <f t="shared" si="182"/>
        <v>-</v>
      </c>
      <c r="T366" s="13" t="str">
        <f t="shared" si="183"/>
        <v>-</v>
      </c>
      <c r="U366" s="31" t="str">
        <f t="shared" si="193"/>
        <v>-</v>
      </c>
      <c r="V366" s="6">
        <f t="shared" si="163"/>
        <v>1</v>
      </c>
      <c r="W366" s="6">
        <f>IF(V366="","",COUNT($V$3:V366))</f>
        <v>122</v>
      </c>
      <c r="X366" s="6">
        <f t="shared" si="170"/>
        <v>2</v>
      </c>
      <c r="Y366" s="6">
        <f t="shared" si="171"/>
        <v>3</v>
      </c>
      <c r="Z366" s="6">
        <f t="shared" si="172"/>
        <v>4</v>
      </c>
      <c r="AA366" s="6">
        <f t="shared" si="173"/>
        <v>1</v>
      </c>
      <c r="AB366" s="32">
        <f t="shared" si="191"/>
        <v>2</v>
      </c>
      <c r="AC366" s="13" t="str">
        <f t="shared" si="174"/>
        <v>박성현</v>
      </c>
      <c r="AD366" s="13" t="str">
        <f t="shared" si="175"/>
        <v>허지웅</v>
      </c>
      <c r="AE366" s="13" t="str">
        <f t="shared" si="176"/>
        <v>정윤준</v>
      </c>
      <c r="AF366" s="13" t="str">
        <f t="shared" si="177"/>
        <v>이기수</v>
      </c>
      <c r="AG366" s="31" t="str">
        <f t="shared" si="194"/>
        <v>장혁진</v>
      </c>
      <c r="AH366" s="2" t="str">
        <f t="shared" si="178"/>
        <v/>
      </c>
      <c r="AI366" s="2" t="str">
        <f>IF(AH366="","",COUNT($AH$3:AH366))</f>
        <v/>
      </c>
      <c r="AJ366" s="60" t="str">
        <f t="shared" si="179"/>
        <v/>
      </c>
    </row>
    <row r="367" spans="1:36" ht="16.5">
      <c r="A367" s="6">
        <v>365</v>
      </c>
      <c r="B367" s="9">
        <f t="shared" si="184"/>
        <v>46387</v>
      </c>
      <c r="C367" s="7">
        <f t="shared" si="185"/>
        <v>12</v>
      </c>
      <c r="D367" s="7">
        <f t="shared" si="186"/>
        <v>31</v>
      </c>
      <c r="E367" s="15">
        <f t="shared" si="187"/>
        <v>5</v>
      </c>
      <c r="F367" s="8" t="str">
        <f t="shared" si="188"/>
        <v/>
      </c>
      <c r="G367" s="58"/>
      <c r="H367" s="12" t="s">
        <v>64</v>
      </c>
      <c r="I367" s="6" t="str">
        <f t="shared" si="189"/>
        <v>비번</v>
      </c>
      <c r="J367" s="6" t="str">
        <f t="shared" si="192"/>
        <v/>
      </c>
      <c r="K367" s="6" t="str">
        <f>IF(J367="","",COUNT($J$3:J367))</f>
        <v/>
      </c>
      <c r="L367" s="6" t="str">
        <f t="shared" si="166"/>
        <v/>
      </c>
      <c r="M367" s="6" t="str">
        <f t="shared" si="167"/>
        <v/>
      </c>
      <c r="N367" s="6" t="str">
        <f t="shared" si="168"/>
        <v/>
      </c>
      <c r="O367" s="6" t="str">
        <f t="shared" si="169"/>
        <v/>
      </c>
      <c r="P367" s="32" t="str">
        <f t="shared" si="190"/>
        <v/>
      </c>
      <c r="Q367" s="13" t="str">
        <f t="shared" si="180"/>
        <v>-</v>
      </c>
      <c r="R367" s="13" t="str">
        <f t="shared" si="181"/>
        <v>-</v>
      </c>
      <c r="S367" s="13" t="str">
        <f t="shared" si="182"/>
        <v>-</v>
      </c>
      <c r="T367" s="13" t="str">
        <f t="shared" si="183"/>
        <v>-</v>
      </c>
      <c r="U367" s="31" t="str">
        <f t="shared" si="193"/>
        <v>-</v>
      </c>
      <c r="V367" s="6" t="str">
        <f t="shared" si="163"/>
        <v/>
      </c>
      <c r="W367" s="6" t="str">
        <f>IF(V367="","",COUNT($V$3:V367))</f>
        <v/>
      </c>
      <c r="X367" s="6" t="str">
        <f t="shared" si="170"/>
        <v/>
      </c>
      <c r="Y367" s="6" t="str">
        <f t="shared" si="171"/>
        <v/>
      </c>
      <c r="Z367" s="6" t="str">
        <f t="shared" si="172"/>
        <v/>
      </c>
      <c r="AA367" s="6" t="str">
        <f t="shared" si="173"/>
        <v/>
      </c>
      <c r="AB367" s="32" t="str">
        <f t="shared" si="191"/>
        <v/>
      </c>
      <c r="AC367" s="13" t="str">
        <f t="shared" si="174"/>
        <v>-</v>
      </c>
      <c r="AD367" s="13" t="str">
        <f t="shared" si="175"/>
        <v>-</v>
      </c>
      <c r="AE367" s="13" t="str">
        <f t="shared" si="176"/>
        <v>-</v>
      </c>
      <c r="AF367" s="13" t="str">
        <f t="shared" si="177"/>
        <v>-</v>
      </c>
      <c r="AG367" s="31" t="str">
        <f t="shared" si="194"/>
        <v>-</v>
      </c>
      <c r="AH367" s="2" t="str">
        <f t="shared" si="178"/>
        <v/>
      </c>
      <c r="AI367" s="2" t="str">
        <f>IF(AH367="","",COUNT($AH$3:AH367))</f>
        <v/>
      </c>
      <c r="AJ367" s="60" t="str">
        <f t="shared" si="179"/>
        <v/>
      </c>
    </row>
    <row r="368" spans="1:36" ht="16.5">
      <c r="A368" s="6">
        <v>366</v>
      </c>
      <c r="B368" s="9">
        <f t="shared" si="184"/>
        <v>46388</v>
      </c>
      <c r="C368" s="7">
        <f t="shared" si="185"/>
        <v>1</v>
      </c>
      <c r="D368" s="7">
        <f t="shared" si="186"/>
        <v>1</v>
      </c>
      <c r="E368" s="15">
        <f t="shared" si="187"/>
        <v>6</v>
      </c>
      <c r="F368" s="8" t="str">
        <f t="shared" si="188"/>
        <v/>
      </c>
      <c r="G368" s="59"/>
      <c r="H368" s="12" t="s">
        <v>65</v>
      </c>
      <c r="I368" s="6" t="str">
        <f t="shared" si="189"/>
        <v>주간</v>
      </c>
      <c r="J368" s="6">
        <f t="shared" si="192"/>
        <v>1</v>
      </c>
      <c r="K368" s="6">
        <f>IF(J368="","",COUNT($J$3:J368))</f>
        <v>83</v>
      </c>
      <c r="L368" s="6">
        <f t="shared" si="166"/>
        <v>1</v>
      </c>
      <c r="M368" s="6">
        <f t="shared" si="167"/>
        <v>2</v>
      </c>
      <c r="N368" s="6">
        <f t="shared" si="168"/>
        <v>3</v>
      </c>
      <c r="O368" s="6">
        <f t="shared" si="169"/>
        <v>4</v>
      </c>
      <c r="P368" s="32">
        <f t="shared" si="190"/>
        <v>3</v>
      </c>
      <c r="Q368" s="13" t="str">
        <f t="shared" si="180"/>
        <v>이기수</v>
      </c>
      <c r="R368" s="13" t="str">
        <f t="shared" si="181"/>
        <v>박성현</v>
      </c>
      <c r="S368" s="13" t="str">
        <f t="shared" si="182"/>
        <v>허지웅</v>
      </c>
      <c r="T368" s="13" t="str">
        <f t="shared" si="183"/>
        <v>정윤준</v>
      </c>
      <c r="U368" s="31" t="str">
        <f t="shared" si="193"/>
        <v>허지웅</v>
      </c>
      <c r="V368" s="6" t="str">
        <f t="shared" si="163"/>
        <v/>
      </c>
      <c r="W368" s="6" t="str">
        <f>IF(V368="","",COUNT($V$3:V368))</f>
        <v/>
      </c>
      <c r="X368" s="6" t="str">
        <f t="shared" si="170"/>
        <v/>
      </c>
      <c r="Y368" s="6" t="str">
        <f t="shared" si="171"/>
        <v/>
      </c>
      <c r="Z368" s="6" t="str">
        <f t="shared" si="172"/>
        <v/>
      </c>
      <c r="AA368" s="6" t="str">
        <f t="shared" si="173"/>
        <v/>
      </c>
      <c r="AB368" s="32" t="str">
        <f t="shared" si="191"/>
        <v/>
      </c>
      <c r="AC368" s="13" t="str">
        <f t="shared" si="174"/>
        <v>-</v>
      </c>
      <c r="AD368" s="13" t="str">
        <f t="shared" si="175"/>
        <v>-</v>
      </c>
      <c r="AE368" s="13" t="str">
        <f t="shared" si="176"/>
        <v>-</v>
      </c>
      <c r="AF368" s="13" t="str">
        <f t="shared" si="177"/>
        <v>-</v>
      </c>
      <c r="AG368" s="31" t="str">
        <f t="shared" si="194"/>
        <v>-</v>
      </c>
      <c r="AH368" s="2" t="str">
        <f t="shared" si="178"/>
        <v/>
      </c>
      <c r="AI368" s="2" t="str">
        <f>IF(AH368="","",COUNT($AH$3:AH368))</f>
        <v/>
      </c>
      <c r="AJ368" s="60" t="str">
        <f t="shared" si="179"/>
        <v/>
      </c>
    </row>
    <row r="369" spans="2:2">
      <c r="B369" s="9"/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D37"/>
  <sheetViews>
    <sheetView workbookViewId="0">
      <pane xSplit="1" topLeftCell="B1" activePane="topRight" state="frozen"/>
      <selection pane="topRight" activeCell="B1" sqref="B1"/>
      <selection activeCell="B8" sqref="B8"/>
    </sheetView>
  </sheetViews>
  <sheetFormatPr defaultColWidth="8.75" defaultRowHeight="17.45"/>
  <cols>
    <col min="1" max="1" width="15.625" style="2" customWidth="1"/>
    <col min="2" max="151" width="8.75" style="2" customWidth="1"/>
    <col min="152" max="284" width="8.75" style="2" bestFit="1" customWidth="1"/>
    <col min="285" max="306" width="9.625" style="2" bestFit="1" customWidth="1"/>
    <col min="307" max="315" width="8.75" style="2" bestFit="1" customWidth="1"/>
    <col min="316" max="336" width="9.625" style="2" bestFit="1" customWidth="1"/>
    <col min="337" max="345" width="8.75" style="2" bestFit="1" customWidth="1"/>
    <col min="346" max="367" width="9.625" style="2" bestFit="1" customWidth="1"/>
    <col min="368" max="368" width="8.75" style="2" bestFit="1" customWidth="1"/>
    <col min="369" max="16384" width="8.75" style="2"/>
  </cols>
  <sheetData>
    <row r="1" spans="1:368" s="26" customFormat="1">
      <c r="A1" s="16" t="str">
        <f t="array" ref="A1:ND33">TRANSPOSE('cal1'!B2:AG368)</f>
        <v>날   짜</v>
      </c>
      <c r="B1" s="26">
        <v>46023</v>
      </c>
      <c r="C1" s="26">
        <v>46024</v>
      </c>
      <c r="D1" s="26">
        <v>46025</v>
      </c>
      <c r="E1" s="26">
        <v>46026</v>
      </c>
      <c r="F1" s="26">
        <v>46027</v>
      </c>
      <c r="G1" s="26">
        <v>46028</v>
      </c>
      <c r="H1" s="26">
        <v>46029</v>
      </c>
      <c r="I1" s="26">
        <v>46030</v>
      </c>
      <c r="J1" s="26">
        <v>46031</v>
      </c>
      <c r="K1" s="26">
        <v>46032</v>
      </c>
      <c r="L1" s="26">
        <v>46033</v>
      </c>
      <c r="M1" s="26">
        <v>46034</v>
      </c>
      <c r="N1" s="26">
        <v>46035</v>
      </c>
      <c r="O1" s="26">
        <v>46036</v>
      </c>
      <c r="P1" s="26">
        <v>46037</v>
      </c>
      <c r="Q1" s="26">
        <v>46038</v>
      </c>
      <c r="R1" s="26">
        <v>46039</v>
      </c>
      <c r="S1" s="26">
        <v>46040</v>
      </c>
      <c r="T1" s="26">
        <v>46041</v>
      </c>
      <c r="U1" s="26">
        <v>46042</v>
      </c>
      <c r="V1" s="26">
        <v>46043</v>
      </c>
      <c r="W1" s="26">
        <v>46044</v>
      </c>
      <c r="X1" s="26">
        <v>46045</v>
      </c>
      <c r="Y1" s="26">
        <v>46046</v>
      </c>
      <c r="Z1" s="26">
        <v>46047</v>
      </c>
      <c r="AA1" s="26">
        <v>46048</v>
      </c>
      <c r="AB1" s="26">
        <v>46049</v>
      </c>
      <c r="AC1" s="26">
        <v>46050</v>
      </c>
      <c r="AD1" s="26">
        <v>46051</v>
      </c>
      <c r="AE1" s="26">
        <v>46052</v>
      </c>
      <c r="AF1" s="26">
        <v>46053</v>
      </c>
      <c r="AG1" s="26">
        <v>46054</v>
      </c>
      <c r="AH1" s="26">
        <v>46055</v>
      </c>
      <c r="AI1" s="26">
        <v>46056</v>
      </c>
      <c r="AJ1" s="26">
        <v>46057</v>
      </c>
      <c r="AK1" s="26">
        <v>46058</v>
      </c>
      <c r="AL1" s="26">
        <v>46059</v>
      </c>
      <c r="AM1" s="26">
        <v>46060</v>
      </c>
      <c r="AN1" s="26">
        <v>46061</v>
      </c>
      <c r="AO1" s="26">
        <v>46062</v>
      </c>
      <c r="AP1" s="26">
        <v>46063</v>
      </c>
      <c r="AQ1" s="26">
        <v>46064</v>
      </c>
      <c r="AR1" s="26">
        <v>46065</v>
      </c>
      <c r="AS1" s="26">
        <v>46066</v>
      </c>
      <c r="AT1" s="26">
        <v>46067</v>
      </c>
      <c r="AU1" s="26">
        <v>46068</v>
      </c>
      <c r="AV1" s="26">
        <v>46069</v>
      </c>
      <c r="AW1" s="26">
        <v>46070</v>
      </c>
      <c r="AX1" s="26">
        <v>46071</v>
      </c>
      <c r="AY1" s="26">
        <v>46072</v>
      </c>
      <c r="AZ1" s="26">
        <v>46073</v>
      </c>
      <c r="BA1" s="26">
        <v>46074</v>
      </c>
      <c r="BB1" s="26">
        <v>46075</v>
      </c>
      <c r="BC1" s="26">
        <v>46076</v>
      </c>
      <c r="BD1" s="26">
        <v>46077</v>
      </c>
      <c r="BE1" s="26">
        <v>46078</v>
      </c>
      <c r="BF1" s="26">
        <v>46079</v>
      </c>
      <c r="BG1" s="26">
        <v>46080</v>
      </c>
      <c r="BH1" s="26">
        <v>46081</v>
      </c>
      <c r="BI1" s="26">
        <v>46082</v>
      </c>
      <c r="BJ1" s="26">
        <v>46083</v>
      </c>
      <c r="BK1" s="26">
        <v>46084</v>
      </c>
      <c r="BL1" s="26">
        <v>46085</v>
      </c>
      <c r="BM1" s="26">
        <v>46086</v>
      </c>
      <c r="BN1" s="26">
        <v>46087</v>
      </c>
      <c r="BO1" s="26">
        <v>46088</v>
      </c>
      <c r="BP1" s="26">
        <v>46089</v>
      </c>
      <c r="BQ1" s="26">
        <v>46090</v>
      </c>
      <c r="BR1" s="26">
        <v>46091</v>
      </c>
      <c r="BS1" s="26">
        <v>46092</v>
      </c>
      <c r="BT1" s="26">
        <v>46093</v>
      </c>
      <c r="BU1" s="26">
        <v>46094</v>
      </c>
      <c r="BV1" s="26">
        <v>46095</v>
      </c>
      <c r="BW1" s="26">
        <v>46096</v>
      </c>
      <c r="BX1" s="26">
        <v>46097</v>
      </c>
      <c r="BY1" s="26">
        <v>46098</v>
      </c>
      <c r="BZ1" s="26">
        <v>46099</v>
      </c>
      <c r="CA1" s="26">
        <v>46100</v>
      </c>
      <c r="CB1" s="26">
        <v>46101</v>
      </c>
      <c r="CC1" s="26">
        <v>46102</v>
      </c>
      <c r="CD1" s="26">
        <v>46103</v>
      </c>
      <c r="CE1" s="26">
        <v>46104</v>
      </c>
      <c r="CF1" s="26">
        <v>46105</v>
      </c>
      <c r="CG1" s="26">
        <v>46106</v>
      </c>
      <c r="CH1" s="26">
        <v>46107</v>
      </c>
      <c r="CI1" s="26">
        <v>46108</v>
      </c>
      <c r="CJ1" s="26">
        <v>46109</v>
      </c>
      <c r="CK1" s="26">
        <v>46110</v>
      </c>
      <c r="CL1" s="26">
        <v>46111</v>
      </c>
      <c r="CM1" s="26">
        <v>46112</v>
      </c>
      <c r="CN1" s="26">
        <v>46113</v>
      </c>
      <c r="CO1" s="26">
        <v>46114</v>
      </c>
      <c r="CP1" s="26">
        <v>46115</v>
      </c>
      <c r="CQ1" s="26">
        <v>46116</v>
      </c>
      <c r="CR1" s="26">
        <v>46117</v>
      </c>
      <c r="CS1" s="26">
        <v>46118</v>
      </c>
      <c r="CT1" s="26">
        <v>46119</v>
      </c>
      <c r="CU1" s="26">
        <v>46120</v>
      </c>
      <c r="CV1" s="26">
        <v>46121</v>
      </c>
      <c r="CW1" s="26">
        <v>46122</v>
      </c>
      <c r="CX1" s="26">
        <v>46123</v>
      </c>
      <c r="CY1" s="26">
        <v>46124</v>
      </c>
      <c r="CZ1" s="26">
        <v>46125</v>
      </c>
      <c r="DA1" s="26">
        <v>46126</v>
      </c>
      <c r="DB1" s="26">
        <v>46127</v>
      </c>
      <c r="DC1" s="26">
        <v>46128</v>
      </c>
      <c r="DD1" s="26">
        <v>46129</v>
      </c>
      <c r="DE1" s="26">
        <v>46130</v>
      </c>
      <c r="DF1" s="26">
        <v>46131</v>
      </c>
      <c r="DG1" s="26">
        <v>46132</v>
      </c>
      <c r="DH1" s="26">
        <v>46133</v>
      </c>
      <c r="DI1" s="26">
        <v>46134</v>
      </c>
      <c r="DJ1" s="26">
        <v>46135</v>
      </c>
      <c r="DK1" s="26">
        <v>46136</v>
      </c>
      <c r="DL1" s="26">
        <v>46137</v>
      </c>
      <c r="DM1" s="26">
        <v>46138</v>
      </c>
      <c r="DN1" s="26">
        <v>46139</v>
      </c>
      <c r="DO1" s="26">
        <v>46140</v>
      </c>
      <c r="DP1" s="26">
        <v>46141</v>
      </c>
      <c r="DQ1" s="26">
        <v>46142</v>
      </c>
      <c r="DR1" s="26">
        <v>46143</v>
      </c>
      <c r="DS1" s="26">
        <v>46144</v>
      </c>
      <c r="DT1" s="26">
        <v>46145</v>
      </c>
      <c r="DU1" s="26">
        <v>46146</v>
      </c>
      <c r="DV1" s="26">
        <v>46147</v>
      </c>
      <c r="DW1" s="26">
        <v>46148</v>
      </c>
      <c r="DX1" s="26">
        <v>46149</v>
      </c>
      <c r="DY1" s="26">
        <v>46150</v>
      </c>
      <c r="DZ1" s="26">
        <v>46151</v>
      </c>
      <c r="EA1" s="26">
        <v>46152</v>
      </c>
      <c r="EB1" s="26">
        <v>46153</v>
      </c>
      <c r="EC1" s="26">
        <v>46154</v>
      </c>
      <c r="ED1" s="26">
        <v>46155</v>
      </c>
      <c r="EE1" s="26">
        <v>46156</v>
      </c>
      <c r="EF1" s="26">
        <v>46157</v>
      </c>
      <c r="EG1" s="26">
        <v>46158</v>
      </c>
      <c r="EH1" s="26">
        <v>46159</v>
      </c>
      <c r="EI1" s="26">
        <v>46160</v>
      </c>
      <c r="EJ1" s="26">
        <v>46161</v>
      </c>
      <c r="EK1" s="26">
        <v>46162</v>
      </c>
      <c r="EL1" s="26">
        <v>46163</v>
      </c>
      <c r="EM1" s="26">
        <v>46164</v>
      </c>
      <c r="EN1" s="26">
        <v>46165</v>
      </c>
      <c r="EO1" s="26">
        <v>46166</v>
      </c>
      <c r="EP1" s="26">
        <v>46167</v>
      </c>
      <c r="EQ1" s="26">
        <v>46168</v>
      </c>
      <c r="ER1" s="26">
        <v>46169</v>
      </c>
      <c r="ES1" s="26">
        <v>46170</v>
      </c>
      <c r="ET1" s="26">
        <v>46171</v>
      </c>
      <c r="EU1" s="26">
        <v>46172</v>
      </c>
      <c r="EV1" s="26">
        <v>46173</v>
      </c>
      <c r="EW1" s="26">
        <v>46174</v>
      </c>
      <c r="EX1" s="26">
        <v>46175</v>
      </c>
      <c r="EY1" s="26">
        <v>46176</v>
      </c>
      <c r="EZ1" s="26">
        <v>46177</v>
      </c>
      <c r="FA1" s="26">
        <v>46178</v>
      </c>
      <c r="FB1" s="26">
        <v>46179</v>
      </c>
      <c r="FC1" s="26">
        <v>46180</v>
      </c>
      <c r="FD1" s="26">
        <v>46181</v>
      </c>
      <c r="FE1" s="26">
        <v>46182</v>
      </c>
      <c r="FF1" s="26">
        <v>46183</v>
      </c>
      <c r="FG1" s="26">
        <v>46184</v>
      </c>
      <c r="FH1" s="26">
        <v>46185</v>
      </c>
      <c r="FI1" s="26">
        <v>46186</v>
      </c>
      <c r="FJ1" s="26">
        <v>46187</v>
      </c>
      <c r="FK1" s="26">
        <v>46188</v>
      </c>
      <c r="FL1" s="26">
        <v>46189</v>
      </c>
      <c r="FM1" s="26">
        <v>46190</v>
      </c>
      <c r="FN1" s="26">
        <v>46191</v>
      </c>
      <c r="FO1" s="26">
        <v>46192</v>
      </c>
      <c r="FP1" s="26">
        <v>46193</v>
      </c>
      <c r="FQ1" s="26">
        <v>46194</v>
      </c>
      <c r="FR1" s="26">
        <v>46195</v>
      </c>
      <c r="FS1" s="26">
        <v>46196</v>
      </c>
      <c r="FT1" s="26">
        <v>46197</v>
      </c>
      <c r="FU1" s="26">
        <v>46198</v>
      </c>
      <c r="FV1" s="26">
        <v>46199</v>
      </c>
      <c r="FW1" s="26">
        <v>46200</v>
      </c>
      <c r="FX1" s="26">
        <v>46201</v>
      </c>
      <c r="FY1" s="26">
        <v>46202</v>
      </c>
      <c r="FZ1" s="26">
        <v>46203</v>
      </c>
      <c r="GA1" s="26">
        <v>46204</v>
      </c>
      <c r="GB1" s="26">
        <v>46205</v>
      </c>
      <c r="GC1" s="26">
        <v>46206</v>
      </c>
      <c r="GD1" s="26">
        <v>46207</v>
      </c>
      <c r="GE1" s="26">
        <v>46208</v>
      </c>
      <c r="GF1" s="26">
        <v>46209</v>
      </c>
      <c r="GG1" s="26">
        <v>46210</v>
      </c>
      <c r="GH1" s="26">
        <v>46211</v>
      </c>
      <c r="GI1" s="26">
        <v>46212</v>
      </c>
      <c r="GJ1" s="26">
        <v>46213</v>
      </c>
      <c r="GK1" s="26">
        <v>46214</v>
      </c>
      <c r="GL1" s="26">
        <v>46215</v>
      </c>
      <c r="GM1" s="26">
        <v>46216</v>
      </c>
      <c r="GN1" s="26">
        <v>46217</v>
      </c>
      <c r="GO1" s="26">
        <v>46218</v>
      </c>
      <c r="GP1" s="26">
        <v>46219</v>
      </c>
      <c r="GQ1" s="26">
        <v>46220</v>
      </c>
      <c r="GR1" s="26">
        <v>46221</v>
      </c>
      <c r="GS1" s="26">
        <v>46222</v>
      </c>
      <c r="GT1" s="26">
        <v>46223</v>
      </c>
      <c r="GU1" s="26">
        <v>46224</v>
      </c>
      <c r="GV1" s="26">
        <v>46225</v>
      </c>
      <c r="GW1" s="26">
        <v>46226</v>
      </c>
      <c r="GX1" s="26">
        <v>46227</v>
      </c>
      <c r="GY1" s="26">
        <v>46228</v>
      </c>
      <c r="GZ1" s="26">
        <v>46229</v>
      </c>
      <c r="HA1" s="26">
        <v>46230</v>
      </c>
      <c r="HB1" s="26">
        <v>46231</v>
      </c>
      <c r="HC1" s="26">
        <v>46232</v>
      </c>
      <c r="HD1" s="26">
        <v>46233</v>
      </c>
      <c r="HE1" s="26">
        <v>46234</v>
      </c>
      <c r="HF1" s="26">
        <v>46235</v>
      </c>
      <c r="HG1" s="26">
        <v>46236</v>
      </c>
      <c r="HH1" s="26">
        <v>46237</v>
      </c>
      <c r="HI1" s="26">
        <v>46238</v>
      </c>
      <c r="HJ1" s="26">
        <v>46239</v>
      </c>
      <c r="HK1" s="26">
        <v>46240</v>
      </c>
      <c r="HL1" s="26">
        <v>46241</v>
      </c>
      <c r="HM1" s="26">
        <v>46242</v>
      </c>
      <c r="HN1" s="26">
        <v>46243</v>
      </c>
      <c r="HO1" s="26">
        <v>46244</v>
      </c>
      <c r="HP1" s="26">
        <v>46245</v>
      </c>
      <c r="HQ1" s="26">
        <v>46246</v>
      </c>
      <c r="HR1" s="26">
        <v>46247</v>
      </c>
      <c r="HS1" s="26">
        <v>46248</v>
      </c>
      <c r="HT1" s="26">
        <v>46249</v>
      </c>
      <c r="HU1" s="26">
        <v>46250</v>
      </c>
      <c r="HV1" s="26">
        <v>46251</v>
      </c>
      <c r="HW1" s="26">
        <v>46252</v>
      </c>
      <c r="HX1" s="26">
        <v>46253</v>
      </c>
      <c r="HY1" s="26">
        <v>46254</v>
      </c>
      <c r="HZ1" s="26">
        <v>46255</v>
      </c>
      <c r="IA1" s="26">
        <v>46256</v>
      </c>
      <c r="IB1" s="26">
        <v>46257</v>
      </c>
      <c r="IC1" s="26">
        <v>46258</v>
      </c>
      <c r="ID1" s="26">
        <v>46259</v>
      </c>
      <c r="IE1" s="26">
        <v>46260</v>
      </c>
      <c r="IF1" s="26">
        <v>46261</v>
      </c>
      <c r="IG1" s="26">
        <v>46262</v>
      </c>
      <c r="IH1" s="26">
        <v>46263</v>
      </c>
      <c r="II1" s="26">
        <v>46264</v>
      </c>
      <c r="IJ1" s="26">
        <v>46265</v>
      </c>
      <c r="IK1" s="26">
        <v>46266</v>
      </c>
      <c r="IL1" s="26">
        <v>46267</v>
      </c>
      <c r="IM1" s="26">
        <v>46268</v>
      </c>
      <c r="IN1" s="26">
        <v>46269</v>
      </c>
      <c r="IO1" s="26">
        <v>46270</v>
      </c>
      <c r="IP1" s="26">
        <v>46271</v>
      </c>
      <c r="IQ1" s="26">
        <v>46272</v>
      </c>
      <c r="IR1" s="26">
        <v>46273</v>
      </c>
      <c r="IS1" s="26">
        <v>46274</v>
      </c>
      <c r="IT1" s="26">
        <v>46275</v>
      </c>
      <c r="IU1" s="26">
        <v>46276</v>
      </c>
      <c r="IV1" s="26">
        <v>46277</v>
      </c>
      <c r="IW1" s="26">
        <v>46278</v>
      </c>
      <c r="IX1" s="26">
        <v>46279</v>
      </c>
      <c r="IY1" s="26">
        <v>46280</v>
      </c>
      <c r="IZ1" s="26">
        <v>46281</v>
      </c>
      <c r="JA1" s="26">
        <v>46282</v>
      </c>
      <c r="JB1" s="26">
        <v>46283</v>
      </c>
      <c r="JC1" s="26">
        <v>46284</v>
      </c>
      <c r="JD1" s="26">
        <v>46285</v>
      </c>
      <c r="JE1" s="26">
        <v>46286</v>
      </c>
      <c r="JF1" s="26">
        <v>46287</v>
      </c>
      <c r="JG1" s="26">
        <v>46288</v>
      </c>
      <c r="JH1" s="26">
        <v>46289</v>
      </c>
      <c r="JI1" s="26">
        <v>46290</v>
      </c>
      <c r="JJ1" s="26">
        <v>46291</v>
      </c>
      <c r="JK1" s="26">
        <v>46292</v>
      </c>
      <c r="JL1" s="26">
        <v>46293</v>
      </c>
      <c r="JM1" s="26">
        <v>46294</v>
      </c>
      <c r="JN1" s="26">
        <v>46295</v>
      </c>
      <c r="JO1" s="26">
        <v>46296</v>
      </c>
      <c r="JP1" s="26">
        <v>46297</v>
      </c>
      <c r="JQ1" s="26">
        <v>46298</v>
      </c>
      <c r="JR1" s="26">
        <v>46299</v>
      </c>
      <c r="JS1" s="26">
        <v>46300</v>
      </c>
      <c r="JT1" s="26">
        <v>46301</v>
      </c>
      <c r="JU1" s="26">
        <v>46302</v>
      </c>
      <c r="JV1" s="26">
        <v>46303</v>
      </c>
      <c r="JW1" s="26">
        <v>46304</v>
      </c>
      <c r="JX1" s="26">
        <v>46305</v>
      </c>
      <c r="JY1" s="26">
        <v>46306</v>
      </c>
      <c r="JZ1" s="26">
        <v>46307</v>
      </c>
      <c r="KA1" s="26">
        <v>46308</v>
      </c>
      <c r="KB1" s="26">
        <v>46309</v>
      </c>
      <c r="KC1" s="26">
        <v>46310</v>
      </c>
      <c r="KD1" s="26">
        <v>46311</v>
      </c>
      <c r="KE1" s="26">
        <v>46312</v>
      </c>
      <c r="KF1" s="26">
        <v>46313</v>
      </c>
      <c r="KG1" s="26">
        <v>46314</v>
      </c>
      <c r="KH1" s="26">
        <v>46315</v>
      </c>
      <c r="KI1" s="26">
        <v>46316</v>
      </c>
      <c r="KJ1" s="26">
        <v>46317</v>
      </c>
      <c r="KK1" s="26">
        <v>46318</v>
      </c>
      <c r="KL1" s="26">
        <v>46319</v>
      </c>
      <c r="KM1" s="26">
        <v>46320</v>
      </c>
      <c r="KN1" s="26">
        <v>46321</v>
      </c>
      <c r="KO1" s="26">
        <v>46322</v>
      </c>
      <c r="KP1" s="26">
        <v>46323</v>
      </c>
      <c r="KQ1" s="26">
        <v>46324</v>
      </c>
      <c r="KR1" s="26">
        <v>46325</v>
      </c>
      <c r="KS1" s="26">
        <v>46326</v>
      </c>
      <c r="KT1" s="26">
        <v>46327</v>
      </c>
      <c r="KU1" s="26">
        <v>46328</v>
      </c>
      <c r="KV1" s="26">
        <v>46329</v>
      </c>
      <c r="KW1" s="26">
        <v>46330</v>
      </c>
      <c r="KX1" s="26">
        <v>46331</v>
      </c>
      <c r="KY1" s="26">
        <v>46332</v>
      </c>
      <c r="KZ1" s="26">
        <v>46333</v>
      </c>
      <c r="LA1" s="26">
        <v>46334</v>
      </c>
      <c r="LB1" s="26">
        <v>46335</v>
      </c>
      <c r="LC1" s="26">
        <v>46336</v>
      </c>
      <c r="LD1" s="26">
        <v>46337</v>
      </c>
      <c r="LE1" s="26">
        <v>46338</v>
      </c>
      <c r="LF1" s="26">
        <v>46339</v>
      </c>
      <c r="LG1" s="26">
        <v>46340</v>
      </c>
      <c r="LH1" s="26">
        <v>46341</v>
      </c>
      <c r="LI1" s="26">
        <v>46342</v>
      </c>
      <c r="LJ1" s="26">
        <v>46343</v>
      </c>
      <c r="LK1" s="26">
        <v>46344</v>
      </c>
      <c r="LL1" s="26">
        <v>46345</v>
      </c>
      <c r="LM1" s="26">
        <v>46346</v>
      </c>
      <c r="LN1" s="26">
        <v>46347</v>
      </c>
      <c r="LO1" s="26">
        <v>46348</v>
      </c>
      <c r="LP1" s="26">
        <v>46349</v>
      </c>
      <c r="LQ1" s="26">
        <v>46350</v>
      </c>
      <c r="LR1" s="26">
        <v>46351</v>
      </c>
      <c r="LS1" s="26">
        <v>46352</v>
      </c>
      <c r="LT1" s="26">
        <v>46353</v>
      </c>
      <c r="LU1" s="26">
        <v>46354</v>
      </c>
      <c r="LV1" s="26">
        <v>46355</v>
      </c>
      <c r="LW1" s="26">
        <v>46356</v>
      </c>
      <c r="LX1" s="26">
        <v>46357</v>
      </c>
      <c r="LY1" s="26">
        <v>46358</v>
      </c>
      <c r="LZ1" s="26">
        <v>46359</v>
      </c>
      <c r="MA1" s="26">
        <v>46360</v>
      </c>
      <c r="MB1" s="26">
        <v>46361</v>
      </c>
      <c r="MC1" s="26">
        <v>46362</v>
      </c>
      <c r="MD1" s="26">
        <v>46363</v>
      </c>
      <c r="ME1" s="26">
        <v>46364</v>
      </c>
      <c r="MF1" s="26">
        <v>46365</v>
      </c>
      <c r="MG1" s="26">
        <v>46366</v>
      </c>
      <c r="MH1" s="26">
        <v>46367</v>
      </c>
      <c r="MI1" s="26">
        <v>46368</v>
      </c>
      <c r="MJ1" s="26">
        <v>46369</v>
      </c>
      <c r="MK1" s="26">
        <v>46370</v>
      </c>
      <c r="ML1" s="26">
        <v>46371</v>
      </c>
      <c r="MM1" s="26">
        <v>46372</v>
      </c>
      <c r="MN1" s="26">
        <v>46373</v>
      </c>
      <c r="MO1" s="26">
        <v>46374</v>
      </c>
      <c r="MP1" s="26">
        <v>46375</v>
      </c>
      <c r="MQ1" s="26">
        <v>46376</v>
      </c>
      <c r="MR1" s="26">
        <v>46377</v>
      </c>
      <c r="MS1" s="26">
        <v>46378</v>
      </c>
      <c r="MT1" s="26">
        <v>46379</v>
      </c>
      <c r="MU1" s="26">
        <v>46380</v>
      </c>
      <c r="MV1" s="26">
        <v>46381</v>
      </c>
      <c r="MW1" s="26">
        <v>46382</v>
      </c>
      <c r="MX1" s="26">
        <v>46383</v>
      </c>
      <c r="MY1" s="26">
        <v>46384</v>
      </c>
      <c r="MZ1" s="26">
        <v>46385</v>
      </c>
      <c r="NA1" s="26">
        <v>46386</v>
      </c>
      <c r="NB1" s="26">
        <v>46387</v>
      </c>
      <c r="NC1" s="26">
        <v>46388</v>
      </c>
      <c r="ND1" s="26" t="e">
        <v>#N/A</v>
      </c>
    </row>
    <row r="2" spans="1:368" s="25" customFormat="1" hidden="1">
      <c r="A2" s="17" t="str">
        <v>MON
TH</v>
      </c>
      <c r="B2" s="25">
        <v>1</v>
      </c>
      <c r="C2" s="25">
        <v>1</v>
      </c>
      <c r="D2" s="25">
        <v>1</v>
      </c>
      <c r="E2" s="25">
        <v>1</v>
      </c>
      <c r="F2" s="25">
        <v>1</v>
      </c>
      <c r="G2" s="25">
        <v>1</v>
      </c>
      <c r="H2" s="25">
        <v>1</v>
      </c>
      <c r="I2" s="25">
        <v>1</v>
      </c>
      <c r="J2" s="25">
        <v>1</v>
      </c>
      <c r="K2" s="25">
        <v>1</v>
      </c>
      <c r="L2" s="25">
        <v>1</v>
      </c>
      <c r="M2" s="25">
        <v>1</v>
      </c>
      <c r="N2" s="25">
        <v>1</v>
      </c>
      <c r="O2" s="25">
        <v>1</v>
      </c>
      <c r="P2" s="25">
        <v>1</v>
      </c>
      <c r="Q2" s="25">
        <v>1</v>
      </c>
      <c r="R2" s="25">
        <v>1</v>
      </c>
      <c r="S2" s="25">
        <v>1</v>
      </c>
      <c r="T2" s="25">
        <v>1</v>
      </c>
      <c r="U2" s="25">
        <v>1</v>
      </c>
      <c r="V2" s="25">
        <v>1</v>
      </c>
      <c r="W2" s="25">
        <v>1</v>
      </c>
      <c r="X2" s="25">
        <v>1</v>
      </c>
      <c r="Y2" s="25">
        <v>1</v>
      </c>
      <c r="Z2" s="25">
        <v>1</v>
      </c>
      <c r="AA2" s="25">
        <v>1</v>
      </c>
      <c r="AB2" s="25">
        <v>1</v>
      </c>
      <c r="AC2" s="25">
        <v>1</v>
      </c>
      <c r="AD2" s="25">
        <v>1</v>
      </c>
      <c r="AE2" s="25">
        <v>1</v>
      </c>
      <c r="AF2" s="25">
        <v>1</v>
      </c>
      <c r="AG2" s="25">
        <v>2</v>
      </c>
      <c r="AH2" s="25">
        <v>2</v>
      </c>
      <c r="AI2" s="25">
        <v>2</v>
      </c>
      <c r="AJ2" s="25">
        <v>2</v>
      </c>
      <c r="AK2" s="25">
        <v>2</v>
      </c>
      <c r="AL2" s="25">
        <v>2</v>
      </c>
      <c r="AM2" s="25">
        <v>2</v>
      </c>
      <c r="AN2" s="25">
        <v>2</v>
      </c>
      <c r="AO2" s="25">
        <v>2</v>
      </c>
      <c r="AP2" s="25">
        <v>2</v>
      </c>
      <c r="AQ2" s="25">
        <v>2</v>
      </c>
      <c r="AR2" s="25">
        <v>2</v>
      </c>
      <c r="AS2" s="25">
        <v>2</v>
      </c>
      <c r="AT2" s="25">
        <v>2</v>
      </c>
      <c r="AU2" s="25">
        <v>2</v>
      </c>
      <c r="AV2" s="25">
        <v>2</v>
      </c>
      <c r="AW2" s="25">
        <v>2</v>
      </c>
      <c r="AX2" s="25">
        <v>2</v>
      </c>
      <c r="AY2" s="25">
        <v>2</v>
      </c>
      <c r="AZ2" s="25">
        <v>2</v>
      </c>
      <c r="BA2" s="25">
        <v>2</v>
      </c>
      <c r="BB2" s="25">
        <v>2</v>
      </c>
      <c r="BC2" s="25">
        <v>2</v>
      </c>
      <c r="BD2" s="25">
        <v>2</v>
      </c>
      <c r="BE2" s="25">
        <v>2</v>
      </c>
      <c r="BF2" s="25">
        <v>2</v>
      </c>
      <c r="BG2" s="25">
        <v>2</v>
      </c>
      <c r="BH2" s="25">
        <v>2</v>
      </c>
      <c r="BI2" s="25">
        <v>3</v>
      </c>
      <c r="BJ2" s="25">
        <v>3</v>
      </c>
      <c r="BK2" s="25">
        <v>3</v>
      </c>
      <c r="BL2" s="25">
        <v>3</v>
      </c>
      <c r="BM2" s="25">
        <v>3</v>
      </c>
      <c r="BN2" s="25">
        <v>3</v>
      </c>
      <c r="BO2" s="25">
        <v>3</v>
      </c>
      <c r="BP2" s="25">
        <v>3</v>
      </c>
      <c r="BQ2" s="25">
        <v>3</v>
      </c>
      <c r="BR2" s="25">
        <v>3</v>
      </c>
      <c r="BS2" s="25">
        <v>3</v>
      </c>
      <c r="BT2" s="25">
        <v>3</v>
      </c>
      <c r="BU2" s="25">
        <v>3</v>
      </c>
      <c r="BV2" s="25">
        <v>3</v>
      </c>
      <c r="BW2" s="25">
        <v>3</v>
      </c>
      <c r="BX2" s="25">
        <v>3</v>
      </c>
      <c r="BY2" s="25">
        <v>3</v>
      </c>
      <c r="BZ2" s="25">
        <v>3</v>
      </c>
      <c r="CA2" s="25">
        <v>3</v>
      </c>
      <c r="CB2" s="25">
        <v>3</v>
      </c>
      <c r="CC2" s="25">
        <v>3</v>
      </c>
      <c r="CD2" s="25">
        <v>3</v>
      </c>
      <c r="CE2" s="25">
        <v>3</v>
      </c>
      <c r="CF2" s="25">
        <v>3</v>
      </c>
      <c r="CG2" s="25">
        <v>3</v>
      </c>
      <c r="CH2" s="25">
        <v>3</v>
      </c>
      <c r="CI2" s="25">
        <v>3</v>
      </c>
      <c r="CJ2" s="25">
        <v>3</v>
      </c>
      <c r="CK2" s="25">
        <v>3</v>
      </c>
      <c r="CL2" s="25">
        <v>3</v>
      </c>
      <c r="CM2" s="25">
        <v>3</v>
      </c>
      <c r="CN2" s="25">
        <v>4</v>
      </c>
      <c r="CO2" s="25">
        <v>4</v>
      </c>
      <c r="CP2" s="25">
        <v>4</v>
      </c>
      <c r="CQ2" s="25">
        <v>4</v>
      </c>
      <c r="CR2" s="25">
        <v>4</v>
      </c>
      <c r="CS2" s="25">
        <v>4</v>
      </c>
      <c r="CT2" s="25">
        <v>4</v>
      </c>
      <c r="CU2" s="25">
        <v>4</v>
      </c>
      <c r="CV2" s="25">
        <v>4</v>
      </c>
      <c r="CW2" s="25">
        <v>4</v>
      </c>
      <c r="CX2" s="25">
        <v>4</v>
      </c>
      <c r="CY2" s="25">
        <v>4</v>
      </c>
      <c r="CZ2" s="25">
        <v>4</v>
      </c>
      <c r="DA2" s="25">
        <v>4</v>
      </c>
      <c r="DB2" s="25">
        <v>4</v>
      </c>
      <c r="DC2" s="25">
        <v>4</v>
      </c>
      <c r="DD2" s="25">
        <v>4</v>
      </c>
      <c r="DE2" s="25">
        <v>4</v>
      </c>
      <c r="DF2" s="25">
        <v>4</v>
      </c>
      <c r="DG2" s="25">
        <v>4</v>
      </c>
      <c r="DH2" s="25">
        <v>4</v>
      </c>
      <c r="DI2" s="25">
        <v>4</v>
      </c>
      <c r="DJ2" s="25">
        <v>4</v>
      </c>
      <c r="DK2" s="25">
        <v>4</v>
      </c>
      <c r="DL2" s="25">
        <v>4</v>
      </c>
      <c r="DM2" s="25">
        <v>4</v>
      </c>
      <c r="DN2" s="25">
        <v>4</v>
      </c>
      <c r="DO2" s="25">
        <v>4</v>
      </c>
      <c r="DP2" s="25">
        <v>4</v>
      </c>
      <c r="DQ2" s="25">
        <v>4</v>
      </c>
      <c r="DR2" s="25">
        <v>5</v>
      </c>
      <c r="DS2" s="25">
        <v>5</v>
      </c>
      <c r="DT2" s="25">
        <v>5</v>
      </c>
      <c r="DU2" s="25">
        <v>5</v>
      </c>
      <c r="DV2" s="25">
        <v>5</v>
      </c>
      <c r="DW2" s="25">
        <v>5</v>
      </c>
      <c r="DX2" s="25">
        <v>5</v>
      </c>
      <c r="DY2" s="25">
        <v>5</v>
      </c>
      <c r="DZ2" s="25">
        <v>5</v>
      </c>
      <c r="EA2" s="25">
        <v>5</v>
      </c>
      <c r="EB2" s="25">
        <v>5</v>
      </c>
      <c r="EC2" s="25">
        <v>5</v>
      </c>
      <c r="ED2" s="25">
        <v>5</v>
      </c>
      <c r="EE2" s="25">
        <v>5</v>
      </c>
      <c r="EF2" s="25">
        <v>5</v>
      </c>
      <c r="EG2" s="25">
        <v>5</v>
      </c>
      <c r="EH2" s="25">
        <v>5</v>
      </c>
      <c r="EI2" s="25">
        <v>5</v>
      </c>
      <c r="EJ2" s="25">
        <v>5</v>
      </c>
      <c r="EK2" s="25">
        <v>5</v>
      </c>
      <c r="EL2" s="25">
        <v>5</v>
      </c>
      <c r="EM2" s="25">
        <v>5</v>
      </c>
      <c r="EN2" s="25">
        <v>5</v>
      </c>
      <c r="EO2" s="25">
        <v>5</v>
      </c>
      <c r="EP2" s="25">
        <v>5</v>
      </c>
      <c r="EQ2" s="25">
        <v>5</v>
      </c>
      <c r="ER2" s="25">
        <v>5</v>
      </c>
      <c r="ES2" s="25">
        <v>5</v>
      </c>
      <c r="ET2" s="25">
        <v>5</v>
      </c>
      <c r="EU2" s="25">
        <v>5</v>
      </c>
      <c r="EV2" s="25">
        <v>5</v>
      </c>
      <c r="EW2" s="25">
        <v>6</v>
      </c>
      <c r="EX2" s="25">
        <v>6</v>
      </c>
      <c r="EY2" s="25">
        <v>6</v>
      </c>
      <c r="EZ2" s="25">
        <v>6</v>
      </c>
      <c r="FA2" s="25">
        <v>6</v>
      </c>
      <c r="FB2" s="25">
        <v>6</v>
      </c>
      <c r="FC2" s="25">
        <v>6</v>
      </c>
      <c r="FD2" s="25">
        <v>6</v>
      </c>
      <c r="FE2" s="25">
        <v>6</v>
      </c>
      <c r="FF2" s="25">
        <v>6</v>
      </c>
      <c r="FG2" s="25">
        <v>6</v>
      </c>
      <c r="FH2" s="25">
        <v>6</v>
      </c>
      <c r="FI2" s="25">
        <v>6</v>
      </c>
      <c r="FJ2" s="25">
        <v>6</v>
      </c>
      <c r="FK2" s="25">
        <v>6</v>
      </c>
      <c r="FL2" s="25">
        <v>6</v>
      </c>
      <c r="FM2" s="25">
        <v>6</v>
      </c>
      <c r="FN2" s="25">
        <v>6</v>
      </c>
      <c r="FO2" s="25">
        <v>6</v>
      </c>
      <c r="FP2" s="25">
        <v>6</v>
      </c>
      <c r="FQ2" s="25">
        <v>6</v>
      </c>
      <c r="FR2" s="25">
        <v>6</v>
      </c>
      <c r="FS2" s="25">
        <v>6</v>
      </c>
      <c r="FT2" s="25">
        <v>6</v>
      </c>
      <c r="FU2" s="25">
        <v>6</v>
      </c>
      <c r="FV2" s="25">
        <v>6</v>
      </c>
      <c r="FW2" s="25">
        <v>6</v>
      </c>
      <c r="FX2" s="25">
        <v>6</v>
      </c>
      <c r="FY2" s="25">
        <v>6</v>
      </c>
      <c r="FZ2" s="25">
        <v>6</v>
      </c>
      <c r="GA2" s="25">
        <v>7</v>
      </c>
      <c r="GB2" s="25">
        <v>7</v>
      </c>
      <c r="GC2" s="25">
        <v>7</v>
      </c>
      <c r="GD2" s="25">
        <v>7</v>
      </c>
      <c r="GE2" s="25">
        <v>7</v>
      </c>
      <c r="GF2" s="25">
        <v>7</v>
      </c>
      <c r="GG2" s="25">
        <v>7</v>
      </c>
      <c r="GH2" s="25">
        <v>7</v>
      </c>
      <c r="GI2" s="25">
        <v>7</v>
      </c>
      <c r="GJ2" s="25">
        <v>7</v>
      </c>
      <c r="GK2" s="25">
        <v>7</v>
      </c>
      <c r="GL2" s="25">
        <v>7</v>
      </c>
      <c r="GM2" s="25">
        <v>7</v>
      </c>
      <c r="GN2" s="25">
        <v>7</v>
      </c>
      <c r="GO2" s="25">
        <v>7</v>
      </c>
      <c r="GP2" s="25">
        <v>7</v>
      </c>
      <c r="GQ2" s="25">
        <v>7</v>
      </c>
      <c r="GR2" s="25">
        <v>7</v>
      </c>
      <c r="GS2" s="25">
        <v>7</v>
      </c>
      <c r="GT2" s="25">
        <v>7</v>
      </c>
      <c r="GU2" s="25">
        <v>7</v>
      </c>
      <c r="GV2" s="25">
        <v>7</v>
      </c>
      <c r="GW2" s="25">
        <v>7</v>
      </c>
      <c r="GX2" s="25">
        <v>7</v>
      </c>
      <c r="GY2" s="25">
        <v>7</v>
      </c>
      <c r="GZ2" s="25">
        <v>7</v>
      </c>
      <c r="HA2" s="25">
        <v>7</v>
      </c>
      <c r="HB2" s="25">
        <v>7</v>
      </c>
      <c r="HC2" s="25">
        <v>7</v>
      </c>
      <c r="HD2" s="25">
        <v>7</v>
      </c>
      <c r="HE2" s="25">
        <v>7</v>
      </c>
      <c r="HF2" s="25">
        <v>8</v>
      </c>
      <c r="HG2" s="25">
        <v>8</v>
      </c>
      <c r="HH2" s="25">
        <v>8</v>
      </c>
      <c r="HI2" s="25">
        <v>8</v>
      </c>
      <c r="HJ2" s="25">
        <v>8</v>
      </c>
      <c r="HK2" s="25">
        <v>8</v>
      </c>
      <c r="HL2" s="25">
        <v>8</v>
      </c>
      <c r="HM2" s="25">
        <v>8</v>
      </c>
      <c r="HN2" s="25">
        <v>8</v>
      </c>
      <c r="HO2" s="25">
        <v>8</v>
      </c>
      <c r="HP2" s="25">
        <v>8</v>
      </c>
      <c r="HQ2" s="25">
        <v>8</v>
      </c>
      <c r="HR2" s="25">
        <v>8</v>
      </c>
      <c r="HS2" s="25">
        <v>8</v>
      </c>
      <c r="HT2" s="25">
        <v>8</v>
      </c>
      <c r="HU2" s="25">
        <v>8</v>
      </c>
      <c r="HV2" s="25">
        <v>8</v>
      </c>
      <c r="HW2" s="25">
        <v>8</v>
      </c>
      <c r="HX2" s="25">
        <v>8</v>
      </c>
      <c r="HY2" s="25">
        <v>8</v>
      </c>
      <c r="HZ2" s="25">
        <v>8</v>
      </c>
      <c r="IA2" s="25">
        <v>8</v>
      </c>
      <c r="IB2" s="25">
        <v>8</v>
      </c>
      <c r="IC2" s="25">
        <v>8</v>
      </c>
      <c r="ID2" s="25">
        <v>8</v>
      </c>
      <c r="IE2" s="25">
        <v>8</v>
      </c>
      <c r="IF2" s="25">
        <v>8</v>
      </c>
      <c r="IG2" s="25">
        <v>8</v>
      </c>
      <c r="IH2" s="25">
        <v>8</v>
      </c>
      <c r="II2" s="25">
        <v>8</v>
      </c>
      <c r="IJ2" s="25">
        <v>8</v>
      </c>
      <c r="IK2" s="25">
        <v>9</v>
      </c>
      <c r="IL2" s="25">
        <v>9</v>
      </c>
      <c r="IM2" s="25">
        <v>9</v>
      </c>
      <c r="IN2" s="25">
        <v>9</v>
      </c>
      <c r="IO2" s="25">
        <v>9</v>
      </c>
      <c r="IP2" s="25">
        <v>9</v>
      </c>
      <c r="IQ2" s="25">
        <v>9</v>
      </c>
      <c r="IR2" s="25">
        <v>9</v>
      </c>
      <c r="IS2" s="25">
        <v>9</v>
      </c>
      <c r="IT2" s="25">
        <v>9</v>
      </c>
      <c r="IU2" s="25">
        <v>9</v>
      </c>
      <c r="IV2" s="25">
        <v>9</v>
      </c>
      <c r="IW2" s="25">
        <v>9</v>
      </c>
      <c r="IX2" s="25">
        <v>9</v>
      </c>
      <c r="IY2" s="25">
        <v>9</v>
      </c>
      <c r="IZ2" s="25">
        <v>9</v>
      </c>
      <c r="JA2" s="25">
        <v>9</v>
      </c>
      <c r="JB2" s="25">
        <v>9</v>
      </c>
      <c r="JC2" s="25">
        <v>9</v>
      </c>
      <c r="JD2" s="25">
        <v>9</v>
      </c>
      <c r="JE2" s="25">
        <v>9</v>
      </c>
      <c r="JF2" s="25">
        <v>9</v>
      </c>
      <c r="JG2" s="25">
        <v>9</v>
      </c>
      <c r="JH2" s="25">
        <v>9</v>
      </c>
      <c r="JI2" s="25">
        <v>9</v>
      </c>
      <c r="JJ2" s="25">
        <v>9</v>
      </c>
      <c r="JK2" s="25">
        <v>9</v>
      </c>
      <c r="JL2" s="25">
        <v>9</v>
      </c>
      <c r="JM2" s="25">
        <v>9</v>
      </c>
      <c r="JN2" s="25">
        <v>9</v>
      </c>
      <c r="JO2" s="25">
        <v>10</v>
      </c>
      <c r="JP2" s="25">
        <v>10</v>
      </c>
      <c r="JQ2" s="25">
        <v>10</v>
      </c>
      <c r="JR2" s="25">
        <v>10</v>
      </c>
      <c r="JS2" s="25">
        <v>10</v>
      </c>
      <c r="JT2" s="25">
        <v>10</v>
      </c>
      <c r="JU2" s="25">
        <v>10</v>
      </c>
      <c r="JV2" s="25">
        <v>10</v>
      </c>
      <c r="JW2" s="25">
        <v>10</v>
      </c>
      <c r="JX2" s="25">
        <v>10</v>
      </c>
      <c r="JY2" s="25">
        <v>10</v>
      </c>
      <c r="JZ2" s="25">
        <v>10</v>
      </c>
      <c r="KA2" s="25">
        <v>10</v>
      </c>
      <c r="KB2" s="25">
        <v>10</v>
      </c>
      <c r="KC2" s="25">
        <v>10</v>
      </c>
      <c r="KD2" s="25">
        <v>10</v>
      </c>
      <c r="KE2" s="25">
        <v>10</v>
      </c>
      <c r="KF2" s="25">
        <v>10</v>
      </c>
      <c r="KG2" s="25">
        <v>10</v>
      </c>
      <c r="KH2" s="25">
        <v>10</v>
      </c>
      <c r="KI2" s="25">
        <v>10</v>
      </c>
      <c r="KJ2" s="25">
        <v>10</v>
      </c>
      <c r="KK2" s="25">
        <v>10</v>
      </c>
      <c r="KL2" s="25">
        <v>10</v>
      </c>
      <c r="KM2" s="25">
        <v>10</v>
      </c>
      <c r="KN2" s="25">
        <v>10</v>
      </c>
      <c r="KO2" s="25">
        <v>10</v>
      </c>
      <c r="KP2" s="25">
        <v>10</v>
      </c>
      <c r="KQ2" s="25">
        <v>10</v>
      </c>
      <c r="KR2" s="25">
        <v>10</v>
      </c>
      <c r="KS2" s="25">
        <v>10</v>
      </c>
      <c r="KT2" s="25">
        <v>11</v>
      </c>
      <c r="KU2" s="25">
        <v>11</v>
      </c>
      <c r="KV2" s="25">
        <v>11</v>
      </c>
      <c r="KW2" s="25">
        <v>11</v>
      </c>
      <c r="KX2" s="25">
        <v>11</v>
      </c>
      <c r="KY2" s="25">
        <v>11</v>
      </c>
      <c r="KZ2" s="25">
        <v>11</v>
      </c>
      <c r="LA2" s="25">
        <v>11</v>
      </c>
      <c r="LB2" s="25">
        <v>11</v>
      </c>
      <c r="LC2" s="25">
        <v>11</v>
      </c>
      <c r="LD2" s="25">
        <v>11</v>
      </c>
      <c r="LE2" s="25">
        <v>11</v>
      </c>
      <c r="LF2" s="25">
        <v>11</v>
      </c>
      <c r="LG2" s="25">
        <v>11</v>
      </c>
      <c r="LH2" s="25">
        <v>11</v>
      </c>
      <c r="LI2" s="25">
        <v>11</v>
      </c>
      <c r="LJ2" s="25">
        <v>11</v>
      </c>
      <c r="LK2" s="25">
        <v>11</v>
      </c>
      <c r="LL2" s="25">
        <v>11</v>
      </c>
      <c r="LM2" s="25">
        <v>11</v>
      </c>
      <c r="LN2" s="25">
        <v>11</v>
      </c>
      <c r="LO2" s="25">
        <v>11</v>
      </c>
      <c r="LP2" s="25">
        <v>11</v>
      </c>
      <c r="LQ2" s="25">
        <v>11</v>
      </c>
      <c r="LR2" s="25">
        <v>11</v>
      </c>
      <c r="LS2" s="25">
        <v>11</v>
      </c>
      <c r="LT2" s="25">
        <v>11</v>
      </c>
      <c r="LU2" s="25">
        <v>11</v>
      </c>
      <c r="LV2" s="25">
        <v>11</v>
      </c>
      <c r="LW2" s="25">
        <v>11</v>
      </c>
      <c r="LX2" s="25">
        <v>12</v>
      </c>
      <c r="LY2" s="25">
        <v>12</v>
      </c>
      <c r="LZ2" s="25">
        <v>12</v>
      </c>
      <c r="MA2" s="25">
        <v>12</v>
      </c>
      <c r="MB2" s="25">
        <v>12</v>
      </c>
      <c r="MC2" s="25">
        <v>12</v>
      </c>
      <c r="MD2" s="25">
        <v>12</v>
      </c>
      <c r="ME2" s="25">
        <v>12</v>
      </c>
      <c r="MF2" s="25">
        <v>12</v>
      </c>
      <c r="MG2" s="25">
        <v>12</v>
      </c>
      <c r="MH2" s="25">
        <v>12</v>
      </c>
      <c r="MI2" s="25">
        <v>12</v>
      </c>
      <c r="MJ2" s="25">
        <v>12</v>
      </c>
      <c r="MK2" s="25">
        <v>12</v>
      </c>
      <c r="ML2" s="25">
        <v>12</v>
      </c>
      <c r="MM2" s="25">
        <v>12</v>
      </c>
      <c r="MN2" s="25">
        <v>12</v>
      </c>
      <c r="MO2" s="25">
        <v>12</v>
      </c>
      <c r="MP2" s="25">
        <v>12</v>
      </c>
      <c r="MQ2" s="25">
        <v>12</v>
      </c>
      <c r="MR2" s="25">
        <v>12</v>
      </c>
      <c r="MS2" s="25">
        <v>12</v>
      </c>
      <c r="MT2" s="25">
        <v>12</v>
      </c>
      <c r="MU2" s="25">
        <v>12</v>
      </c>
      <c r="MV2" s="25">
        <v>12</v>
      </c>
      <c r="MW2" s="25">
        <v>12</v>
      </c>
      <c r="MX2" s="25">
        <v>12</v>
      </c>
      <c r="MY2" s="25">
        <v>12</v>
      </c>
      <c r="MZ2" s="25">
        <v>12</v>
      </c>
      <c r="NA2" s="25">
        <v>12</v>
      </c>
      <c r="NB2" s="25">
        <v>12</v>
      </c>
      <c r="NC2" s="25">
        <v>1</v>
      </c>
      <c r="ND2" s="25" t="e">
        <v>#N/A</v>
      </c>
    </row>
    <row r="3" spans="1:368" s="25" customFormat="1" hidden="1">
      <c r="A3" s="17" t="str">
        <v>DAYS</v>
      </c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W3" s="25">
        <v>22</v>
      </c>
      <c r="X3" s="25">
        <v>23</v>
      </c>
      <c r="Y3" s="25">
        <v>24</v>
      </c>
      <c r="Z3" s="25">
        <v>25</v>
      </c>
      <c r="AA3" s="25">
        <v>26</v>
      </c>
      <c r="AB3" s="25">
        <v>27</v>
      </c>
      <c r="AC3" s="25">
        <v>28</v>
      </c>
      <c r="AD3" s="25">
        <v>29</v>
      </c>
      <c r="AE3" s="25">
        <v>30</v>
      </c>
      <c r="AF3" s="25">
        <v>31</v>
      </c>
      <c r="AG3" s="25">
        <v>1</v>
      </c>
      <c r="AH3" s="25">
        <v>2</v>
      </c>
      <c r="AI3" s="25">
        <v>3</v>
      </c>
      <c r="AJ3" s="25">
        <v>4</v>
      </c>
      <c r="AK3" s="25">
        <v>5</v>
      </c>
      <c r="AL3" s="25">
        <v>6</v>
      </c>
      <c r="AM3" s="25">
        <v>7</v>
      </c>
      <c r="AN3" s="25">
        <v>8</v>
      </c>
      <c r="AO3" s="25">
        <v>9</v>
      </c>
      <c r="AP3" s="25">
        <v>10</v>
      </c>
      <c r="AQ3" s="25">
        <v>11</v>
      </c>
      <c r="AR3" s="25">
        <v>12</v>
      </c>
      <c r="AS3" s="25">
        <v>13</v>
      </c>
      <c r="AT3" s="25">
        <v>14</v>
      </c>
      <c r="AU3" s="25">
        <v>15</v>
      </c>
      <c r="AV3" s="25">
        <v>16</v>
      </c>
      <c r="AW3" s="25">
        <v>17</v>
      </c>
      <c r="AX3" s="25">
        <v>18</v>
      </c>
      <c r="AY3" s="25">
        <v>19</v>
      </c>
      <c r="AZ3" s="25">
        <v>20</v>
      </c>
      <c r="BA3" s="25">
        <v>21</v>
      </c>
      <c r="BB3" s="25">
        <v>22</v>
      </c>
      <c r="BC3" s="25">
        <v>23</v>
      </c>
      <c r="BD3" s="25">
        <v>24</v>
      </c>
      <c r="BE3" s="25">
        <v>25</v>
      </c>
      <c r="BF3" s="25">
        <v>26</v>
      </c>
      <c r="BG3" s="25">
        <v>27</v>
      </c>
      <c r="BH3" s="25">
        <v>28</v>
      </c>
      <c r="BI3" s="25">
        <v>1</v>
      </c>
      <c r="BJ3" s="25">
        <v>2</v>
      </c>
      <c r="BK3" s="25">
        <v>3</v>
      </c>
      <c r="BL3" s="25">
        <v>4</v>
      </c>
      <c r="BM3" s="25">
        <v>5</v>
      </c>
      <c r="BN3" s="25">
        <v>6</v>
      </c>
      <c r="BO3" s="25">
        <v>7</v>
      </c>
      <c r="BP3" s="25">
        <v>8</v>
      </c>
      <c r="BQ3" s="25">
        <v>9</v>
      </c>
      <c r="BR3" s="25">
        <v>10</v>
      </c>
      <c r="BS3" s="25">
        <v>11</v>
      </c>
      <c r="BT3" s="25">
        <v>12</v>
      </c>
      <c r="BU3" s="25">
        <v>13</v>
      </c>
      <c r="BV3" s="25">
        <v>14</v>
      </c>
      <c r="BW3" s="25">
        <v>15</v>
      </c>
      <c r="BX3" s="25">
        <v>16</v>
      </c>
      <c r="BY3" s="25">
        <v>17</v>
      </c>
      <c r="BZ3" s="25">
        <v>18</v>
      </c>
      <c r="CA3" s="25">
        <v>19</v>
      </c>
      <c r="CB3" s="25">
        <v>20</v>
      </c>
      <c r="CC3" s="25">
        <v>21</v>
      </c>
      <c r="CD3" s="25">
        <v>22</v>
      </c>
      <c r="CE3" s="25">
        <v>23</v>
      </c>
      <c r="CF3" s="25">
        <v>24</v>
      </c>
      <c r="CG3" s="25">
        <v>25</v>
      </c>
      <c r="CH3" s="25">
        <v>26</v>
      </c>
      <c r="CI3" s="25">
        <v>27</v>
      </c>
      <c r="CJ3" s="25">
        <v>28</v>
      </c>
      <c r="CK3" s="25">
        <v>29</v>
      </c>
      <c r="CL3" s="25">
        <v>30</v>
      </c>
      <c r="CM3" s="25">
        <v>31</v>
      </c>
      <c r="CN3" s="25">
        <v>1</v>
      </c>
      <c r="CO3" s="25">
        <v>2</v>
      </c>
      <c r="CP3" s="25">
        <v>3</v>
      </c>
      <c r="CQ3" s="25">
        <v>4</v>
      </c>
      <c r="CR3" s="25">
        <v>5</v>
      </c>
      <c r="CS3" s="25">
        <v>6</v>
      </c>
      <c r="CT3" s="25">
        <v>7</v>
      </c>
      <c r="CU3" s="25">
        <v>8</v>
      </c>
      <c r="CV3" s="25">
        <v>9</v>
      </c>
      <c r="CW3" s="25">
        <v>10</v>
      </c>
      <c r="CX3" s="25">
        <v>11</v>
      </c>
      <c r="CY3" s="25">
        <v>12</v>
      </c>
      <c r="CZ3" s="25">
        <v>13</v>
      </c>
      <c r="DA3" s="25">
        <v>14</v>
      </c>
      <c r="DB3" s="25">
        <v>15</v>
      </c>
      <c r="DC3" s="25">
        <v>16</v>
      </c>
      <c r="DD3" s="25">
        <v>17</v>
      </c>
      <c r="DE3" s="25">
        <v>18</v>
      </c>
      <c r="DF3" s="25">
        <v>19</v>
      </c>
      <c r="DG3" s="25">
        <v>20</v>
      </c>
      <c r="DH3" s="25">
        <v>21</v>
      </c>
      <c r="DI3" s="25">
        <v>22</v>
      </c>
      <c r="DJ3" s="25">
        <v>23</v>
      </c>
      <c r="DK3" s="25">
        <v>24</v>
      </c>
      <c r="DL3" s="25">
        <v>25</v>
      </c>
      <c r="DM3" s="25">
        <v>26</v>
      </c>
      <c r="DN3" s="25">
        <v>27</v>
      </c>
      <c r="DO3" s="25">
        <v>28</v>
      </c>
      <c r="DP3" s="25">
        <v>29</v>
      </c>
      <c r="DQ3" s="25">
        <v>30</v>
      </c>
      <c r="DR3" s="25">
        <v>1</v>
      </c>
      <c r="DS3" s="25">
        <v>2</v>
      </c>
      <c r="DT3" s="25">
        <v>3</v>
      </c>
      <c r="DU3" s="25">
        <v>4</v>
      </c>
      <c r="DV3" s="25">
        <v>5</v>
      </c>
      <c r="DW3" s="25">
        <v>6</v>
      </c>
      <c r="DX3" s="25">
        <v>7</v>
      </c>
      <c r="DY3" s="25">
        <v>8</v>
      </c>
      <c r="DZ3" s="25">
        <v>9</v>
      </c>
      <c r="EA3" s="25">
        <v>10</v>
      </c>
      <c r="EB3" s="25">
        <v>11</v>
      </c>
      <c r="EC3" s="25">
        <v>12</v>
      </c>
      <c r="ED3" s="25">
        <v>13</v>
      </c>
      <c r="EE3" s="25">
        <v>14</v>
      </c>
      <c r="EF3" s="25">
        <v>15</v>
      </c>
      <c r="EG3" s="25">
        <v>16</v>
      </c>
      <c r="EH3" s="25">
        <v>17</v>
      </c>
      <c r="EI3" s="25">
        <v>18</v>
      </c>
      <c r="EJ3" s="25">
        <v>19</v>
      </c>
      <c r="EK3" s="25">
        <v>20</v>
      </c>
      <c r="EL3" s="25">
        <v>21</v>
      </c>
      <c r="EM3" s="25">
        <v>22</v>
      </c>
      <c r="EN3" s="25">
        <v>23</v>
      </c>
      <c r="EO3" s="25">
        <v>24</v>
      </c>
      <c r="EP3" s="25">
        <v>25</v>
      </c>
      <c r="EQ3" s="25">
        <v>26</v>
      </c>
      <c r="ER3" s="25">
        <v>27</v>
      </c>
      <c r="ES3" s="25">
        <v>28</v>
      </c>
      <c r="ET3" s="25">
        <v>29</v>
      </c>
      <c r="EU3" s="25">
        <v>30</v>
      </c>
      <c r="EV3" s="25">
        <v>31</v>
      </c>
      <c r="EW3" s="25">
        <v>1</v>
      </c>
      <c r="EX3" s="25">
        <v>2</v>
      </c>
      <c r="EY3" s="25">
        <v>3</v>
      </c>
      <c r="EZ3" s="25">
        <v>4</v>
      </c>
      <c r="FA3" s="25">
        <v>5</v>
      </c>
      <c r="FB3" s="25">
        <v>6</v>
      </c>
      <c r="FC3" s="25">
        <v>7</v>
      </c>
      <c r="FD3" s="25">
        <v>8</v>
      </c>
      <c r="FE3" s="25">
        <v>9</v>
      </c>
      <c r="FF3" s="25">
        <v>10</v>
      </c>
      <c r="FG3" s="25">
        <v>11</v>
      </c>
      <c r="FH3" s="25">
        <v>12</v>
      </c>
      <c r="FI3" s="25">
        <v>13</v>
      </c>
      <c r="FJ3" s="25">
        <v>14</v>
      </c>
      <c r="FK3" s="25">
        <v>15</v>
      </c>
      <c r="FL3" s="25">
        <v>16</v>
      </c>
      <c r="FM3" s="25">
        <v>17</v>
      </c>
      <c r="FN3" s="25">
        <v>18</v>
      </c>
      <c r="FO3" s="25">
        <v>19</v>
      </c>
      <c r="FP3" s="25">
        <v>20</v>
      </c>
      <c r="FQ3" s="25">
        <v>21</v>
      </c>
      <c r="FR3" s="25">
        <v>22</v>
      </c>
      <c r="FS3" s="25">
        <v>23</v>
      </c>
      <c r="FT3" s="25">
        <v>24</v>
      </c>
      <c r="FU3" s="25">
        <v>25</v>
      </c>
      <c r="FV3" s="25">
        <v>26</v>
      </c>
      <c r="FW3" s="25">
        <v>27</v>
      </c>
      <c r="FX3" s="25">
        <v>28</v>
      </c>
      <c r="FY3" s="25">
        <v>29</v>
      </c>
      <c r="FZ3" s="25">
        <v>30</v>
      </c>
      <c r="GA3" s="25">
        <v>1</v>
      </c>
      <c r="GB3" s="25">
        <v>2</v>
      </c>
      <c r="GC3" s="25">
        <v>3</v>
      </c>
      <c r="GD3" s="25">
        <v>4</v>
      </c>
      <c r="GE3" s="25">
        <v>5</v>
      </c>
      <c r="GF3" s="25">
        <v>6</v>
      </c>
      <c r="GG3" s="25">
        <v>7</v>
      </c>
      <c r="GH3" s="25">
        <v>8</v>
      </c>
      <c r="GI3" s="25">
        <v>9</v>
      </c>
      <c r="GJ3" s="25">
        <v>10</v>
      </c>
      <c r="GK3" s="25">
        <v>11</v>
      </c>
      <c r="GL3" s="25">
        <v>12</v>
      </c>
      <c r="GM3" s="25">
        <v>13</v>
      </c>
      <c r="GN3" s="25">
        <v>14</v>
      </c>
      <c r="GO3" s="25">
        <v>15</v>
      </c>
      <c r="GP3" s="25">
        <v>16</v>
      </c>
      <c r="GQ3" s="25">
        <v>17</v>
      </c>
      <c r="GR3" s="25">
        <v>18</v>
      </c>
      <c r="GS3" s="25">
        <v>19</v>
      </c>
      <c r="GT3" s="25">
        <v>20</v>
      </c>
      <c r="GU3" s="25">
        <v>21</v>
      </c>
      <c r="GV3" s="25">
        <v>22</v>
      </c>
      <c r="GW3" s="25">
        <v>23</v>
      </c>
      <c r="GX3" s="25">
        <v>24</v>
      </c>
      <c r="GY3" s="25">
        <v>25</v>
      </c>
      <c r="GZ3" s="25">
        <v>26</v>
      </c>
      <c r="HA3" s="25">
        <v>27</v>
      </c>
      <c r="HB3" s="25">
        <v>28</v>
      </c>
      <c r="HC3" s="25">
        <v>29</v>
      </c>
      <c r="HD3" s="25">
        <v>30</v>
      </c>
      <c r="HE3" s="25">
        <v>31</v>
      </c>
      <c r="HF3" s="25">
        <v>1</v>
      </c>
      <c r="HG3" s="25">
        <v>2</v>
      </c>
      <c r="HH3" s="25">
        <v>3</v>
      </c>
      <c r="HI3" s="25">
        <v>4</v>
      </c>
      <c r="HJ3" s="25">
        <v>5</v>
      </c>
      <c r="HK3" s="25">
        <v>6</v>
      </c>
      <c r="HL3" s="25">
        <v>7</v>
      </c>
      <c r="HM3" s="25">
        <v>8</v>
      </c>
      <c r="HN3" s="25">
        <v>9</v>
      </c>
      <c r="HO3" s="25">
        <v>10</v>
      </c>
      <c r="HP3" s="25">
        <v>11</v>
      </c>
      <c r="HQ3" s="25">
        <v>12</v>
      </c>
      <c r="HR3" s="25">
        <v>13</v>
      </c>
      <c r="HS3" s="25">
        <v>14</v>
      </c>
      <c r="HT3" s="25">
        <v>15</v>
      </c>
      <c r="HU3" s="25">
        <v>16</v>
      </c>
      <c r="HV3" s="25">
        <v>17</v>
      </c>
      <c r="HW3" s="25">
        <v>18</v>
      </c>
      <c r="HX3" s="25">
        <v>19</v>
      </c>
      <c r="HY3" s="25">
        <v>20</v>
      </c>
      <c r="HZ3" s="25">
        <v>21</v>
      </c>
      <c r="IA3" s="25">
        <v>22</v>
      </c>
      <c r="IB3" s="25">
        <v>23</v>
      </c>
      <c r="IC3" s="25">
        <v>24</v>
      </c>
      <c r="ID3" s="25">
        <v>25</v>
      </c>
      <c r="IE3" s="25">
        <v>26</v>
      </c>
      <c r="IF3" s="25">
        <v>27</v>
      </c>
      <c r="IG3" s="25">
        <v>28</v>
      </c>
      <c r="IH3" s="25">
        <v>29</v>
      </c>
      <c r="II3" s="25">
        <v>30</v>
      </c>
      <c r="IJ3" s="25">
        <v>31</v>
      </c>
      <c r="IK3" s="25">
        <v>1</v>
      </c>
      <c r="IL3" s="25">
        <v>2</v>
      </c>
      <c r="IM3" s="25">
        <v>3</v>
      </c>
      <c r="IN3" s="25">
        <v>4</v>
      </c>
      <c r="IO3" s="25">
        <v>5</v>
      </c>
      <c r="IP3" s="25">
        <v>6</v>
      </c>
      <c r="IQ3" s="25">
        <v>7</v>
      </c>
      <c r="IR3" s="25">
        <v>8</v>
      </c>
      <c r="IS3" s="25">
        <v>9</v>
      </c>
      <c r="IT3" s="25">
        <v>10</v>
      </c>
      <c r="IU3" s="25">
        <v>11</v>
      </c>
      <c r="IV3" s="25">
        <v>12</v>
      </c>
      <c r="IW3" s="25">
        <v>13</v>
      </c>
      <c r="IX3" s="25">
        <v>14</v>
      </c>
      <c r="IY3" s="25">
        <v>15</v>
      </c>
      <c r="IZ3" s="25">
        <v>16</v>
      </c>
      <c r="JA3" s="25">
        <v>17</v>
      </c>
      <c r="JB3" s="25">
        <v>18</v>
      </c>
      <c r="JC3" s="25">
        <v>19</v>
      </c>
      <c r="JD3" s="25">
        <v>20</v>
      </c>
      <c r="JE3" s="25">
        <v>21</v>
      </c>
      <c r="JF3" s="25">
        <v>22</v>
      </c>
      <c r="JG3" s="25">
        <v>23</v>
      </c>
      <c r="JH3" s="25">
        <v>24</v>
      </c>
      <c r="JI3" s="25">
        <v>25</v>
      </c>
      <c r="JJ3" s="25">
        <v>26</v>
      </c>
      <c r="JK3" s="25">
        <v>27</v>
      </c>
      <c r="JL3" s="25">
        <v>28</v>
      </c>
      <c r="JM3" s="25">
        <v>29</v>
      </c>
      <c r="JN3" s="25">
        <v>30</v>
      </c>
      <c r="JO3" s="25">
        <v>1</v>
      </c>
      <c r="JP3" s="25">
        <v>2</v>
      </c>
      <c r="JQ3" s="25">
        <v>3</v>
      </c>
      <c r="JR3" s="25">
        <v>4</v>
      </c>
      <c r="JS3" s="25">
        <v>5</v>
      </c>
      <c r="JT3" s="25">
        <v>6</v>
      </c>
      <c r="JU3" s="25">
        <v>7</v>
      </c>
      <c r="JV3" s="25">
        <v>8</v>
      </c>
      <c r="JW3" s="25">
        <v>9</v>
      </c>
      <c r="JX3" s="25">
        <v>10</v>
      </c>
      <c r="JY3" s="25">
        <v>11</v>
      </c>
      <c r="JZ3" s="25">
        <v>12</v>
      </c>
      <c r="KA3" s="25">
        <v>13</v>
      </c>
      <c r="KB3" s="25">
        <v>14</v>
      </c>
      <c r="KC3" s="25">
        <v>15</v>
      </c>
      <c r="KD3" s="25">
        <v>16</v>
      </c>
      <c r="KE3" s="25">
        <v>17</v>
      </c>
      <c r="KF3" s="25">
        <v>18</v>
      </c>
      <c r="KG3" s="25">
        <v>19</v>
      </c>
      <c r="KH3" s="25">
        <v>20</v>
      </c>
      <c r="KI3" s="25">
        <v>21</v>
      </c>
      <c r="KJ3" s="25">
        <v>22</v>
      </c>
      <c r="KK3" s="25">
        <v>23</v>
      </c>
      <c r="KL3" s="25">
        <v>24</v>
      </c>
      <c r="KM3" s="25">
        <v>25</v>
      </c>
      <c r="KN3" s="25">
        <v>26</v>
      </c>
      <c r="KO3" s="25">
        <v>27</v>
      </c>
      <c r="KP3" s="25">
        <v>28</v>
      </c>
      <c r="KQ3" s="25">
        <v>29</v>
      </c>
      <c r="KR3" s="25">
        <v>30</v>
      </c>
      <c r="KS3" s="25">
        <v>31</v>
      </c>
      <c r="KT3" s="25">
        <v>1</v>
      </c>
      <c r="KU3" s="25">
        <v>2</v>
      </c>
      <c r="KV3" s="25">
        <v>3</v>
      </c>
      <c r="KW3" s="25">
        <v>4</v>
      </c>
      <c r="KX3" s="25">
        <v>5</v>
      </c>
      <c r="KY3" s="25">
        <v>6</v>
      </c>
      <c r="KZ3" s="25">
        <v>7</v>
      </c>
      <c r="LA3" s="25">
        <v>8</v>
      </c>
      <c r="LB3" s="25">
        <v>9</v>
      </c>
      <c r="LC3" s="25">
        <v>10</v>
      </c>
      <c r="LD3" s="25">
        <v>11</v>
      </c>
      <c r="LE3" s="25">
        <v>12</v>
      </c>
      <c r="LF3" s="25">
        <v>13</v>
      </c>
      <c r="LG3" s="25">
        <v>14</v>
      </c>
      <c r="LH3" s="25">
        <v>15</v>
      </c>
      <c r="LI3" s="25">
        <v>16</v>
      </c>
      <c r="LJ3" s="25">
        <v>17</v>
      </c>
      <c r="LK3" s="25">
        <v>18</v>
      </c>
      <c r="LL3" s="25">
        <v>19</v>
      </c>
      <c r="LM3" s="25">
        <v>20</v>
      </c>
      <c r="LN3" s="25">
        <v>21</v>
      </c>
      <c r="LO3" s="25">
        <v>22</v>
      </c>
      <c r="LP3" s="25">
        <v>23</v>
      </c>
      <c r="LQ3" s="25">
        <v>24</v>
      </c>
      <c r="LR3" s="25">
        <v>25</v>
      </c>
      <c r="LS3" s="25">
        <v>26</v>
      </c>
      <c r="LT3" s="25">
        <v>27</v>
      </c>
      <c r="LU3" s="25">
        <v>28</v>
      </c>
      <c r="LV3" s="25">
        <v>29</v>
      </c>
      <c r="LW3" s="25">
        <v>30</v>
      </c>
      <c r="LX3" s="25">
        <v>1</v>
      </c>
      <c r="LY3" s="25">
        <v>2</v>
      </c>
      <c r="LZ3" s="25">
        <v>3</v>
      </c>
      <c r="MA3" s="25">
        <v>4</v>
      </c>
      <c r="MB3" s="25">
        <v>5</v>
      </c>
      <c r="MC3" s="25">
        <v>6</v>
      </c>
      <c r="MD3" s="25">
        <v>7</v>
      </c>
      <c r="ME3" s="25">
        <v>8</v>
      </c>
      <c r="MF3" s="25">
        <v>9</v>
      </c>
      <c r="MG3" s="25">
        <v>10</v>
      </c>
      <c r="MH3" s="25">
        <v>11</v>
      </c>
      <c r="MI3" s="25">
        <v>12</v>
      </c>
      <c r="MJ3" s="25">
        <v>13</v>
      </c>
      <c r="MK3" s="25">
        <v>14</v>
      </c>
      <c r="ML3" s="25">
        <v>15</v>
      </c>
      <c r="MM3" s="25">
        <v>16</v>
      </c>
      <c r="MN3" s="25">
        <v>17</v>
      </c>
      <c r="MO3" s="25">
        <v>18</v>
      </c>
      <c r="MP3" s="25">
        <v>19</v>
      </c>
      <c r="MQ3" s="25">
        <v>20</v>
      </c>
      <c r="MR3" s="25">
        <v>21</v>
      </c>
      <c r="MS3" s="25">
        <v>22</v>
      </c>
      <c r="MT3" s="25">
        <v>23</v>
      </c>
      <c r="MU3" s="25">
        <v>24</v>
      </c>
      <c r="MV3" s="25">
        <v>25</v>
      </c>
      <c r="MW3" s="25">
        <v>26</v>
      </c>
      <c r="MX3" s="25">
        <v>27</v>
      </c>
      <c r="MY3" s="25">
        <v>28</v>
      </c>
      <c r="MZ3" s="25">
        <v>29</v>
      </c>
      <c r="NA3" s="25">
        <v>30</v>
      </c>
      <c r="NB3" s="25">
        <v>31</v>
      </c>
      <c r="NC3" s="25">
        <v>1</v>
      </c>
      <c r="ND3" s="25" t="e">
        <v>#N/A</v>
      </c>
    </row>
    <row r="4" spans="1:368" s="27" customFormat="1" ht="18" thickBot="1">
      <c r="A4" s="24" t="str">
        <v>요   일</v>
      </c>
      <c r="B4" s="27">
        <v>5</v>
      </c>
      <c r="C4" s="27">
        <v>6</v>
      </c>
      <c r="D4" s="27">
        <v>7</v>
      </c>
      <c r="E4" s="27">
        <v>1</v>
      </c>
      <c r="F4" s="27">
        <v>2</v>
      </c>
      <c r="G4" s="27">
        <v>3</v>
      </c>
      <c r="H4" s="27">
        <v>4</v>
      </c>
      <c r="I4" s="27">
        <v>5</v>
      </c>
      <c r="J4" s="27">
        <v>6</v>
      </c>
      <c r="K4" s="27">
        <v>7</v>
      </c>
      <c r="L4" s="27">
        <v>1</v>
      </c>
      <c r="M4" s="27">
        <v>2</v>
      </c>
      <c r="N4" s="27">
        <v>3</v>
      </c>
      <c r="O4" s="27">
        <v>4</v>
      </c>
      <c r="P4" s="27">
        <v>5</v>
      </c>
      <c r="Q4" s="27">
        <v>6</v>
      </c>
      <c r="R4" s="27">
        <v>7</v>
      </c>
      <c r="S4" s="27">
        <v>1</v>
      </c>
      <c r="T4" s="27">
        <v>2</v>
      </c>
      <c r="U4" s="27">
        <v>3</v>
      </c>
      <c r="V4" s="27">
        <v>4</v>
      </c>
      <c r="W4" s="27">
        <v>5</v>
      </c>
      <c r="X4" s="27">
        <v>6</v>
      </c>
      <c r="Y4" s="27">
        <v>7</v>
      </c>
      <c r="Z4" s="27">
        <v>1</v>
      </c>
      <c r="AA4" s="27">
        <v>2</v>
      </c>
      <c r="AB4" s="27">
        <v>3</v>
      </c>
      <c r="AC4" s="27">
        <v>4</v>
      </c>
      <c r="AD4" s="27">
        <v>5</v>
      </c>
      <c r="AE4" s="27">
        <v>6</v>
      </c>
      <c r="AF4" s="27">
        <v>7</v>
      </c>
      <c r="AG4" s="27">
        <v>1</v>
      </c>
      <c r="AH4" s="27">
        <v>2</v>
      </c>
      <c r="AI4" s="27">
        <v>3</v>
      </c>
      <c r="AJ4" s="27">
        <v>4</v>
      </c>
      <c r="AK4" s="27">
        <v>5</v>
      </c>
      <c r="AL4" s="27">
        <v>6</v>
      </c>
      <c r="AM4" s="27">
        <v>7</v>
      </c>
      <c r="AN4" s="27">
        <v>1</v>
      </c>
      <c r="AO4" s="27">
        <v>2</v>
      </c>
      <c r="AP4" s="27">
        <v>3</v>
      </c>
      <c r="AQ4" s="27">
        <v>4</v>
      </c>
      <c r="AR4" s="27">
        <v>5</v>
      </c>
      <c r="AS4" s="27">
        <v>6</v>
      </c>
      <c r="AT4" s="27">
        <v>7</v>
      </c>
      <c r="AU4" s="27">
        <v>1</v>
      </c>
      <c r="AV4" s="27">
        <v>2</v>
      </c>
      <c r="AW4" s="27">
        <v>3</v>
      </c>
      <c r="AX4" s="27">
        <v>4</v>
      </c>
      <c r="AY4" s="27">
        <v>5</v>
      </c>
      <c r="AZ4" s="27">
        <v>6</v>
      </c>
      <c r="BA4" s="27">
        <v>7</v>
      </c>
      <c r="BB4" s="27">
        <v>1</v>
      </c>
      <c r="BC4" s="27">
        <v>2</v>
      </c>
      <c r="BD4" s="27">
        <v>3</v>
      </c>
      <c r="BE4" s="27">
        <v>4</v>
      </c>
      <c r="BF4" s="27">
        <v>5</v>
      </c>
      <c r="BG4" s="27">
        <v>6</v>
      </c>
      <c r="BH4" s="27">
        <v>7</v>
      </c>
      <c r="BI4" s="27">
        <v>1</v>
      </c>
      <c r="BJ4" s="27">
        <v>2</v>
      </c>
      <c r="BK4" s="27">
        <v>3</v>
      </c>
      <c r="BL4" s="27">
        <v>4</v>
      </c>
      <c r="BM4" s="27">
        <v>5</v>
      </c>
      <c r="BN4" s="27">
        <v>6</v>
      </c>
      <c r="BO4" s="27">
        <v>7</v>
      </c>
      <c r="BP4" s="27">
        <v>1</v>
      </c>
      <c r="BQ4" s="27">
        <v>2</v>
      </c>
      <c r="BR4" s="27">
        <v>3</v>
      </c>
      <c r="BS4" s="27">
        <v>4</v>
      </c>
      <c r="BT4" s="27">
        <v>5</v>
      </c>
      <c r="BU4" s="27">
        <v>6</v>
      </c>
      <c r="BV4" s="27">
        <v>7</v>
      </c>
      <c r="BW4" s="27">
        <v>1</v>
      </c>
      <c r="BX4" s="27">
        <v>2</v>
      </c>
      <c r="BY4" s="27">
        <v>3</v>
      </c>
      <c r="BZ4" s="27">
        <v>4</v>
      </c>
      <c r="CA4" s="27">
        <v>5</v>
      </c>
      <c r="CB4" s="27">
        <v>6</v>
      </c>
      <c r="CC4" s="27">
        <v>7</v>
      </c>
      <c r="CD4" s="27">
        <v>1</v>
      </c>
      <c r="CE4" s="27">
        <v>2</v>
      </c>
      <c r="CF4" s="27">
        <v>3</v>
      </c>
      <c r="CG4" s="27">
        <v>4</v>
      </c>
      <c r="CH4" s="27">
        <v>5</v>
      </c>
      <c r="CI4" s="27">
        <v>6</v>
      </c>
      <c r="CJ4" s="27">
        <v>7</v>
      </c>
      <c r="CK4" s="27">
        <v>1</v>
      </c>
      <c r="CL4" s="27">
        <v>2</v>
      </c>
      <c r="CM4" s="27">
        <v>3</v>
      </c>
      <c r="CN4" s="27">
        <v>4</v>
      </c>
      <c r="CO4" s="27">
        <v>5</v>
      </c>
      <c r="CP4" s="27">
        <v>6</v>
      </c>
      <c r="CQ4" s="27">
        <v>7</v>
      </c>
      <c r="CR4" s="27">
        <v>1</v>
      </c>
      <c r="CS4" s="27">
        <v>2</v>
      </c>
      <c r="CT4" s="27">
        <v>3</v>
      </c>
      <c r="CU4" s="27">
        <v>4</v>
      </c>
      <c r="CV4" s="27">
        <v>5</v>
      </c>
      <c r="CW4" s="27">
        <v>6</v>
      </c>
      <c r="CX4" s="27">
        <v>7</v>
      </c>
      <c r="CY4" s="27">
        <v>1</v>
      </c>
      <c r="CZ4" s="27">
        <v>2</v>
      </c>
      <c r="DA4" s="27">
        <v>3</v>
      </c>
      <c r="DB4" s="27">
        <v>4</v>
      </c>
      <c r="DC4" s="27">
        <v>5</v>
      </c>
      <c r="DD4" s="27">
        <v>6</v>
      </c>
      <c r="DE4" s="27">
        <v>7</v>
      </c>
      <c r="DF4" s="27">
        <v>1</v>
      </c>
      <c r="DG4" s="27">
        <v>2</v>
      </c>
      <c r="DH4" s="27">
        <v>3</v>
      </c>
      <c r="DI4" s="27">
        <v>4</v>
      </c>
      <c r="DJ4" s="27">
        <v>5</v>
      </c>
      <c r="DK4" s="27">
        <v>6</v>
      </c>
      <c r="DL4" s="27">
        <v>7</v>
      </c>
      <c r="DM4" s="27">
        <v>1</v>
      </c>
      <c r="DN4" s="27">
        <v>2</v>
      </c>
      <c r="DO4" s="27">
        <v>3</v>
      </c>
      <c r="DP4" s="27">
        <v>4</v>
      </c>
      <c r="DQ4" s="27">
        <v>5</v>
      </c>
      <c r="DR4" s="27">
        <v>6</v>
      </c>
      <c r="DS4" s="27">
        <v>7</v>
      </c>
      <c r="DT4" s="27">
        <v>1</v>
      </c>
      <c r="DU4" s="27">
        <v>2</v>
      </c>
      <c r="DV4" s="27">
        <v>3</v>
      </c>
      <c r="DW4" s="27">
        <v>4</v>
      </c>
      <c r="DX4" s="27">
        <v>5</v>
      </c>
      <c r="DY4" s="27">
        <v>6</v>
      </c>
      <c r="DZ4" s="27">
        <v>7</v>
      </c>
      <c r="EA4" s="27">
        <v>1</v>
      </c>
      <c r="EB4" s="27">
        <v>2</v>
      </c>
      <c r="EC4" s="27">
        <v>3</v>
      </c>
      <c r="ED4" s="27">
        <v>4</v>
      </c>
      <c r="EE4" s="27">
        <v>5</v>
      </c>
      <c r="EF4" s="27">
        <v>6</v>
      </c>
      <c r="EG4" s="27">
        <v>7</v>
      </c>
      <c r="EH4" s="27">
        <v>1</v>
      </c>
      <c r="EI4" s="27">
        <v>2</v>
      </c>
      <c r="EJ4" s="27">
        <v>3</v>
      </c>
      <c r="EK4" s="27">
        <v>4</v>
      </c>
      <c r="EL4" s="27">
        <v>5</v>
      </c>
      <c r="EM4" s="27">
        <v>6</v>
      </c>
      <c r="EN4" s="27">
        <v>7</v>
      </c>
      <c r="EO4" s="27">
        <v>1</v>
      </c>
      <c r="EP4" s="27">
        <v>2</v>
      </c>
      <c r="EQ4" s="27">
        <v>3</v>
      </c>
      <c r="ER4" s="27">
        <v>4</v>
      </c>
      <c r="ES4" s="27">
        <v>5</v>
      </c>
      <c r="ET4" s="27">
        <v>6</v>
      </c>
      <c r="EU4" s="27">
        <v>7</v>
      </c>
      <c r="EV4" s="27">
        <v>1</v>
      </c>
      <c r="EW4" s="27">
        <v>2</v>
      </c>
      <c r="EX4" s="27">
        <v>3</v>
      </c>
      <c r="EY4" s="27">
        <v>4</v>
      </c>
      <c r="EZ4" s="27">
        <v>5</v>
      </c>
      <c r="FA4" s="27">
        <v>6</v>
      </c>
      <c r="FB4" s="27">
        <v>7</v>
      </c>
      <c r="FC4" s="27">
        <v>1</v>
      </c>
      <c r="FD4" s="27">
        <v>2</v>
      </c>
      <c r="FE4" s="27">
        <v>3</v>
      </c>
      <c r="FF4" s="27">
        <v>4</v>
      </c>
      <c r="FG4" s="27">
        <v>5</v>
      </c>
      <c r="FH4" s="27">
        <v>6</v>
      </c>
      <c r="FI4" s="27">
        <v>7</v>
      </c>
      <c r="FJ4" s="27">
        <v>1</v>
      </c>
      <c r="FK4" s="27">
        <v>2</v>
      </c>
      <c r="FL4" s="27">
        <v>3</v>
      </c>
      <c r="FM4" s="27">
        <v>4</v>
      </c>
      <c r="FN4" s="27">
        <v>5</v>
      </c>
      <c r="FO4" s="27">
        <v>6</v>
      </c>
      <c r="FP4" s="27">
        <v>7</v>
      </c>
      <c r="FQ4" s="27">
        <v>1</v>
      </c>
      <c r="FR4" s="27">
        <v>2</v>
      </c>
      <c r="FS4" s="27">
        <v>3</v>
      </c>
      <c r="FT4" s="27">
        <v>4</v>
      </c>
      <c r="FU4" s="27">
        <v>5</v>
      </c>
      <c r="FV4" s="27">
        <v>6</v>
      </c>
      <c r="FW4" s="27">
        <v>7</v>
      </c>
      <c r="FX4" s="27">
        <v>1</v>
      </c>
      <c r="FY4" s="27">
        <v>2</v>
      </c>
      <c r="FZ4" s="27">
        <v>3</v>
      </c>
      <c r="GA4" s="27">
        <v>4</v>
      </c>
      <c r="GB4" s="27">
        <v>5</v>
      </c>
      <c r="GC4" s="27">
        <v>6</v>
      </c>
      <c r="GD4" s="27">
        <v>7</v>
      </c>
      <c r="GE4" s="27">
        <v>1</v>
      </c>
      <c r="GF4" s="27">
        <v>2</v>
      </c>
      <c r="GG4" s="27">
        <v>3</v>
      </c>
      <c r="GH4" s="27">
        <v>4</v>
      </c>
      <c r="GI4" s="27">
        <v>5</v>
      </c>
      <c r="GJ4" s="27">
        <v>6</v>
      </c>
      <c r="GK4" s="27">
        <v>7</v>
      </c>
      <c r="GL4" s="27">
        <v>1</v>
      </c>
      <c r="GM4" s="27">
        <v>2</v>
      </c>
      <c r="GN4" s="27">
        <v>3</v>
      </c>
      <c r="GO4" s="27">
        <v>4</v>
      </c>
      <c r="GP4" s="27">
        <v>5</v>
      </c>
      <c r="GQ4" s="27">
        <v>6</v>
      </c>
      <c r="GR4" s="27">
        <v>7</v>
      </c>
      <c r="GS4" s="27">
        <v>1</v>
      </c>
      <c r="GT4" s="27">
        <v>2</v>
      </c>
      <c r="GU4" s="27">
        <v>3</v>
      </c>
      <c r="GV4" s="27">
        <v>4</v>
      </c>
      <c r="GW4" s="27">
        <v>5</v>
      </c>
      <c r="GX4" s="27">
        <v>6</v>
      </c>
      <c r="GY4" s="27">
        <v>7</v>
      </c>
      <c r="GZ4" s="27">
        <v>1</v>
      </c>
      <c r="HA4" s="27">
        <v>2</v>
      </c>
      <c r="HB4" s="27">
        <v>3</v>
      </c>
      <c r="HC4" s="27">
        <v>4</v>
      </c>
      <c r="HD4" s="27">
        <v>5</v>
      </c>
      <c r="HE4" s="27">
        <v>6</v>
      </c>
      <c r="HF4" s="27">
        <v>7</v>
      </c>
      <c r="HG4" s="27">
        <v>1</v>
      </c>
      <c r="HH4" s="27">
        <v>2</v>
      </c>
      <c r="HI4" s="27">
        <v>3</v>
      </c>
      <c r="HJ4" s="27">
        <v>4</v>
      </c>
      <c r="HK4" s="27">
        <v>5</v>
      </c>
      <c r="HL4" s="27">
        <v>6</v>
      </c>
      <c r="HM4" s="27">
        <v>7</v>
      </c>
      <c r="HN4" s="27">
        <v>1</v>
      </c>
      <c r="HO4" s="27">
        <v>2</v>
      </c>
      <c r="HP4" s="27">
        <v>3</v>
      </c>
      <c r="HQ4" s="27">
        <v>4</v>
      </c>
      <c r="HR4" s="27">
        <v>5</v>
      </c>
      <c r="HS4" s="27">
        <v>6</v>
      </c>
      <c r="HT4" s="27">
        <v>7</v>
      </c>
      <c r="HU4" s="27">
        <v>1</v>
      </c>
      <c r="HV4" s="27">
        <v>2</v>
      </c>
      <c r="HW4" s="27">
        <v>3</v>
      </c>
      <c r="HX4" s="27">
        <v>4</v>
      </c>
      <c r="HY4" s="27">
        <v>5</v>
      </c>
      <c r="HZ4" s="27">
        <v>6</v>
      </c>
      <c r="IA4" s="27">
        <v>7</v>
      </c>
      <c r="IB4" s="27">
        <v>1</v>
      </c>
      <c r="IC4" s="27">
        <v>2</v>
      </c>
      <c r="ID4" s="27">
        <v>3</v>
      </c>
      <c r="IE4" s="27">
        <v>4</v>
      </c>
      <c r="IF4" s="27">
        <v>5</v>
      </c>
      <c r="IG4" s="27">
        <v>6</v>
      </c>
      <c r="IH4" s="27">
        <v>7</v>
      </c>
      <c r="II4" s="27">
        <v>1</v>
      </c>
      <c r="IJ4" s="27">
        <v>2</v>
      </c>
      <c r="IK4" s="27">
        <v>3</v>
      </c>
      <c r="IL4" s="27">
        <v>4</v>
      </c>
      <c r="IM4" s="27">
        <v>5</v>
      </c>
      <c r="IN4" s="27">
        <v>6</v>
      </c>
      <c r="IO4" s="27">
        <v>7</v>
      </c>
      <c r="IP4" s="27">
        <v>1</v>
      </c>
      <c r="IQ4" s="27">
        <v>2</v>
      </c>
      <c r="IR4" s="27">
        <v>3</v>
      </c>
      <c r="IS4" s="27">
        <v>4</v>
      </c>
      <c r="IT4" s="27">
        <v>5</v>
      </c>
      <c r="IU4" s="27">
        <v>6</v>
      </c>
      <c r="IV4" s="27">
        <v>7</v>
      </c>
      <c r="IW4" s="27">
        <v>1</v>
      </c>
      <c r="IX4" s="27">
        <v>2</v>
      </c>
      <c r="IY4" s="27">
        <v>3</v>
      </c>
      <c r="IZ4" s="27">
        <v>4</v>
      </c>
      <c r="JA4" s="27">
        <v>5</v>
      </c>
      <c r="JB4" s="27">
        <v>6</v>
      </c>
      <c r="JC4" s="27">
        <v>7</v>
      </c>
      <c r="JD4" s="27">
        <v>1</v>
      </c>
      <c r="JE4" s="27">
        <v>2</v>
      </c>
      <c r="JF4" s="27">
        <v>3</v>
      </c>
      <c r="JG4" s="27">
        <v>4</v>
      </c>
      <c r="JH4" s="27">
        <v>5</v>
      </c>
      <c r="JI4" s="27">
        <v>6</v>
      </c>
      <c r="JJ4" s="27">
        <v>7</v>
      </c>
      <c r="JK4" s="27">
        <v>1</v>
      </c>
      <c r="JL4" s="27">
        <v>2</v>
      </c>
      <c r="JM4" s="27">
        <v>3</v>
      </c>
      <c r="JN4" s="27">
        <v>4</v>
      </c>
      <c r="JO4" s="27">
        <v>5</v>
      </c>
      <c r="JP4" s="27">
        <v>6</v>
      </c>
      <c r="JQ4" s="27">
        <v>7</v>
      </c>
      <c r="JR4" s="27">
        <v>1</v>
      </c>
      <c r="JS4" s="27">
        <v>2</v>
      </c>
      <c r="JT4" s="27">
        <v>3</v>
      </c>
      <c r="JU4" s="27">
        <v>4</v>
      </c>
      <c r="JV4" s="27">
        <v>5</v>
      </c>
      <c r="JW4" s="27">
        <v>6</v>
      </c>
      <c r="JX4" s="27">
        <v>7</v>
      </c>
      <c r="JY4" s="27">
        <v>1</v>
      </c>
      <c r="JZ4" s="27">
        <v>2</v>
      </c>
      <c r="KA4" s="27">
        <v>3</v>
      </c>
      <c r="KB4" s="27">
        <v>4</v>
      </c>
      <c r="KC4" s="27">
        <v>5</v>
      </c>
      <c r="KD4" s="27">
        <v>6</v>
      </c>
      <c r="KE4" s="27">
        <v>7</v>
      </c>
      <c r="KF4" s="27">
        <v>1</v>
      </c>
      <c r="KG4" s="27">
        <v>2</v>
      </c>
      <c r="KH4" s="27">
        <v>3</v>
      </c>
      <c r="KI4" s="27">
        <v>4</v>
      </c>
      <c r="KJ4" s="27">
        <v>5</v>
      </c>
      <c r="KK4" s="27">
        <v>6</v>
      </c>
      <c r="KL4" s="27">
        <v>7</v>
      </c>
      <c r="KM4" s="27">
        <v>1</v>
      </c>
      <c r="KN4" s="27">
        <v>2</v>
      </c>
      <c r="KO4" s="27">
        <v>3</v>
      </c>
      <c r="KP4" s="27">
        <v>4</v>
      </c>
      <c r="KQ4" s="27">
        <v>5</v>
      </c>
      <c r="KR4" s="27">
        <v>6</v>
      </c>
      <c r="KS4" s="27">
        <v>7</v>
      </c>
      <c r="KT4" s="27">
        <v>1</v>
      </c>
      <c r="KU4" s="27">
        <v>2</v>
      </c>
      <c r="KV4" s="27">
        <v>3</v>
      </c>
      <c r="KW4" s="27">
        <v>4</v>
      </c>
      <c r="KX4" s="27">
        <v>5</v>
      </c>
      <c r="KY4" s="27">
        <v>6</v>
      </c>
      <c r="KZ4" s="27">
        <v>7</v>
      </c>
      <c r="LA4" s="27">
        <v>1</v>
      </c>
      <c r="LB4" s="27">
        <v>2</v>
      </c>
      <c r="LC4" s="27">
        <v>3</v>
      </c>
      <c r="LD4" s="27">
        <v>4</v>
      </c>
      <c r="LE4" s="27">
        <v>5</v>
      </c>
      <c r="LF4" s="27">
        <v>6</v>
      </c>
      <c r="LG4" s="27">
        <v>7</v>
      </c>
      <c r="LH4" s="27">
        <v>1</v>
      </c>
      <c r="LI4" s="27">
        <v>2</v>
      </c>
      <c r="LJ4" s="27">
        <v>3</v>
      </c>
      <c r="LK4" s="27">
        <v>4</v>
      </c>
      <c r="LL4" s="27">
        <v>5</v>
      </c>
      <c r="LM4" s="27">
        <v>6</v>
      </c>
      <c r="LN4" s="27">
        <v>7</v>
      </c>
      <c r="LO4" s="27">
        <v>1</v>
      </c>
      <c r="LP4" s="27">
        <v>2</v>
      </c>
      <c r="LQ4" s="27">
        <v>3</v>
      </c>
      <c r="LR4" s="27">
        <v>4</v>
      </c>
      <c r="LS4" s="27">
        <v>5</v>
      </c>
      <c r="LT4" s="27">
        <v>6</v>
      </c>
      <c r="LU4" s="27">
        <v>7</v>
      </c>
      <c r="LV4" s="27">
        <v>1</v>
      </c>
      <c r="LW4" s="27">
        <v>2</v>
      </c>
      <c r="LX4" s="27">
        <v>3</v>
      </c>
      <c r="LY4" s="27">
        <v>4</v>
      </c>
      <c r="LZ4" s="27">
        <v>5</v>
      </c>
      <c r="MA4" s="27">
        <v>6</v>
      </c>
      <c r="MB4" s="27">
        <v>7</v>
      </c>
      <c r="MC4" s="27">
        <v>1</v>
      </c>
      <c r="MD4" s="27">
        <v>2</v>
      </c>
      <c r="ME4" s="27">
        <v>3</v>
      </c>
      <c r="MF4" s="27">
        <v>4</v>
      </c>
      <c r="MG4" s="27">
        <v>5</v>
      </c>
      <c r="MH4" s="27">
        <v>6</v>
      </c>
      <c r="MI4" s="27">
        <v>7</v>
      </c>
      <c r="MJ4" s="27">
        <v>1</v>
      </c>
      <c r="MK4" s="27">
        <v>2</v>
      </c>
      <c r="ML4" s="27">
        <v>3</v>
      </c>
      <c r="MM4" s="27">
        <v>4</v>
      </c>
      <c r="MN4" s="27">
        <v>5</v>
      </c>
      <c r="MO4" s="27">
        <v>6</v>
      </c>
      <c r="MP4" s="27">
        <v>7</v>
      </c>
      <c r="MQ4" s="27">
        <v>1</v>
      </c>
      <c r="MR4" s="27">
        <v>2</v>
      </c>
      <c r="MS4" s="27">
        <v>3</v>
      </c>
      <c r="MT4" s="27">
        <v>4</v>
      </c>
      <c r="MU4" s="27">
        <v>5</v>
      </c>
      <c r="MV4" s="27">
        <v>6</v>
      </c>
      <c r="MW4" s="27">
        <v>7</v>
      </c>
      <c r="MX4" s="27">
        <v>1</v>
      </c>
      <c r="MY4" s="27">
        <v>2</v>
      </c>
      <c r="MZ4" s="27">
        <v>3</v>
      </c>
      <c r="NA4" s="27">
        <v>4</v>
      </c>
      <c r="NB4" s="27">
        <v>5</v>
      </c>
      <c r="NC4" s="27">
        <v>6</v>
      </c>
      <c r="ND4" s="27" t="e">
        <v>#N/A</v>
      </c>
    </row>
    <row r="5" spans="1:368" s="25" customFormat="1" ht="18" hidden="1" thickBot="1">
      <c r="A5" s="3" t="str">
        <v>휴일</v>
      </c>
      <c r="B5" s="25" t="str">
        <v>휴</v>
      </c>
      <c r="C5" s="25" t="str">
        <v/>
      </c>
      <c r="D5" s="25" t="str">
        <v>휴</v>
      </c>
      <c r="E5" s="25" t="str">
        <v>휴</v>
      </c>
      <c r="F5" s="25" t="str">
        <v/>
      </c>
      <c r="G5" s="25" t="str">
        <v/>
      </c>
      <c r="H5" s="25" t="str">
        <v/>
      </c>
      <c r="I5" s="25" t="str">
        <v/>
      </c>
      <c r="J5" s="25" t="str">
        <v/>
      </c>
      <c r="K5" s="25" t="str">
        <v>휴</v>
      </c>
      <c r="L5" s="25" t="str">
        <v>휴</v>
      </c>
      <c r="M5" s="25" t="str">
        <v/>
      </c>
      <c r="N5" s="25" t="str">
        <v/>
      </c>
      <c r="O5" s="25" t="str">
        <v/>
      </c>
      <c r="P5" s="25" t="str">
        <v/>
      </c>
      <c r="Q5" s="25" t="str">
        <v/>
      </c>
      <c r="R5" s="25" t="str">
        <v>휴</v>
      </c>
      <c r="S5" s="25" t="str">
        <v>휴</v>
      </c>
      <c r="T5" s="25" t="str">
        <v/>
      </c>
      <c r="U5" s="25" t="str">
        <v/>
      </c>
      <c r="V5" s="25" t="str">
        <v/>
      </c>
      <c r="W5" s="25" t="str">
        <v/>
      </c>
      <c r="X5" s="25" t="str">
        <v/>
      </c>
      <c r="Y5" s="25" t="str">
        <v>휴</v>
      </c>
      <c r="Z5" s="25" t="str">
        <v>휴</v>
      </c>
      <c r="AA5" s="25" t="str">
        <v/>
      </c>
      <c r="AB5" s="25" t="str">
        <v/>
      </c>
      <c r="AC5" s="25" t="str">
        <v/>
      </c>
      <c r="AD5" s="25" t="str">
        <v/>
      </c>
      <c r="AE5" s="25" t="str">
        <v/>
      </c>
      <c r="AF5" s="25" t="str">
        <v>휴</v>
      </c>
      <c r="AG5" s="25" t="str">
        <v>휴</v>
      </c>
      <c r="AH5" s="25" t="str">
        <v/>
      </c>
      <c r="AI5" s="25" t="str">
        <v/>
      </c>
      <c r="AJ5" s="25" t="str">
        <v/>
      </c>
      <c r="AK5" s="25" t="str">
        <v/>
      </c>
      <c r="AL5" s="25" t="str">
        <v/>
      </c>
      <c r="AM5" s="25" t="str">
        <v>휴</v>
      </c>
      <c r="AN5" s="25" t="str">
        <v>휴</v>
      </c>
      <c r="AO5" s="25" t="str">
        <v/>
      </c>
      <c r="AP5" s="25" t="str">
        <v/>
      </c>
      <c r="AQ5" s="25" t="str">
        <v/>
      </c>
      <c r="AR5" s="25" t="str">
        <v/>
      </c>
      <c r="AS5" s="25" t="str">
        <v/>
      </c>
      <c r="AT5" s="25" t="str">
        <v>휴</v>
      </c>
      <c r="AU5" s="25" t="str">
        <v>휴</v>
      </c>
      <c r="AV5" s="25" t="str">
        <v>휴</v>
      </c>
      <c r="AW5" s="25" t="str">
        <v>휴</v>
      </c>
      <c r="AX5" s="25" t="str">
        <v>휴</v>
      </c>
      <c r="AY5" s="25" t="str">
        <v/>
      </c>
      <c r="AZ5" s="25" t="str">
        <v/>
      </c>
      <c r="BA5" s="25" t="str">
        <v>휴</v>
      </c>
      <c r="BB5" s="25" t="str">
        <v>휴</v>
      </c>
      <c r="BC5" s="25" t="str">
        <v/>
      </c>
      <c r="BD5" s="25" t="str">
        <v/>
      </c>
      <c r="BE5" s="25" t="str">
        <v/>
      </c>
      <c r="BF5" s="25" t="str">
        <v/>
      </c>
      <c r="BG5" s="25" t="str">
        <v/>
      </c>
      <c r="BH5" s="25" t="str">
        <v>휴</v>
      </c>
      <c r="BI5" s="25" t="str">
        <v>휴</v>
      </c>
      <c r="BJ5" s="25" t="str">
        <v>휴</v>
      </c>
      <c r="BK5" s="25" t="str">
        <v/>
      </c>
      <c r="BL5" s="25" t="str">
        <v/>
      </c>
      <c r="BM5" s="25" t="str">
        <v/>
      </c>
      <c r="BN5" s="25" t="str">
        <v/>
      </c>
      <c r="BO5" s="25" t="str">
        <v>휴</v>
      </c>
      <c r="BP5" s="25" t="str">
        <v>휴</v>
      </c>
      <c r="BQ5" s="25" t="str">
        <v/>
      </c>
      <c r="BR5" s="25" t="str">
        <v/>
      </c>
      <c r="BS5" s="25" t="str">
        <v/>
      </c>
      <c r="BT5" s="25" t="str">
        <v/>
      </c>
      <c r="BU5" s="25" t="str">
        <v/>
      </c>
      <c r="BV5" s="25" t="str">
        <v>휴</v>
      </c>
      <c r="BW5" s="25" t="str">
        <v>휴</v>
      </c>
      <c r="BX5" s="25" t="str">
        <v/>
      </c>
      <c r="BY5" s="25" t="str">
        <v/>
      </c>
      <c r="BZ5" s="25" t="str">
        <v/>
      </c>
      <c r="CA5" s="25" t="str">
        <v/>
      </c>
      <c r="CB5" s="25" t="str">
        <v/>
      </c>
      <c r="CC5" s="25" t="str">
        <v>휴</v>
      </c>
      <c r="CD5" s="25" t="str">
        <v>휴</v>
      </c>
      <c r="CE5" s="25" t="str">
        <v/>
      </c>
      <c r="CF5" s="25" t="str">
        <v/>
      </c>
      <c r="CG5" s="25" t="str">
        <v/>
      </c>
      <c r="CH5" s="25" t="str">
        <v/>
      </c>
      <c r="CI5" s="25" t="str">
        <v/>
      </c>
      <c r="CJ5" s="25" t="str">
        <v>휴</v>
      </c>
      <c r="CK5" s="25" t="str">
        <v>휴</v>
      </c>
      <c r="CL5" s="25" t="str">
        <v/>
      </c>
      <c r="CM5" s="25" t="str">
        <v/>
      </c>
      <c r="CN5" s="25" t="str">
        <v/>
      </c>
      <c r="CO5" s="25" t="str">
        <v/>
      </c>
      <c r="CP5" s="25" t="str">
        <v/>
      </c>
      <c r="CQ5" s="25" t="str">
        <v>휴</v>
      </c>
      <c r="CR5" s="25" t="str">
        <v>휴</v>
      </c>
      <c r="CS5" s="25" t="str">
        <v/>
      </c>
      <c r="CT5" s="25" t="str">
        <v/>
      </c>
      <c r="CU5" s="25" t="str">
        <v/>
      </c>
      <c r="CV5" s="25" t="str">
        <v/>
      </c>
      <c r="CW5" s="25" t="str">
        <v/>
      </c>
      <c r="CX5" s="25" t="str">
        <v>휴</v>
      </c>
      <c r="CY5" s="25" t="str">
        <v>휴</v>
      </c>
      <c r="CZ5" s="25" t="str">
        <v/>
      </c>
      <c r="DA5" s="25" t="str">
        <v/>
      </c>
      <c r="DB5" s="25" t="str">
        <v/>
      </c>
      <c r="DC5" s="25" t="str">
        <v/>
      </c>
      <c r="DD5" s="25" t="str">
        <v/>
      </c>
      <c r="DE5" s="25" t="str">
        <v>휴</v>
      </c>
      <c r="DF5" s="25" t="str">
        <v>휴</v>
      </c>
      <c r="DG5" s="25" t="str">
        <v/>
      </c>
      <c r="DH5" s="25" t="str">
        <v/>
      </c>
      <c r="DI5" s="25" t="str">
        <v/>
      </c>
      <c r="DJ5" s="25" t="str">
        <v/>
      </c>
      <c r="DK5" s="25" t="str">
        <v/>
      </c>
      <c r="DL5" s="25" t="str">
        <v>휴</v>
      </c>
      <c r="DM5" s="25" t="str">
        <v>휴</v>
      </c>
      <c r="DN5" s="25" t="str">
        <v/>
      </c>
      <c r="DO5" s="25" t="str">
        <v/>
      </c>
      <c r="DP5" s="25" t="str">
        <v/>
      </c>
      <c r="DQ5" s="25" t="str">
        <v/>
      </c>
      <c r="DR5" s="25" t="str">
        <v>휴</v>
      </c>
      <c r="DS5" s="25" t="str">
        <v>휴</v>
      </c>
      <c r="DT5" s="25" t="str">
        <v>휴</v>
      </c>
      <c r="DU5" s="25" t="str">
        <v/>
      </c>
      <c r="DV5" s="25" t="str">
        <v>휴</v>
      </c>
      <c r="DW5" s="25" t="str">
        <v/>
      </c>
      <c r="DX5" s="25" t="str">
        <v/>
      </c>
      <c r="DY5" s="25" t="str">
        <v/>
      </c>
      <c r="DZ5" s="25" t="str">
        <v>휴</v>
      </c>
      <c r="EA5" s="25" t="str">
        <v>휴</v>
      </c>
      <c r="EB5" s="25" t="str">
        <v/>
      </c>
      <c r="EC5" s="25" t="str">
        <v/>
      </c>
      <c r="ED5" s="25" t="str">
        <v/>
      </c>
      <c r="EE5" s="25" t="str">
        <v/>
      </c>
      <c r="EF5" s="25" t="str">
        <v/>
      </c>
      <c r="EG5" s="25" t="str">
        <v>휴</v>
      </c>
      <c r="EH5" s="25" t="str">
        <v>휴</v>
      </c>
      <c r="EI5" s="25" t="str">
        <v/>
      </c>
      <c r="EJ5" s="25" t="str">
        <v/>
      </c>
      <c r="EK5" s="25" t="str">
        <v/>
      </c>
      <c r="EL5" s="25" t="str">
        <v/>
      </c>
      <c r="EM5" s="25" t="str">
        <v/>
      </c>
      <c r="EN5" s="25" t="str">
        <v>휴</v>
      </c>
      <c r="EO5" s="25" t="str">
        <v>휴</v>
      </c>
      <c r="EP5" s="25" t="str">
        <v>휴</v>
      </c>
      <c r="EQ5" s="25" t="str">
        <v/>
      </c>
      <c r="ER5" s="25" t="str">
        <v/>
      </c>
      <c r="ES5" s="25" t="str">
        <v/>
      </c>
      <c r="ET5" s="25" t="str">
        <v/>
      </c>
      <c r="EU5" s="25" t="str">
        <v>휴</v>
      </c>
      <c r="EV5" s="25" t="str">
        <v>휴</v>
      </c>
      <c r="EW5" s="25" t="str">
        <v/>
      </c>
      <c r="EX5" s="25" t="str">
        <v/>
      </c>
      <c r="EY5" s="25" t="str">
        <v>휴</v>
      </c>
      <c r="EZ5" s="25" t="str">
        <v/>
      </c>
      <c r="FA5" s="25" t="str">
        <v/>
      </c>
      <c r="FB5" s="25" t="str">
        <v>휴</v>
      </c>
      <c r="FC5" s="25" t="str">
        <v>휴</v>
      </c>
      <c r="FD5" s="25" t="str">
        <v/>
      </c>
      <c r="FE5" s="25" t="str">
        <v/>
      </c>
      <c r="FF5" s="25" t="str">
        <v/>
      </c>
      <c r="FG5" s="25" t="str">
        <v/>
      </c>
      <c r="FH5" s="25" t="str">
        <v/>
      </c>
      <c r="FI5" s="25" t="str">
        <v>휴</v>
      </c>
      <c r="FJ5" s="25" t="str">
        <v>휴</v>
      </c>
      <c r="FK5" s="25" t="str">
        <v/>
      </c>
      <c r="FL5" s="25" t="str">
        <v/>
      </c>
      <c r="FM5" s="25" t="str">
        <v/>
      </c>
      <c r="FN5" s="25" t="str">
        <v/>
      </c>
      <c r="FO5" s="25" t="str">
        <v/>
      </c>
      <c r="FP5" s="25" t="str">
        <v>휴</v>
      </c>
      <c r="FQ5" s="25" t="str">
        <v>휴</v>
      </c>
      <c r="FR5" s="25" t="str">
        <v/>
      </c>
      <c r="FS5" s="25" t="str">
        <v/>
      </c>
      <c r="FT5" s="25" t="str">
        <v/>
      </c>
      <c r="FU5" s="25" t="str">
        <v/>
      </c>
      <c r="FV5" s="25" t="str">
        <v/>
      </c>
      <c r="FW5" s="25" t="str">
        <v>휴</v>
      </c>
      <c r="FX5" s="25" t="str">
        <v>휴</v>
      </c>
      <c r="FY5" s="25" t="str">
        <v/>
      </c>
      <c r="FZ5" s="25" t="str">
        <v/>
      </c>
      <c r="GA5" s="25" t="str">
        <v/>
      </c>
      <c r="GB5" s="25" t="str">
        <v/>
      </c>
      <c r="GC5" s="25" t="str">
        <v/>
      </c>
      <c r="GD5" s="25" t="str">
        <v>휴</v>
      </c>
      <c r="GE5" s="25" t="str">
        <v>휴</v>
      </c>
      <c r="GF5" s="25" t="str">
        <v/>
      </c>
      <c r="GG5" s="25" t="str">
        <v/>
      </c>
      <c r="GH5" s="25" t="str">
        <v/>
      </c>
      <c r="GI5" s="25" t="str">
        <v/>
      </c>
      <c r="GJ5" s="25" t="str">
        <v/>
      </c>
      <c r="GK5" s="25" t="str">
        <v>휴</v>
      </c>
      <c r="GL5" s="25" t="str">
        <v>휴</v>
      </c>
      <c r="GM5" s="25" t="str">
        <v/>
      </c>
      <c r="GN5" s="25" t="str">
        <v/>
      </c>
      <c r="GO5" s="25" t="str">
        <v/>
      </c>
      <c r="GP5" s="25" t="str">
        <v/>
      </c>
      <c r="GQ5" s="25" t="str">
        <v>휴</v>
      </c>
      <c r="GR5" s="25" t="str">
        <v>휴</v>
      </c>
      <c r="GS5" s="25" t="str">
        <v>휴</v>
      </c>
      <c r="GT5" s="25" t="str">
        <v/>
      </c>
      <c r="GU5" s="25" t="str">
        <v/>
      </c>
      <c r="GV5" s="25" t="str">
        <v/>
      </c>
      <c r="GW5" s="25" t="str">
        <v/>
      </c>
      <c r="GX5" s="25" t="str">
        <v/>
      </c>
      <c r="GY5" s="25" t="str">
        <v>휴</v>
      </c>
      <c r="GZ5" s="25" t="str">
        <v>휴</v>
      </c>
      <c r="HA5" s="25" t="str">
        <v/>
      </c>
      <c r="HB5" s="25" t="str">
        <v/>
      </c>
      <c r="HC5" s="25" t="str">
        <v/>
      </c>
      <c r="HD5" s="25" t="str">
        <v/>
      </c>
      <c r="HE5" s="25" t="str">
        <v/>
      </c>
      <c r="HF5" s="25" t="str">
        <v>휴</v>
      </c>
      <c r="HG5" s="25" t="str">
        <v>휴</v>
      </c>
      <c r="HH5" s="25" t="str">
        <v/>
      </c>
      <c r="HI5" s="25" t="str">
        <v/>
      </c>
      <c r="HJ5" s="25" t="str">
        <v/>
      </c>
      <c r="HK5" s="25" t="str">
        <v/>
      </c>
      <c r="HL5" s="25" t="str">
        <v/>
      </c>
      <c r="HM5" s="25" t="str">
        <v>휴</v>
      </c>
      <c r="HN5" s="25" t="str">
        <v>휴</v>
      </c>
      <c r="HO5" s="25" t="str">
        <v/>
      </c>
      <c r="HP5" s="25" t="str">
        <v/>
      </c>
      <c r="HQ5" s="25" t="str">
        <v/>
      </c>
      <c r="HR5" s="25" t="str">
        <v/>
      </c>
      <c r="HS5" s="25" t="str">
        <v/>
      </c>
      <c r="HT5" s="25" t="str">
        <v>휴</v>
      </c>
      <c r="HU5" s="25" t="str">
        <v>휴</v>
      </c>
      <c r="HV5" s="25" t="str">
        <v>휴</v>
      </c>
      <c r="HW5" s="25" t="str">
        <v/>
      </c>
      <c r="HX5" s="25" t="str">
        <v/>
      </c>
      <c r="HY5" s="25" t="str">
        <v/>
      </c>
      <c r="HZ5" s="25" t="str">
        <v/>
      </c>
      <c r="IA5" s="25" t="str">
        <v>휴</v>
      </c>
      <c r="IB5" s="25" t="str">
        <v>휴</v>
      </c>
      <c r="IC5" s="25" t="str">
        <v/>
      </c>
      <c r="ID5" s="25" t="str">
        <v/>
      </c>
      <c r="IE5" s="25" t="str">
        <v/>
      </c>
      <c r="IF5" s="25" t="str">
        <v/>
      </c>
      <c r="IG5" s="25" t="str">
        <v/>
      </c>
      <c r="IH5" s="25" t="str">
        <v>휴</v>
      </c>
      <c r="II5" s="25" t="str">
        <v>휴</v>
      </c>
      <c r="IJ5" s="25" t="str">
        <v/>
      </c>
      <c r="IK5" s="25" t="str">
        <v/>
      </c>
      <c r="IL5" s="25" t="str">
        <v/>
      </c>
      <c r="IM5" s="25" t="str">
        <v/>
      </c>
      <c r="IN5" s="25" t="str">
        <v/>
      </c>
      <c r="IO5" s="25" t="str">
        <v>휴</v>
      </c>
      <c r="IP5" s="25" t="str">
        <v>휴</v>
      </c>
      <c r="IQ5" s="25" t="str">
        <v/>
      </c>
      <c r="IR5" s="25" t="str">
        <v/>
      </c>
      <c r="IS5" s="25" t="str">
        <v/>
      </c>
      <c r="IT5" s="25" t="str">
        <v/>
      </c>
      <c r="IU5" s="25" t="str">
        <v/>
      </c>
      <c r="IV5" s="25" t="str">
        <v>휴</v>
      </c>
      <c r="IW5" s="25" t="str">
        <v>휴</v>
      </c>
      <c r="IX5" s="25" t="str">
        <v/>
      </c>
      <c r="IY5" s="25" t="str">
        <v/>
      </c>
      <c r="IZ5" s="25" t="str">
        <v/>
      </c>
      <c r="JA5" s="25" t="str">
        <v/>
      </c>
      <c r="JB5" s="25" t="str">
        <v/>
      </c>
      <c r="JC5" s="25" t="str">
        <v>휴</v>
      </c>
      <c r="JD5" s="25" t="str">
        <v>휴</v>
      </c>
      <c r="JE5" s="25" t="str">
        <v/>
      </c>
      <c r="JF5" s="25" t="str">
        <v/>
      </c>
      <c r="JG5" s="25" t="str">
        <v/>
      </c>
      <c r="JH5" s="25" t="str">
        <v>휴</v>
      </c>
      <c r="JI5" s="25" t="str">
        <v>휴</v>
      </c>
      <c r="JJ5" s="25" t="str">
        <v>휴</v>
      </c>
      <c r="JK5" s="25" t="str">
        <v>휴</v>
      </c>
      <c r="JL5" s="25" t="str">
        <v/>
      </c>
      <c r="JM5" s="25" t="str">
        <v/>
      </c>
      <c r="JN5" s="25" t="str">
        <v/>
      </c>
      <c r="JO5" s="25" t="str">
        <v/>
      </c>
      <c r="JP5" s="25" t="str">
        <v/>
      </c>
      <c r="JQ5" s="25" t="str">
        <v>휴</v>
      </c>
      <c r="JR5" s="25" t="str">
        <v>휴</v>
      </c>
      <c r="JS5" s="25" t="str">
        <v>휴</v>
      </c>
      <c r="JT5" s="25" t="str">
        <v/>
      </c>
      <c r="JU5" s="25" t="str">
        <v/>
      </c>
      <c r="JV5" s="25" t="str">
        <v/>
      </c>
      <c r="JW5" s="25" t="str">
        <v>휴</v>
      </c>
      <c r="JX5" s="25" t="str">
        <v>휴</v>
      </c>
      <c r="JY5" s="25" t="str">
        <v>휴</v>
      </c>
      <c r="JZ5" s="25" t="str">
        <v/>
      </c>
      <c r="KA5" s="25" t="str">
        <v/>
      </c>
      <c r="KB5" s="25" t="str">
        <v/>
      </c>
      <c r="KC5" s="25" t="str">
        <v/>
      </c>
      <c r="KD5" s="25" t="str">
        <v/>
      </c>
      <c r="KE5" s="25" t="str">
        <v>휴</v>
      </c>
      <c r="KF5" s="25" t="str">
        <v>휴</v>
      </c>
      <c r="KG5" s="25" t="str">
        <v/>
      </c>
      <c r="KH5" s="25" t="str">
        <v/>
      </c>
      <c r="KI5" s="25" t="str">
        <v/>
      </c>
      <c r="KJ5" s="25" t="str">
        <v/>
      </c>
      <c r="KK5" s="25" t="str">
        <v/>
      </c>
      <c r="KL5" s="25" t="str">
        <v>휴</v>
      </c>
      <c r="KM5" s="25" t="str">
        <v>휴</v>
      </c>
      <c r="KN5" s="25" t="str">
        <v/>
      </c>
      <c r="KO5" s="25" t="str">
        <v/>
      </c>
      <c r="KP5" s="25" t="str">
        <v/>
      </c>
      <c r="KQ5" s="25" t="str">
        <v/>
      </c>
      <c r="KR5" s="25" t="str">
        <v/>
      </c>
      <c r="KS5" s="25" t="str">
        <v>휴</v>
      </c>
      <c r="KT5" s="25" t="str">
        <v>휴</v>
      </c>
      <c r="KU5" s="25" t="str">
        <v/>
      </c>
      <c r="KV5" s="25" t="str">
        <v/>
      </c>
      <c r="KW5" s="25" t="str">
        <v/>
      </c>
      <c r="KX5" s="25" t="str">
        <v/>
      </c>
      <c r="KY5" s="25" t="str">
        <v/>
      </c>
      <c r="KZ5" s="25" t="str">
        <v>휴</v>
      </c>
      <c r="LA5" s="25" t="str">
        <v>휴</v>
      </c>
      <c r="LB5" s="25" t="str">
        <v/>
      </c>
      <c r="LC5" s="25" t="str">
        <v/>
      </c>
      <c r="LD5" s="25" t="str">
        <v/>
      </c>
      <c r="LE5" s="25" t="str">
        <v/>
      </c>
      <c r="LF5" s="25" t="str">
        <v/>
      </c>
      <c r="LG5" s="25" t="str">
        <v>휴</v>
      </c>
      <c r="LH5" s="25" t="str">
        <v>휴</v>
      </c>
      <c r="LI5" s="25" t="str">
        <v/>
      </c>
      <c r="LJ5" s="25" t="str">
        <v/>
      </c>
      <c r="LK5" s="25" t="str">
        <v/>
      </c>
      <c r="LL5" s="25" t="str">
        <v/>
      </c>
      <c r="LM5" s="25" t="str">
        <v/>
      </c>
      <c r="LN5" s="25" t="str">
        <v>휴</v>
      </c>
      <c r="LO5" s="25" t="str">
        <v>휴</v>
      </c>
      <c r="LP5" s="25" t="str">
        <v/>
      </c>
      <c r="LQ5" s="25" t="str">
        <v/>
      </c>
      <c r="LR5" s="25" t="str">
        <v/>
      </c>
      <c r="LS5" s="25" t="str">
        <v/>
      </c>
      <c r="LT5" s="25" t="str">
        <v/>
      </c>
      <c r="LU5" s="25" t="str">
        <v>휴</v>
      </c>
      <c r="LV5" s="25" t="str">
        <v>휴</v>
      </c>
      <c r="LW5" s="25" t="str">
        <v/>
      </c>
      <c r="LX5" s="25" t="str">
        <v/>
      </c>
      <c r="LY5" s="25" t="str">
        <v/>
      </c>
      <c r="LZ5" s="25" t="str">
        <v/>
      </c>
      <c r="MA5" s="25" t="str">
        <v/>
      </c>
      <c r="MB5" s="25" t="str">
        <v>휴</v>
      </c>
      <c r="MC5" s="25" t="str">
        <v>휴</v>
      </c>
      <c r="MD5" s="25" t="str">
        <v/>
      </c>
      <c r="ME5" s="25" t="str">
        <v/>
      </c>
      <c r="MF5" s="25" t="str">
        <v/>
      </c>
      <c r="MG5" s="25" t="str">
        <v/>
      </c>
      <c r="MH5" s="25" t="str">
        <v/>
      </c>
      <c r="MI5" s="25" t="str">
        <v>휴</v>
      </c>
      <c r="MJ5" s="25" t="str">
        <v>휴</v>
      </c>
      <c r="MK5" s="25" t="str">
        <v/>
      </c>
      <c r="ML5" s="25" t="str">
        <v/>
      </c>
      <c r="MM5" s="25" t="str">
        <v/>
      </c>
      <c r="MN5" s="25" t="str">
        <v/>
      </c>
      <c r="MO5" s="25" t="str">
        <v/>
      </c>
      <c r="MP5" s="25" t="str">
        <v>휴</v>
      </c>
      <c r="MQ5" s="25" t="str">
        <v>휴</v>
      </c>
      <c r="MR5" s="25" t="str">
        <v/>
      </c>
      <c r="MS5" s="25" t="str">
        <v/>
      </c>
      <c r="MT5" s="25" t="str">
        <v/>
      </c>
      <c r="MU5" s="25" t="str">
        <v/>
      </c>
      <c r="MV5" s="25" t="str">
        <v>휴</v>
      </c>
      <c r="MW5" s="25" t="str">
        <v>휴</v>
      </c>
      <c r="MX5" s="25" t="str">
        <v>휴</v>
      </c>
      <c r="MY5" s="25" t="str">
        <v/>
      </c>
      <c r="MZ5" s="25" t="str">
        <v/>
      </c>
      <c r="NA5" s="25" t="str">
        <v/>
      </c>
      <c r="NB5" s="25" t="str">
        <v/>
      </c>
      <c r="NC5" s="25" t="str">
        <v/>
      </c>
      <c r="ND5" s="25" t="e">
        <v>#N/A</v>
      </c>
    </row>
    <row r="6" spans="1:368" s="29" customFormat="1" ht="18" thickBot="1">
      <c r="A6" s="23" t="str">
        <v>공휴일</v>
      </c>
      <c r="B6" s="29" t="str">
        <v>신정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U6" s="29">
        <v>0</v>
      </c>
      <c r="AV6" s="29" t="str">
        <v>설휴무</v>
      </c>
      <c r="AW6" s="29" t="str">
        <v>설날</v>
      </c>
      <c r="AX6" s="29" t="str">
        <v>설휴무</v>
      </c>
      <c r="AY6" s="29">
        <v>0</v>
      </c>
      <c r="AZ6" s="29">
        <v>0</v>
      </c>
      <c r="BA6" s="29">
        <v>0</v>
      </c>
      <c r="BB6" s="29">
        <v>0</v>
      </c>
      <c r="BC6" s="29">
        <v>0</v>
      </c>
      <c r="BD6" s="29">
        <v>0</v>
      </c>
      <c r="BE6" s="29">
        <v>0</v>
      </c>
      <c r="BF6" s="29">
        <v>0</v>
      </c>
      <c r="BG6" s="29">
        <v>0</v>
      </c>
      <c r="BH6" s="29">
        <v>0</v>
      </c>
      <c r="BI6" s="29">
        <v>0</v>
      </c>
      <c r="BJ6" s="29" t="str">
        <v>삼일절(대체)</v>
      </c>
      <c r="BK6" s="29">
        <v>0</v>
      </c>
      <c r="BL6" s="29">
        <v>0</v>
      </c>
      <c r="BM6" s="29">
        <v>0</v>
      </c>
      <c r="BN6" s="29">
        <v>0</v>
      </c>
      <c r="BO6" s="29">
        <v>0</v>
      </c>
      <c r="BP6" s="29">
        <v>0</v>
      </c>
      <c r="BQ6" s="29">
        <v>0</v>
      </c>
      <c r="BR6" s="29">
        <v>0</v>
      </c>
      <c r="BS6" s="29">
        <v>0</v>
      </c>
      <c r="BT6" s="29">
        <v>0</v>
      </c>
      <c r="BU6" s="29">
        <v>0</v>
      </c>
      <c r="BV6" s="29">
        <v>0</v>
      </c>
      <c r="BW6" s="29">
        <v>0</v>
      </c>
      <c r="BX6" s="29">
        <v>0</v>
      </c>
      <c r="BY6" s="29">
        <v>0</v>
      </c>
      <c r="BZ6" s="29">
        <v>0</v>
      </c>
      <c r="CA6" s="29">
        <v>0</v>
      </c>
      <c r="CB6" s="29">
        <v>0</v>
      </c>
      <c r="CC6" s="29">
        <v>0</v>
      </c>
      <c r="CD6" s="29">
        <v>0</v>
      </c>
      <c r="CE6" s="29">
        <v>0</v>
      </c>
      <c r="CF6" s="29">
        <v>0</v>
      </c>
      <c r="CG6" s="29">
        <v>0</v>
      </c>
      <c r="CH6" s="29">
        <v>0</v>
      </c>
      <c r="CI6" s="29">
        <v>0</v>
      </c>
      <c r="CJ6" s="29">
        <v>0</v>
      </c>
      <c r="CK6" s="29">
        <v>0</v>
      </c>
      <c r="CL6" s="29">
        <v>0</v>
      </c>
      <c r="CM6" s="29">
        <v>0</v>
      </c>
      <c r="CN6" s="29">
        <v>0</v>
      </c>
      <c r="CO6" s="29">
        <v>0</v>
      </c>
      <c r="CP6" s="29">
        <v>0</v>
      </c>
      <c r="CQ6" s="29">
        <v>0</v>
      </c>
      <c r="CR6" s="29">
        <v>0</v>
      </c>
      <c r="CS6" s="29">
        <v>0</v>
      </c>
      <c r="CT6" s="29">
        <v>0</v>
      </c>
      <c r="CU6" s="29">
        <v>0</v>
      </c>
      <c r="CV6" s="29">
        <v>0</v>
      </c>
      <c r="CW6" s="29">
        <v>0</v>
      </c>
      <c r="CX6" s="29">
        <v>0</v>
      </c>
      <c r="CY6" s="29">
        <v>0</v>
      </c>
      <c r="CZ6" s="29">
        <v>0</v>
      </c>
      <c r="DA6" s="29">
        <v>0</v>
      </c>
      <c r="DB6" s="29">
        <v>0</v>
      </c>
      <c r="DC6" s="29">
        <v>0</v>
      </c>
      <c r="DD6" s="29">
        <v>0</v>
      </c>
      <c r="DE6" s="29">
        <v>0</v>
      </c>
      <c r="DF6" s="29">
        <v>0</v>
      </c>
      <c r="DG6" s="29">
        <v>0</v>
      </c>
      <c r="DH6" s="29">
        <v>0</v>
      </c>
      <c r="DI6" s="29">
        <v>0</v>
      </c>
      <c r="DJ6" s="29">
        <v>0</v>
      </c>
      <c r="DK6" s="29">
        <v>0</v>
      </c>
      <c r="DL6" s="29">
        <v>0</v>
      </c>
      <c r="DM6" s="29">
        <v>0</v>
      </c>
      <c r="DN6" s="29">
        <v>0</v>
      </c>
      <c r="DO6" s="29">
        <v>0</v>
      </c>
      <c r="DP6" s="29">
        <v>0</v>
      </c>
      <c r="DQ6" s="29">
        <v>0</v>
      </c>
      <c r="DR6" s="29" t="str">
        <v>노동절</v>
      </c>
      <c r="DS6" s="29">
        <v>0</v>
      </c>
      <c r="DT6" s="29">
        <v>0</v>
      </c>
      <c r="DU6" s="29">
        <v>0</v>
      </c>
      <c r="DV6" s="29" t="str">
        <v>어린이날</v>
      </c>
      <c r="DW6" s="29">
        <v>0</v>
      </c>
      <c r="DX6" s="29">
        <v>0</v>
      </c>
      <c r="DY6" s="29">
        <v>0</v>
      </c>
      <c r="DZ6" s="29">
        <v>0</v>
      </c>
      <c r="EA6" s="29">
        <v>0</v>
      </c>
      <c r="EB6" s="29">
        <v>0</v>
      </c>
      <c r="EC6" s="29">
        <v>0</v>
      </c>
      <c r="ED6" s="29">
        <v>0</v>
      </c>
      <c r="EE6" s="29">
        <v>0</v>
      </c>
      <c r="EF6" s="29">
        <v>0</v>
      </c>
      <c r="EG6" s="29">
        <v>0</v>
      </c>
      <c r="EH6" s="29">
        <v>0</v>
      </c>
      <c r="EI6" s="29">
        <v>0</v>
      </c>
      <c r="EJ6" s="29">
        <v>0</v>
      </c>
      <c r="EK6" s="29">
        <v>0</v>
      </c>
      <c r="EL6" s="29">
        <v>0</v>
      </c>
      <c r="EM6" s="29">
        <v>0</v>
      </c>
      <c r="EN6" s="29">
        <v>0</v>
      </c>
      <c r="EO6" s="29">
        <v>0</v>
      </c>
      <c r="EP6" s="29" t="str">
        <v>부처님오신날(대체)</v>
      </c>
      <c r="EQ6" s="29">
        <v>0</v>
      </c>
      <c r="ER6" s="29">
        <v>0</v>
      </c>
      <c r="ES6" s="29">
        <v>0</v>
      </c>
      <c r="ET6" s="29">
        <v>0</v>
      </c>
      <c r="EU6" s="29">
        <v>0</v>
      </c>
      <c r="EV6" s="29">
        <v>0</v>
      </c>
      <c r="EW6" s="29">
        <v>0</v>
      </c>
      <c r="EX6" s="29">
        <v>0</v>
      </c>
      <c r="EY6" s="29" t="str">
        <v>지방선거</v>
      </c>
      <c r="EZ6" s="29">
        <v>0</v>
      </c>
      <c r="FA6" s="29">
        <v>0</v>
      </c>
      <c r="FB6" s="29" t="str">
        <v>현충일</v>
      </c>
      <c r="FC6" s="29">
        <v>0</v>
      </c>
      <c r="FD6" s="29">
        <v>0</v>
      </c>
      <c r="FE6" s="29">
        <v>0</v>
      </c>
      <c r="FF6" s="29">
        <v>0</v>
      </c>
      <c r="FG6" s="29">
        <v>0</v>
      </c>
      <c r="FH6" s="29">
        <v>0</v>
      </c>
      <c r="FI6" s="29">
        <v>0</v>
      </c>
      <c r="FJ6" s="29">
        <v>0</v>
      </c>
      <c r="FK6" s="29">
        <v>0</v>
      </c>
      <c r="FL6" s="29">
        <v>0</v>
      </c>
      <c r="FM6" s="29">
        <v>0</v>
      </c>
      <c r="FN6" s="29">
        <v>0</v>
      </c>
      <c r="FO6" s="29">
        <v>0</v>
      </c>
      <c r="FP6" s="29">
        <v>0</v>
      </c>
      <c r="FQ6" s="29">
        <v>0</v>
      </c>
      <c r="FR6" s="29">
        <v>0</v>
      </c>
      <c r="FS6" s="29">
        <v>0</v>
      </c>
      <c r="FT6" s="29">
        <v>0</v>
      </c>
      <c r="FU6" s="29">
        <v>0</v>
      </c>
      <c r="FV6" s="29">
        <v>0</v>
      </c>
      <c r="FW6" s="29">
        <v>0</v>
      </c>
      <c r="FX6" s="29">
        <v>0</v>
      </c>
      <c r="FY6" s="29">
        <v>0</v>
      </c>
      <c r="FZ6" s="29">
        <v>0</v>
      </c>
      <c r="GA6" s="29">
        <v>0</v>
      </c>
      <c r="GB6" s="29">
        <v>0</v>
      </c>
      <c r="GC6" s="29">
        <v>0</v>
      </c>
      <c r="GD6" s="29">
        <v>0</v>
      </c>
      <c r="GE6" s="29">
        <v>0</v>
      </c>
      <c r="GF6" s="29">
        <v>0</v>
      </c>
      <c r="GG6" s="29">
        <v>0</v>
      </c>
      <c r="GH6" s="29">
        <v>0</v>
      </c>
      <c r="GI6" s="29">
        <v>0</v>
      </c>
      <c r="GJ6" s="29">
        <v>0</v>
      </c>
      <c r="GK6" s="29">
        <v>0</v>
      </c>
      <c r="GL6" s="29">
        <v>0</v>
      </c>
      <c r="GM6" s="29">
        <v>0</v>
      </c>
      <c r="GN6" s="29">
        <v>0</v>
      </c>
      <c r="GO6" s="29">
        <v>0</v>
      </c>
      <c r="GP6" s="29">
        <v>0</v>
      </c>
      <c r="GQ6" s="29" t="str">
        <v>제헌절</v>
      </c>
      <c r="GR6" s="29">
        <v>0</v>
      </c>
      <c r="GS6" s="29">
        <v>0</v>
      </c>
      <c r="GT6" s="29">
        <v>0</v>
      </c>
      <c r="GU6" s="29">
        <v>0</v>
      </c>
      <c r="GV6" s="29">
        <v>0</v>
      </c>
      <c r="GW6" s="29">
        <v>0</v>
      </c>
      <c r="GX6" s="29">
        <v>0</v>
      </c>
      <c r="GY6" s="29">
        <v>0</v>
      </c>
      <c r="GZ6" s="29">
        <v>0</v>
      </c>
      <c r="HA6" s="29">
        <v>0</v>
      </c>
      <c r="HB6" s="29">
        <v>0</v>
      </c>
      <c r="HC6" s="29">
        <v>0</v>
      </c>
      <c r="HD6" s="29">
        <v>0</v>
      </c>
      <c r="HE6" s="29">
        <v>0</v>
      </c>
      <c r="HF6" s="29">
        <v>0</v>
      </c>
      <c r="HG6" s="29">
        <v>0</v>
      </c>
      <c r="HH6" s="29">
        <v>0</v>
      </c>
      <c r="HI6" s="29">
        <v>0</v>
      </c>
      <c r="HJ6" s="29">
        <v>0</v>
      </c>
      <c r="HK6" s="29">
        <v>0</v>
      </c>
      <c r="HL6" s="29">
        <v>0</v>
      </c>
      <c r="HM6" s="29">
        <v>0</v>
      </c>
      <c r="HN6" s="29">
        <v>0</v>
      </c>
      <c r="HO6" s="29">
        <v>0</v>
      </c>
      <c r="HP6" s="29">
        <v>0</v>
      </c>
      <c r="HQ6" s="29">
        <v>0</v>
      </c>
      <c r="HR6" s="29">
        <v>0</v>
      </c>
      <c r="HS6" s="29">
        <v>0</v>
      </c>
      <c r="HT6" s="29" t="str">
        <v>광복절</v>
      </c>
      <c r="HU6" s="29">
        <v>0</v>
      </c>
      <c r="HV6" s="29" t="str">
        <v>광복절(대체)</v>
      </c>
      <c r="HW6" s="29">
        <v>0</v>
      </c>
      <c r="HX6" s="29">
        <v>0</v>
      </c>
      <c r="HY6" s="29">
        <v>0</v>
      </c>
      <c r="HZ6" s="29">
        <v>0</v>
      </c>
      <c r="IA6" s="29">
        <v>0</v>
      </c>
      <c r="IB6" s="29">
        <v>0</v>
      </c>
      <c r="IC6" s="29">
        <v>0</v>
      </c>
      <c r="ID6" s="29">
        <v>0</v>
      </c>
      <c r="IE6" s="29">
        <v>0</v>
      </c>
      <c r="IF6" s="29">
        <v>0</v>
      </c>
      <c r="IG6" s="29">
        <v>0</v>
      </c>
      <c r="IH6" s="29">
        <v>0</v>
      </c>
      <c r="II6" s="29">
        <v>0</v>
      </c>
      <c r="IJ6" s="29">
        <v>0</v>
      </c>
      <c r="IK6" s="29">
        <v>0</v>
      </c>
      <c r="IL6" s="29">
        <v>0</v>
      </c>
      <c r="IM6" s="29">
        <v>0</v>
      </c>
      <c r="IN6" s="29">
        <v>0</v>
      </c>
      <c r="IO6" s="29">
        <v>0</v>
      </c>
      <c r="IP6" s="29">
        <v>0</v>
      </c>
      <c r="IQ6" s="29">
        <v>0</v>
      </c>
      <c r="IR6" s="29">
        <v>0</v>
      </c>
      <c r="IS6" s="29">
        <v>0</v>
      </c>
      <c r="IT6" s="29">
        <v>0</v>
      </c>
      <c r="IU6" s="29">
        <v>0</v>
      </c>
      <c r="IV6" s="29">
        <v>0</v>
      </c>
      <c r="IW6" s="29">
        <v>0</v>
      </c>
      <c r="IX6" s="29">
        <v>0</v>
      </c>
      <c r="IY6" s="29">
        <v>0</v>
      </c>
      <c r="IZ6" s="29">
        <v>0</v>
      </c>
      <c r="JA6" s="29">
        <v>0</v>
      </c>
      <c r="JB6" s="29">
        <v>0</v>
      </c>
      <c r="JC6" s="29">
        <v>0</v>
      </c>
      <c r="JD6" s="29">
        <v>0</v>
      </c>
      <c r="JE6" s="29">
        <v>0</v>
      </c>
      <c r="JF6" s="29">
        <v>0</v>
      </c>
      <c r="JG6" s="29">
        <v>0</v>
      </c>
      <c r="JH6" s="29" t="str">
        <v>추석휴무</v>
      </c>
      <c r="JI6" s="29" t="str">
        <v>추석</v>
      </c>
      <c r="JJ6" s="29">
        <v>0</v>
      </c>
      <c r="JK6" s="29">
        <v>0</v>
      </c>
      <c r="JL6" s="29">
        <v>0</v>
      </c>
      <c r="JM6" s="29">
        <v>0</v>
      </c>
      <c r="JN6" s="29">
        <v>0</v>
      </c>
      <c r="JO6" s="29">
        <v>0</v>
      </c>
      <c r="JP6" s="29">
        <v>0</v>
      </c>
      <c r="JQ6" s="29" t="str">
        <v>개천절</v>
      </c>
      <c r="JR6" s="29">
        <v>0</v>
      </c>
      <c r="JS6" s="29" t="str">
        <v>개천절(대체)</v>
      </c>
      <c r="JT6" s="29">
        <v>0</v>
      </c>
      <c r="JU6" s="29">
        <v>0</v>
      </c>
      <c r="JV6" s="29">
        <v>0</v>
      </c>
      <c r="JW6" s="29" t="str">
        <v>한글날</v>
      </c>
      <c r="JX6" s="29">
        <v>0</v>
      </c>
      <c r="JY6" s="29">
        <v>0</v>
      </c>
      <c r="JZ6" s="29">
        <v>0</v>
      </c>
      <c r="KA6" s="29">
        <v>0</v>
      </c>
      <c r="KB6" s="29">
        <v>0</v>
      </c>
      <c r="KC6" s="29">
        <v>0</v>
      </c>
      <c r="KD6" s="29">
        <v>0</v>
      </c>
      <c r="KE6" s="29">
        <v>0</v>
      </c>
      <c r="KF6" s="29">
        <v>0</v>
      </c>
      <c r="KG6" s="29">
        <v>0</v>
      </c>
      <c r="KH6" s="29">
        <v>0</v>
      </c>
      <c r="KI6" s="29">
        <v>0</v>
      </c>
      <c r="KJ6" s="29">
        <v>0</v>
      </c>
      <c r="KK6" s="29">
        <v>0</v>
      </c>
      <c r="KL6" s="29">
        <v>0</v>
      </c>
      <c r="KM6" s="29">
        <v>0</v>
      </c>
      <c r="KN6" s="29">
        <v>0</v>
      </c>
      <c r="KO6" s="29">
        <v>0</v>
      </c>
      <c r="KP6" s="29">
        <v>0</v>
      </c>
      <c r="KQ6" s="29">
        <v>0</v>
      </c>
      <c r="KR6" s="29">
        <v>0</v>
      </c>
      <c r="KS6" s="29">
        <v>0</v>
      </c>
      <c r="KT6" s="29">
        <v>0</v>
      </c>
      <c r="KU6" s="29">
        <v>0</v>
      </c>
      <c r="KV6" s="29">
        <v>0</v>
      </c>
      <c r="KW6" s="29">
        <v>0</v>
      </c>
      <c r="KX6" s="29">
        <v>0</v>
      </c>
      <c r="KY6" s="29">
        <v>0</v>
      </c>
      <c r="KZ6" s="29">
        <v>0</v>
      </c>
      <c r="LA6" s="29">
        <v>0</v>
      </c>
      <c r="LB6" s="29">
        <v>0</v>
      </c>
      <c r="LC6" s="29">
        <v>0</v>
      </c>
      <c r="LD6" s="29">
        <v>0</v>
      </c>
      <c r="LE6" s="29">
        <v>0</v>
      </c>
      <c r="LF6" s="29">
        <v>0</v>
      </c>
      <c r="LG6" s="29">
        <v>0</v>
      </c>
      <c r="LH6" s="29">
        <v>0</v>
      </c>
      <c r="LI6" s="29">
        <v>0</v>
      </c>
      <c r="LJ6" s="29">
        <v>0</v>
      </c>
      <c r="LK6" s="29">
        <v>0</v>
      </c>
      <c r="LL6" s="29">
        <v>0</v>
      </c>
      <c r="LM6" s="29">
        <v>0</v>
      </c>
      <c r="LN6" s="29">
        <v>0</v>
      </c>
      <c r="LO6" s="29">
        <v>0</v>
      </c>
      <c r="LP6" s="29">
        <v>0</v>
      </c>
      <c r="LQ6" s="29">
        <v>0</v>
      </c>
      <c r="LR6" s="29">
        <v>0</v>
      </c>
      <c r="LS6" s="29">
        <v>0</v>
      </c>
      <c r="LT6" s="29">
        <v>0</v>
      </c>
      <c r="LU6" s="29">
        <v>0</v>
      </c>
      <c r="LV6" s="29">
        <v>0</v>
      </c>
      <c r="LW6" s="29">
        <v>0</v>
      </c>
      <c r="LX6" s="29">
        <v>0</v>
      </c>
      <c r="LY6" s="29">
        <v>0</v>
      </c>
      <c r="LZ6" s="29">
        <v>0</v>
      </c>
      <c r="MA6" s="29">
        <v>0</v>
      </c>
      <c r="MB6" s="29">
        <v>0</v>
      </c>
      <c r="MC6" s="29">
        <v>0</v>
      </c>
      <c r="MD6" s="29">
        <v>0</v>
      </c>
      <c r="ME6" s="29">
        <v>0</v>
      </c>
      <c r="MF6" s="29">
        <v>0</v>
      </c>
      <c r="MG6" s="29">
        <v>0</v>
      </c>
      <c r="MH6" s="29">
        <v>0</v>
      </c>
      <c r="MI6" s="29">
        <v>0</v>
      </c>
      <c r="MJ6" s="29">
        <v>0</v>
      </c>
      <c r="MK6" s="29">
        <v>0</v>
      </c>
      <c r="ML6" s="29">
        <v>0</v>
      </c>
      <c r="MM6" s="29">
        <v>0</v>
      </c>
      <c r="MN6" s="29">
        <v>0</v>
      </c>
      <c r="MO6" s="29">
        <v>0</v>
      </c>
      <c r="MP6" s="29">
        <v>0</v>
      </c>
      <c r="MQ6" s="29">
        <v>0</v>
      </c>
      <c r="MR6" s="29">
        <v>0</v>
      </c>
      <c r="MS6" s="29">
        <v>0</v>
      </c>
      <c r="MT6" s="29">
        <v>0</v>
      </c>
      <c r="MU6" s="29">
        <v>0</v>
      </c>
      <c r="MV6" s="29" t="str">
        <v>성탄절</v>
      </c>
      <c r="MW6" s="29">
        <v>0</v>
      </c>
      <c r="MX6" s="29">
        <v>0</v>
      </c>
      <c r="MY6" s="29">
        <v>0</v>
      </c>
      <c r="MZ6" s="29">
        <v>0</v>
      </c>
      <c r="NA6" s="29">
        <v>0</v>
      </c>
      <c r="NB6" s="29">
        <v>0</v>
      </c>
      <c r="NC6" s="29">
        <v>0</v>
      </c>
      <c r="ND6" s="29" t="e">
        <v>#N/A</v>
      </c>
    </row>
    <row r="7" spans="1:368" s="25" customFormat="1" ht="18" hidden="1" thickBot="1">
      <c r="A7" s="3" t="str">
        <v>기본
근무
(초기값조정)</v>
      </c>
      <c r="B7" s="25" t="str">
        <v>야간</v>
      </c>
      <c r="C7" s="25" t="str">
        <v>비번</v>
      </c>
      <c r="D7" s="25" t="str">
        <v>주간</v>
      </c>
      <c r="E7" s="25" t="str">
        <v>야간</v>
      </c>
      <c r="F7" s="25" t="str">
        <v>비번</v>
      </c>
      <c r="G7" s="25" t="str">
        <v>주간</v>
      </c>
      <c r="H7" s="25" t="str">
        <v>야간</v>
      </c>
      <c r="I7" s="25" t="str">
        <v>비번</v>
      </c>
      <c r="J7" s="25" t="str">
        <v>주간</v>
      </c>
      <c r="K7" s="25" t="str">
        <v>야간</v>
      </c>
      <c r="L7" s="25" t="str">
        <v>비번</v>
      </c>
      <c r="M7" s="25" t="str">
        <v>주간</v>
      </c>
      <c r="N7" s="25" t="str">
        <v>야간</v>
      </c>
      <c r="O7" s="25" t="str">
        <v>비번</v>
      </c>
      <c r="P7" s="25" t="str">
        <v>주간</v>
      </c>
      <c r="Q7" s="25" t="str">
        <v>야간</v>
      </c>
      <c r="R7" s="25" t="str">
        <v>비번</v>
      </c>
      <c r="S7" s="25" t="str">
        <v>주간</v>
      </c>
      <c r="T7" s="25" t="str">
        <v>야간</v>
      </c>
      <c r="U7" s="25" t="str">
        <v>비번</v>
      </c>
      <c r="V7" s="25" t="str">
        <v>주간</v>
      </c>
      <c r="W7" s="25" t="str">
        <v>야간</v>
      </c>
      <c r="X7" s="25" t="str">
        <v>비번</v>
      </c>
      <c r="Y7" s="25" t="str">
        <v>주간</v>
      </c>
      <c r="Z7" s="25" t="str">
        <v>야간</v>
      </c>
      <c r="AA7" s="25" t="str">
        <v>비번</v>
      </c>
      <c r="AB7" s="25" t="str">
        <v>주간</v>
      </c>
      <c r="AC7" s="25" t="str">
        <v>야간</v>
      </c>
      <c r="AD7" s="25" t="str">
        <v>비번</v>
      </c>
      <c r="AE7" s="25" t="str">
        <v>주간</v>
      </c>
      <c r="AF7" s="25" t="str">
        <v>야간</v>
      </c>
      <c r="AG7" s="25" t="str">
        <v>비번</v>
      </c>
      <c r="AH7" s="25" t="str">
        <v>주간</v>
      </c>
      <c r="AI7" s="25" t="str">
        <v>야간</v>
      </c>
      <c r="AJ7" s="25" t="str">
        <v>비번</v>
      </c>
      <c r="AK7" s="25" t="str">
        <v>주간</v>
      </c>
      <c r="AL7" s="25" t="str">
        <v>야간</v>
      </c>
      <c r="AM7" s="25" t="str">
        <v>비번</v>
      </c>
      <c r="AN7" s="25" t="str">
        <v>주간</v>
      </c>
      <c r="AO7" s="25" t="str">
        <v>야간</v>
      </c>
      <c r="AP7" s="25" t="str">
        <v>비번</v>
      </c>
      <c r="AQ7" s="25" t="str">
        <v>주간</v>
      </c>
      <c r="AR7" s="25" t="str">
        <v>야간</v>
      </c>
      <c r="AS7" s="25" t="str">
        <v>비번</v>
      </c>
      <c r="AT7" s="25" t="str">
        <v>주간</v>
      </c>
      <c r="AU7" s="25" t="str">
        <v>야간</v>
      </c>
      <c r="AV7" s="25" t="str">
        <v>비번</v>
      </c>
      <c r="AW7" s="25" t="str">
        <v>주간</v>
      </c>
      <c r="AX7" s="25" t="str">
        <v>야간</v>
      </c>
      <c r="AY7" s="25" t="str">
        <v>비번</v>
      </c>
      <c r="AZ7" s="25" t="str">
        <v>주간</v>
      </c>
      <c r="BA7" s="25" t="str">
        <v>야간</v>
      </c>
      <c r="BB7" s="25" t="str">
        <v>비번</v>
      </c>
      <c r="BC7" s="25" t="str">
        <v>주간</v>
      </c>
      <c r="BD7" s="25" t="str">
        <v>야간</v>
      </c>
      <c r="BE7" s="25" t="str">
        <v>비번</v>
      </c>
      <c r="BF7" s="25" t="str">
        <v>주간</v>
      </c>
      <c r="BG7" s="25" t="str">
        <v>야간</v>
      </c>
      <c r="BH7" s="25" t="str">
        <v>비번</v>
      </c>
      <c r="BI7" s="25" t="str">
        <v>주간</v>
      </c>
      <c r="BJ7" s="25" t="str">
        <v>야간</v>
      </c>
      <c r="BK7" s="25" t="str">
        <v>비번</v>
      </c>
      <c r="BL7" s="25" t="str">
        <v>주간</v>
      </c>
      <c r="BM7" s="25" t="str">
        <v>야간</v>
      </c>
      <c r="BN7" s="25" t="str">
        <v>비번</v>
      </c>
      <c r="BO7" s="25" t="str">
        <v>주간</v>
      </c>
      <c r="BP7" s="25" t="str">
        <v>야간</v>
      </c>
      <c r="BQ7" s="25" t="str">
        <v>비번</v>
      </c>
      <c r="BR7" s="25" t="str">
        <v>주간</v>
      </c>
      <c r="BS7" s="25" t="str">
        <v>야간</v>
      </c>
      <c r="BT7" s="25" t="str">
        <v>비번</v>
      </c>
      <c r="BU7" s="25" t="str">
        <v>주간</v>
      </c>
      <c r="BV7" s="25" t="str">
        <v>야간</v>
      </c>
      <c r="BW7" s="25" t="str">
        <v>비번</v>
      </c>
      <c r="BX7" s="25" t="str">
        <v>주간</v>
      </c>
      <c r="BY7" s="25" t="str">
        <v>야간</v>
      </c>
      <c r="BZ7" s="25" t="str">
        <v>비번</v>
      </c>
      <c r="CA7" s="25" t="str">
        <v>주간</v>
      </c>
      <c r="CB7" s="25" t="str">
        <v>야간</v>
      </c>
      <c r="CC7" s="25" t="str">
        <v>비번</v>
      </c>
      <c r="CD7" s="25" t="str">
        <v>주간</v>
      </c>
      <c r="CE7" s="25" t="str">
        <v>야간</v>
      </c>
      <c r="CF7" s="25" t="str">
        <v>비번</v>
      </c>
      <c r="CG7" s="25" t="str">
        <v>주간</v>
      </c>
      <c r="CH7" s="25" t="str">
        <v>야간</v>
      </c>
      <c r="CI7" s="25" t="str">
        <v>비번</v>
      </c>
      <c r="CJ7" s="25" t="str">
        <v>주간</v>
      </c>
      <c r="CK7" s="25" t="str">
        <v>야간</v>
      </c>
      <c r="CL7" s="25" t="str">
        <v>비번</v>
      </c>
      <c r="CM7" s="25" t="str">
        <v>주간</v>
      </c>
      <c r="CN7" s="25" t="str">
        <v>야간</v>
      </c>
      <c r="CO7" s="25" t="str">
        <v>비번</v>
      </c>
      <c r="CP7" s="25" t="str">
        <v>주간</v>
      </c>
      <c r="CQ7" s="25" t="str">
        <v>야간</v>
      </c>
      <c r="CR7" s="25" t="str">
        <v>비번</v>
      </c>
      <c r="CS7" s="25" t="str">
        <v>주간</v>
      </c>
      <c r="CT7" s="25" t="str">
        <v>야간</v>
      </c>
      <c r="CU7" s="25" t="str">
        <v>비번</v>
      </c>
      <c r="CV7" s="25" t="str">
        <v>주간</v>
      </c>
      <c r="CW7" s="25" t="str">
        <v>야간</v>
      </c>
      <c r="CX7" s="25" t="str">
        <v>비번</v>
      </c>
      <c r="CY7" s="25" t="str">
        <v>주간</v>
      </c>
      <c r="CZ7" s="25" t="str">
        <v>야간</v>
      </c>
      <c r="DA7" s="25" t="str">
        <v>비번</v>
      </c>
      <c r="DB7" s="25" t="str">
        <v>주간</v>
      </c>
      <c r="DC7" s="25" t="str">
        <v>야간</v>
      </c>
      <c r="DD7" s="25" t="str">
        <v>비번</v>
      </c>
      <c r="DE7" s="25" t="str">
        <v>주간</v>
      </c>
      <c r="DF7" s="25" t="str">
        <v>야간</v>
      </c>
      <c r="DG7" s="25" t="str">
        <v>비번</v>
      </c>
      <c r="DH7" s="25" t="str">
        <v>주간</v>
      </c>
      <c r="DI7" s="25" t="str">
        <v>야간</v>
      </c>
      <c r="DJ7" s="25" t="str">
        <v>비번</v>
      </c>
      <c r="DK7" s="25" t="str">
        <v>주간</v>
      </c>
      <c r="DL7" s="25" t="str">
        <v>야간</v>
      </c>
      <c r="DM7" s="25" t="str">
        <v>비번</v>
      </c>
      <c r="DN7" s="25" t="str">
        <v>주간</v>
      </c>
      <c r="DO7" s="25" t="str">
        <v>야간</v>
      </c>
      <c r="DP7" s="25" t="str">
        <v>비번</v>
      </c>
      <c r="DQ7" s="25" t="str">
        <v>주간</v>
      </c>
      <c r="DR7" s="25" t="str">
        <v>야간</v>
      </c>
      <c r="DS7" s="25" t="str">
        <v>비번</v>
      </c>
      <c r="DT7" s="25" t="str">
        <v>주간</v>
      </c>
      <c r="DU7" s="25" t="str">
        <v>야간</v>
      </c>
      <c r="DV7" s="25" t="str">
        <v>비번</v>
      </c>
      <c r="DW7" s="25" t="str">
        <v>주간</v>
      </c>
      <c r="DX7" s="25" t="str">
        <v>야간</v>
      </c>
      <c r="DY7" s="25" t="str">
        <v>비번</v>
      </c>
      <c r="DZ7" s="25" t="str">
        <v>주간</v>
      </c>
      <c r="EA7" s="25" t="str">
        <v>야간</v>
      </c>
      <c r="EB7" s="25" t="str">
        <v>비번</v>
      </c>
      <c r="EC7" s="25" t="str">
        <v>주간</v>
      </c>
      <c r="ED7" s="25" t="str">
        <v>야간</v>
      </c>
      <c r="EE7" s="25" t="str">
        <v>비번</v>
      </c>
      <c r="EF7" s="25" t="str">
        <v>주간</v>
      </c>
      <c r="EG7" s="25" t="str">
        <v>야간</v>
      </c>
      <c r="EH7" s="25" t="str">
        <v>비번</v>
      </c>
      <c r="EI7" s="25" t="str">
        <v>주간</v>
      </c>
      <c r="EJ7" s="25" t="str">
        <v>야간</v>
      </c>
      <c r="EK7" s="25" t="str">
        <v>비번</v>
      </c>
      <c r="EL7" s="25" t="str">
        <v>주간</v>
      </c>
      <c r="EM7" s="25" t="str">
        <v>야간</v>
      </c>
      <c r="EN7" s="25" t="str">
        <v>비번</v>
      </c>
      <c r="EO7" s="25" t="str">
        <v>주간</v>
      </c>
      <c r="EP7" s="25" t="str">
        <v>야간</v>
      </c>
      <c r="EQ7" s="25" t="str">
        <v>비번</v>
      </c>
      <c r="ER7" s="25" t="str">
        <v>주간</v>
      </c>
      <c r="ES7" s="25" t="str">
        <v>야간</v>
      </c>
      <c r="ET7" s="25" t="str">
        <v>비번</v>
      </c>
      <c r="EU7" s="25" t="str">
        <v>주간</v>
      </c>
      <c r="EV7" s="25" t="str">
        <v>야간</v>
      </c>
      <c r="EW7" s="25" t="str">
        <v>비번</v>
      </c>
      <c r="EX7" s="25" t="str">
        <v>주간</v>
      </c>
      <c r="EY7" s="25" t="str">
        <v>야간</v>
      </c>
      <c r="EZ7" s="25" t="str">
        <v>비번</v>
      </c>
      <c r="FA7" s="25" t="str">
        <v>주간</v>
      </c>
      <c r="FB7" s="25" t="str">
        <v>야간</v>
      </c>
      <c r="FC7" s="25" t="str">
        <v>비번</v>
      </c>
      <c r="FD7" s="25" t="str">
        <v>주간</v>
      </c>
      <c r="FE7" s="25" t="str">
        <v>야간</v>
      </c>
      <c r="FF7" s="25" t="str">
        <v>비번</v>
      </c>
      <c r="FG7" s="25" t="str">
        <v>주간</v>
      </c>
      <c r="FH7" s="25" t="str">
        <v>야간</v>
      </c>
      <c r="FI7" s="25" t="str">
        <v>비번</v>
      </c>
      <c r="FJ7" s="25" t="str">
        <v>주간</v>
      </c>
      <c r="FK7" s="25" t="str">
        <v>야간</v>
      </c>
      <c r="FL7" s="25" t="str">
        <v>비번</v>
      </c>
      <c r="FM7" s="25" t="str">
        <v>주간</v>
      </c>
      <c r="FN7" s="25" t="str">
        <v>야간</v>
      </c>
      <c r="FO7" s="25" t="str">
        <v>비번</v>
      </c>
      <c r="FP7" s="25" t="str">
        <v>주간</v>
      </c>
      <c r="FQ7" s="25" t="str">
        <v>야간</v>
      </c>
      <c r="FR7" s="25" t="str">
        <v>비번</v>
      </c>
      <c r="FS7" s="25" t="str">
        <v>주간</v>
      </c>
      <c r="FT7" s="25" t="str">
        <v>야간</v>
      </c>
      <c r="FU7" s="25" t="str">
        <v>비번</v>
      </c>
      <c r="FV7" s="25" t="str">
        <v>주간</v>
      </c>
      <c r="FW7" s="25" t="str">
        <v>야간</v>
      </c>
      <c r="FX7" s="25" t="str">
        <v>비번</v>
      </c>
      <c r="FY7" s="25" t="str">
        <v>주간</v>
      </c>
      <c r="FZ7" s="25" t="str">
        <v>야간</v>
      </c>
      <c r="GA7" s="25" t="str">
        <v>비번</v>
      </c>
      <c r="GB7" s="25" t="str">
        <v>주간</v>
      </c>
      <c r="GC7" s="25" t="str">
        <v>야간</v>
      </c>
      <c r="GD7" s="25" t="str">
        <v>비번</v>
      </c>
      <c r="GE7" s="25" t="str">
        <v>주간</v>
      </c>
      <c r="GF7" s="25" t="str">
        <v>야간</v>
      </c>
      <c r="GG7" s="25" t="str">
        <v>비번</v>
      </c>
      <c r="GH7" s="25" t="str">
        <v>주간</v>
      </c>
      <c r="GI7" s="25" t="str">
        <v>야간</v>
      </c>
      <c r="GJ7" s="25" t="str">
        <v>비번</v>
      </c>
      <c r="GK7" s="25" t="str">
        <v>주간</v>
      </c>
      <c r="GL7" s="25" t="str">
        <v>야간</v>
      </c>
      <c r="GM7" s="25" t="str">
        <v>비번</v>
      </c>
      <c r="GN7" s="25" t="str">
        <v>주간</v>
      </c>
      <c r="GO7" s="25" t="str">
        <v>야간</v>
      </c>
      <c r="GP7" s="25" t="str">
        <v>비번</v>
      </c>
      <c r="GQ7" s="25" t="str">
        <v>주간</v>
      </c>
      <c r="GR7" s="25" t="str">
        <v>야간</v>
      </c>
      <c r="GS7" s="25" t="str">
        <v>비번</v>
      </c>
      <c r="GT7" s="25" t="str">
        <v>주간</v>
      </c>
      <c r="GU7" s="25" t="str">
        <v>야간</v>
      </c>
      <c r="GV7" s="25" t="str">
        <v>비번</v>
      </c>
      <c r="GW7" s="25" t="str">
        <v>주간</v>
      </c>
      <c r="GX7" s="25" t="str">
        <v>야간</v>
      </c>
      <c r="GY7" s="25" t="str">
        <v>비번</v>
      </c>
      <c r="GZ7" s="25" t="str">
        <v>주간</v>
      </c>
      <c r="HA7" s="25" t="str">
        <v>야간</v>
      </c>
      <c r="HB7" s="25" t="str">
        <v>비번</v>
      </c>
      <c r="HC7" s="25" t="str">
        <v>주간</v>
      </c>
      <c r="HD7" s="25" t="str">
        <v>야간</v>
      </c>
      <c r="HE7" s="25" t="str">
        <v>비번</v>
      </c>
      <c r="HF7" s="25" t="str">
        <v>주간</v>
      </c>
      <c r="HG7" s="25" t="str">
        <v>야간</v>
      </c>
      <c r="HH7" s="25" t="str">
        <v>비번</v>
      </c>
      <c r="HI7" s="25" t="str">
        <v>주간</v>
      </c>
      <c r="HJ7" s="25" t="str">
        <v>야간</v>
      </c>
      <c r="HK7" s="25" t="str">
        <v>비번</v>
      </c>
      <c r="HL7" s="25" t="str">
        <v>주간</v>
      </c>
      <c r="HM7" s="25" t="str">
        <v>야간</v>
      </c>
      <c r="HN7" s="25" t="str">
        <v>비번</v>
      </c>
      <c r="HO7" s="25" t="str">
        <v>주간</v>
      </c>
      <c r="HP7" s="25" t="str">
        <v>야간</v>
      </c>
      <c r="HQ7" s="25" t="str">
        <v>비번</v>
      </c>
      <c r="HR7" s="25" t="str">
        <v>주간</v>
      </c>
      <c r="HS7" s="25" t="str">
        <v>야간</v>
      </c>
      <c r="HT7" s="25" t="str">
        <v>비번</v>
      </c>
      <c r="HU7" s="25" t="str">
        <v>주간</v>
      </c>
      <c r="HV7" s="25" t="str">
        <v>야간</v>
      </c>
      <c r="HW7" s="25" t="str">
        <v>비번</v>
      </c>
      <c r="HX7" s="25" t="str">
        <v>주간</v>
      </c>
      <c r="HY7" s="25" t="str">
        <v>야간</v>
      </c>
      <c r="HZ7" s="25" t="str">
        <v>비번</v>
      </c>
      <c r="IA7" s="25" t="str">
        <v>주간</v>
      </c>
      <c r="IB7" s="25" t="str">
        <v>야간</v>
      </c>
      <c r="IC7" s="25" t="str">
        <v>비번</v>
      </c>
      <c r="ID7" s="25" t="str">
        <v>주간</v>
      </c>
      <c r="IE7" s="25" t="str">
        <v>야간</v>
      </c>
      <c r="IF7" s="25" t="str">
        <v>비번</v>
      </c>
      <c r="IG7" s="25" t="str">
        <v>주간</v>
      </c>
      <c r="IH7" s="25" t="str">
        <v>야간</v>
      </c>
      <c r="II7" s="25" t="str">
        <v>비번</v>
      </c>
      <c r="IJ7" s="25" t="str">
        <v>주간</v>
      </c>
      <c r="IK7" s="25" t="str">
        <v>야간</v>
      </c>
      <c r="IL7" s="25" t="str">
        <v>비번</v>
      </c>
      <c r="IM7" s="25" t="str">
        <v>주간</v>
      </c>
      <c r="IN7" s="25" t="str">
        <v>야간</v>
      </c>
      <c r="IO7" s="25" t="str">
        <v>비번</v>
      </c>
      <c r="IP7" s="25" t="str">
        <v>주간</v>
      </c>
      <c r="IQ7" s="25" t="str">
        <v>야간</v>
      </c>
      <c r="IR7" s="25" t="str">
        <v>비번</v>
      </c>
      <c r="IS7" s="25" t="str">
        <v>주간</v>
      </c>
      <c r="IT7" s="25" t="str">
        <v>야간</v>
      </c>
      <c r="IU7" s="25" t="str">
        <v>비번</v>
      </c>
      <c r="IV7" s="25" t="str">
        <v>주간</v>
      </c>
      <c r="IW7" s="25" t="str">
        <v>야간</v>
      </c>
      <c r="IX7" s="25" t="str">
        <v>비번</v>
      </c>
      <c r="IY7" s="25" t="str">
        <v>주간</v>
      </c>
      <c r="IZ7" s="25" t="str">
        <v>야간</v>
      </c>
      <c r="JA7" s="25" t="str">
        <v>비번</v>
      </c>
      <c r="JB7" s="25" t="str">
        <v>주간</v>
      </c>
      <c r="JC7" s="25" t="str">
        <v>야간</v>
      </c>
      <c r="JD7" s="25" t="str">
        <v>비번</v>
      </c>
      <c r="JE7" s="25" t="str">
        <v>주간</v>
      </c>
      <c r="JF7" s="25" t="str">
        <v>야간</v>
      </c>
      <c r="JG7" s="25" t="str">
        <v>비번</v>
      </c>
      <c r="JH7" s="25" t="str">
        <v>주간</v>
      </c>
      <c r="JI7" s="25" t="str">
        <v>야간</v>
      </c>
      <c r="JJ7" s="25" t="str">
        <v>비번</v>
      </c>
      <c r="JK7" s="25" t="str">
        <v>주간</v>
      </c>
      <c r="JL7" s="25" t="str">
        <v>야간</v>
      </c>
      <c r="JM7" s="25" t="str">
        <v>비번</v>
      </c>
      <c r="JN7" s="25" t="str">
        <v>주간</v>
      </c>
      <c r="JO7" s="25" t="str">
        <v>야간</v>
      </c>
      <c r="JP7" s="25" t="str">
        <v>비번</v>
      </c>
      <c r="JQ7" s="25" t="str">
        <v>주간</v>
      </c>
      <c r="JR7" s="25" t="str">
        <v>야간</v>
      </c>
      <c r="JS7" s="25" t="str">
        <v>비번</v>
      </c>
      <c r="JT7" s="25" t="str">
        <v>주간</v>
      </c>
      <c r="JU7" s="25" t="str">
        <v>야간</v>
      </c>
      <c r="JV7" s="25" t="str">
        <v>비번</v>
      </c>
      <c r="JW7" s="25" t="str">
        <v>주간</v>
      </c>
      <c r="JX7" s="25" t="str">
        <v>야간</v>
      </c>
      <c r="JY7" s="25" t="str">
        <v>비번</v>
      </c>
      <c r="JZ7" s="25" t="str">
        <v>주간</v>
      </c>
      <c r="KA7" s="25" t="str">
        <v>야간</v>
      </c>
      <c r="KB7" s="25" t="str">
        <v>비번</v>
      </c>
      <c r="KC7" s="25" t="str">
        <v>주간</v>
      </c>
      <c r="KD7" s="25" t="str">
        <v>야간</v>
      </c>
      <c r="KE7" s="25" t="str">
        <v>비번</v>
      </c>
      <c r="KF7" s="25" t="str">
        <v>주간</v>
      </c>
      <c r="KG7" s="25" t="str">
        <v>야간</v>
      </c>
      <c r="KH7" s="25" t="str">
        <v>비번</v>
      </c>
      <c r="KI7" s="25" t="str">
        <v>주간</v>
      </c>
      <c r="KJ7" s="25" t="str">
        <v>야간</v>
      </c>
      <c r="KK7" s="25" t="str">
        <v>비번</v>
      </c>
      <c r="KL7" s="25" t="str">
        <v>주간</v>
      </c>
      <c r="KM7" s="25" t="str">
        <v>야간</v>
      </c>
      <c r="KN7" s="25" t="str">
        <v>비번</v>
      </c>
      <c r="KO7" s="25" t="str">
        <v>주간</v>
      </c>
      <c r="KP7" s="25" t="str">
        <v>야간</v>
      </c>
      <c r="KQ7" s="25" t="str">
        <v>비번</v>
      </c>
      <c r="KR7" s="25" t="str">
        <v>주간</v>
      </c>
      <c r="KS7" s="25" t="str">
        <v>야간</v>
      </c>
      <c r="KT7" s="25" t="str">
        <v>비번</v>
      </c>
      <c r="KU7" s="25" t="str">
        <v>주간</v>
      </c>
      <c r="KV7" s="25" t="str">
        <v>야간</v>
      </c>
      <c r="KW7" s="25" t="str">
        <v>비번</v>
      </c>
      <c r="KX7" s="25" t="str">
        <v>주간</v>
      </c>
      <c r="KY7" s="25" t="str">
        <v>야간</v>
      </c>
      <c r="KZ7" s="25" t="str">
        <v>비번</v>
      </c>
      <c r="LA7" s="25" t="str">
        <v>주간</v>
      </c>
      <c r="LB7" s="25" t="str">
        <v>야간</v>
      </c>
      <c r="LC7" s="25" t="str">
        <v>비번</v>
      </c>
      <c r="LD7" s="25" t="str">
        <v>주간</v>
      </c>
      <c r="LE7" s="25" t="str">
        <v>야간</v>
      </c>
      <c r="LF7" s="25" t="str">
        <v>비번</v>
      </c>
      <c r="LG7" s="25" t="str">
        <v>주간</v>
      </c>
      <c r="LH7" s="25" t="str">
        <v>야간</v>
      </c>
      <c r="LI7" s="25" t="str">
        <v>비번</v>
      </c>
      <c r="LJ7" s="25" t="str">
        <v>주간</v>
      </c>
      <c r="LK7" s="25" t="str">
        <v>야간</v>
      </c>
      <c r="LL7" s="25" t="str">
        <v>비번</v>
      </c>
      <c r="LM7" s="25" t="str">
        <v>주간</v>
      </c>
      <c r="LN7" s="25" t="str">
        <v>야간</v>
      </c>
      <c r="LO7" s="25" t="str">
        <v>비번</v>
      </c>
      <c r="LP7" s="25" t="str">
        <v>주간</v>
      </c>
      <c r="LQ7" s="25" t="str">
        <v>야간</v>
      </c>
      <c r="LR7" s="25" t="str">
        <v>비번</v>
      </c>
      <c r="LS7" s="25" t="str">
        <v>주간</v>
      </c>
      <c r="LT7" s="25" t="str">
        <v>야간</v>
      </c>
      <c r="LU7" s="25" t="str">
        <v>비번</v>
      </c>
      <c r="LV7" s="25" t="str">
        <v>주간</v>
      </c>
      <c r="LW7" s="25" t="str">
        <v>야간</v>
      </c>
      <c r="LX7" s="25" t="str">
        <v>비번</v>
      </c>
      <c r="LY7" s="25" t="str">
        <v>주간</v>
      </c>
      <c r="LZ7" s="25" t="str">
        <v>야간</v>
      </c>
      <c r="MA7" s="25" t="str">
        <v>비번</v>
      </c>
      <c r="MB7" s="25" t="str">
        <v>주간</v>
      </c>
      <c r="MC7" s="25" t="str">
        <v>야간</v>
      </c>
      <c r="MD7" s="25" t="str">
        <v>비번</v>
      </c>
      <c r="ME7" s="25" t="str">
        <v>주간</v>
      </c>
      <c r="MF7" s="25" t="str">
        <v>야간</v>
      </c>
      <c r="MG7" s="25" t="str">
        <v>비번</v>
      </c>
      <c r="MH7" s="25" t="str">
        <v>주간</v>
      </c>
      <c r="MI7" s="25" t="str">
        <v>야간</v>
      </c>
      <c r="MJ7" s="25" t="str">
        <v>비번</v>
      </c>
      <c r="MK7" s="25" t="str">
        <v>주간</v>
      </c>
      <c r="ML7" s="25" t="str">
        <v>야간</v>
      </c>
      <c r="MM7" s="25" t="str">
        <v>비번</v>
      </c>
      <c r="MN7" s="25" t="str">
        <v>주간</v>
      </c>
      <c r="MO7" s="25" t="str">
        <v>야간</v>
      </c>
      <c r="MP7" s="25" t="str">
        <v>비번</v>
      </c>
      <c r="MQ7" s="25" t="str">
        <v>주간</v>
      </c>
      <c r="MR7" s="25" t="str">
        <v>야간</v>
      </c>
      <c r="MS7" s="25" t="str">
        <v>비번</v>
      </c>
      <c r="MT7" s="25" t="str">
        <v>주간</v>
      </c>
      <c r="MU7" s="25" t="str">
        <v>야간</v>
      </c>
      <c r="MV7" s="25" t="str">
        <v>비번</v>
      </c>
      <c r="MW7" s="25" t="str">
        <v>주간</v>
      </c>
      <c r="MX7" s="25" t="str">
        <v>야간</v>
      </c>
      <c r="MY7" s="25" t="str">
        <v>비번</v>
      </c>
      <c r="MZ7" s="25" t="str">
        <v>주간</v>
      </c>
      <c r="NA7" s="25" t="str">
        <v>야간</v>
      </c>
      <c r="NB7" s="25" t="str">
        <v>비번</v>
      </c>
      <c r="NC7" s="25" t="str">
        <v>주간</v>
      </c>
      <c r="ND7" s="25" t="e">
        <v>#N/A</v>
      </c>
    </row>
    <row r="8" spans="1:368" s="28" customFormat="1" ht="18" thickBot="1">
      <c r="A8" s="18" t="str">
        <v>근무
형태</v>
      </c>
      <c r="B8" s="28" t="str">
        <v>당직</v>
      </c>
      <c r="C8" s="28" t="str">
        <v>비번</v>
      </c>
      <c r="D8" s="28" t="str">
        <v>휴무</v>
      </c>
      <c r="E8" s="28" t="str">
        <v>당직</v>
      </c>
      <c r="F8" s="28" t="str">
        <v>비번</v>
      </c>
      <c r="G8" s="28" t="str">
        <v>주간</v>
      </c>
      <c r="H8" s="28" t="str">
        <v>야간</v>
      </c>
      <c r="I8" s="28" t="str">
        <v>비번</v>
      </c>
      <c r="J8" s="28" t="str">
        <v>주간</v>
      </c>
      <c r="K8" s="28" t="str">
        <v>당직</v>
      </c>
      <c r="L8" s="28" t="str">
        <v>비번</v>
      </c>
      <c r="M8" s="28" t="str">
        <v>주간</v>
      </c>
      <c r="N8" s="28" t="str">
        <v>야간</v>
      </c>
      <c r="O8" s="28" t="str">
        <v>비번</v>
      </c>
      <c r="P8" s="28" t="str">
        <v>주간</v>
      </c>
      <c r="Q8" s="28" t="str">
        <v>야간</v>
      </c>
      <c r="R8" s="28" t="str">
        <v>비번</v>
      </c>
      <c r="S8" s="28" t="str">
        <v>휴무</v>
      </c>
      <c r="T8" s="28" t="str">
        <v>야간</v>
      </c>
      <c r="U8" s="28" t="str">
        <v>비번</v>
      </c>
      <c r="V8" s="28" t="str">
        <v>주간</v>
      </c>
      <c r="W8" s="28" t="str">
        <v>야간</v>
      </c>
      <c r="X8" s="28" t="str">
        <v>비번</v>
      </c>
      <c r="Y8" s="28" t="str">
        <v>휴무</v>
      </c>
      <c r="Z8" s="28" t="str">
        <v>당직</v>
      </c>
      <c r="AA8" s="28" t="str">
        <v>비번</v>
      </c>
      <c r="AB8" s="28" t="str">
        <v>주간</v>
      </c>
      <c r="AC8" s="28" t="str">
        <v>야간</v>
      </c>
      <c r="AD8" s="28" t="str">
        <v>비번</v>
      </c>
      <c r="AE8" s="28" t="str">
        <v>주간</v>
      </c>
      <c r="AF8" s="28" t="str">
        <v>당직</v>
      </c>
      <c r="AG8" s="28" t="str">
        <v>비번</v>
      </c>
      <c r="AH8" s="28" t="str">
        <v>주간</v>
      </c>
      <c r="AI8" s="28" t="str">
        <v>야간</v>
      </c>
      <c r="AJ8" s="28" t="str">
        <v>비번</v>
      </c>
      <c r="AK8" s="28" t="str">
        <v>주간</v>
      </c>
      <c r="AL8" s="28" t="str">
        <v>야간</v>
      </c>
      <c r="AM8" s="28" t="str">
        <v>비번</v>
      </c>
      <c r="AN8" s="28" t="str">
        <v>휴무</v>
      </c>
      <c r="AO8" s="28" t="str">
        <v>야간</v>
      </c>
      <c r="AP8" s="28" t="str">
        <v>비번</v>
      </c>
      <c r="AQ8" s="28" t="str">
        <v>주간</v>
      </c>
      <c r="AR8" s="28" t="str">
        <v>야간</v>
      </c>
      <c r="AS8" s="28" t="str">
        <v>비번</v>
      </c>
      <c r="AT8" s="28" t="str">
        <v>휴무</v>
      </c>
      <c r="AU8" s="28" t="str">
        <v>당직</v>
      </c>
      <c r="AV8" s="28" t="str">
        <v>비번</v>
      </c>
      <c r="AW8" s="28" t="str">
        <v>휴무</v>
      </c>
      <c r="AX8" s="28" t="str">
        <v>당직</v>
      </c>
      <c r="AY8" s="28" t="str">
        <v>비번</v>
      </c>
      <c r="AZ8" s="28" t="str">
        <v>주간</v>
      </c>
      <c r="BA8" s="28" t="str">
        <v>당직</v>
      </c>
      <c r="BB8" s="28" t="str">
        <v>비번</v>
      </c>
      <c r="BC8" s="28" t="str">
        <v>주간</v>
      </c>
      <c r="BD8" s="28" t="str">
        <v>야간</v>
      </c>
      <c r="BE8" s="28" t="str">
        <v>비번</v>
      </c>
      <c r="BF8" s="28" t="str">
        <v>주간</v>
      </c>
      <c r="BG8" s="28" t="str">
        <v>야간</v>
      </c>
      <c r="BH8" s="28" t="str">
        <v>비번</v>
      </c>
      <c r="BI8" s="28" t="str">
        <v>휴무</v>
      </c>
      <c r="BJ8" s="28" t="str">
        <v>당직</v>
      </c>
      <c r="BK8" s="28" t="str">
        <v>비번</v>
      </c>
      <c r="BL8" s="28" t="str">
        <v>주간</v>
      </c>
      <c r="BM8" s="28" t="str">
        <v>야간</v>
      </c>
      <c r="BN8" s="28" t="str">
        <v>비번</v>
      </c>
      <c r="BO8" s="28" t="str">
        <v>휴무</v>
      </c>
      <c r="BP8" s="28" t="str">
        <v>당직</v>
      </c>
      <c r="BQ8" s="28" t="str">
        <v>비번</v>
      </c>
      <c r="BR8" s="28" t="str">
        <v>주간</v>
      </c>
      <c r="BS8" s="28" t="str">
        <v>야간</v>
      </c>
      <c r="BT8" s="28" t="str">
        <v>비번</v>
      </c>
      <c r="BU8" s="28" t="str">
        <v>주간</v>
      </c>
      <c r="BV8" s="28" t="str">
        <v>당직</v>
      </c>
      <c r="BW8" s="28" t="str">
        <v>비번</v>
      </c>
      <c r="BX8" s="28" t="str">
        <v>주간</v>
      </c>
      <c r="BY8" s="28" t="str">
        <v>야간</v>
      </c>
      <c r="BZ8" s="28" t="str">
        <v>비번</v>
      </c>
      <c r="CA8" s="28" t="str">
        <v>주간</v>
      </c>
      <c r="CB8" s="28" t="str">
        <v>야간</v>
      </c>
      <c r="CC8" s="28" t="str">
        <v>비번</v>
      </c>
      <c r="CD8" s="28" t="str">
        <v>휴무</v>
      </c>
      <c r="CE8" s="28" t="str">
        <v>야간</v>
      </c>
      <c r="CF8" s="28" t="str">
        <v>비번</v>
      </c>
      <c r="CG8" s="28" t="str">
        <v>주간</v>
      </c>
      <c r="CH8" s="28" t="str">
        <v>야간</v>
      </c>
      <c r="CI8" s="28" t="str">
        <v>비번</v>
      </c>
      <c r="CJ8" s="28" t="str">
        <v>휴무</v>
      </c>
      <c r="CK8" s="28" t="str">
        <v>당직</v>
      </c>
      <c r="CL8" s="28" t="str">
        <v>비번</v>
      </c>
      <c r="CM8" s="28" t="str">
        <v>주간</v>
      </c>
      <c r="CN8" s="28" t="str">
        <v>야간</v>
      </c>
      <c r="CO8" s="28" t="str">
        <v>비번</v>
      </c>
      <c r="CP8" s="28" t="str">
        <v>주간</v>
      </c>
      <c r="CQ8" s="28" t="str">
        <v>당직</v>
      </c>
      <c r="CR8" s="28" t="str">
        <v>비번</v>
      </c>
      <c r="CS8" s="28" t="str">
        <v>주간</v>
      </c>
      <c r="CT8" s="28" t="str">
        <v>야간</v>
      </c>
      <c r="CU8" s="28" t="str">
        <v>비번</v>
      </c>
      <c r="CV8" s="28" t="str">
        <v>주간</v>
      </c>
      <c r="CW8" s="28" t="str">
        <v>야간</v>
      </c>
      <c r="CX8" s="28" t="str">
        <v>비번</v>
      </c>
      <c r="CY8" s="28" t="str">
        <v>휴무</v>
      </c>
      <c r="CZ8" s="28" t="str">
        <v>야간</v>
      </c>
      <c r="DA8" s="28" t="str">
        <v>비번</v>
      </c>
      <c r="DB8" s="28" t="str">
        <v>주간</v>
      </c>
      <c r="DC8" s="28" t="str">
        <v>야간</v>
      </c>
      <c r="DD8" s="28" t="str">
        <v>비번</v>
      </c>
      <c r="DE8" s="28" t="str">
        <v>휴무</v>
      </c>
      <c r="DF8" s="28" t="str">
        <v>당직</v>
      </c>
      <c r="DG8" s="28" t="str">
        <v>비번</v>
      </c>
      <c r="DH8" s="28" t="str">
        <v>주간</v>
      </c>
      <c r="DI8" s="28" t="str">
        <v>야간</v>
      </c>
      <c r="DJ8" s="28" t="str">
        <v>비번</v>
      </c>
      <c r="DK8" s="28" t="str">
        <v>주간</v>
      </c>
      <c r="DL8" s="28" t="str">
        <v>당직</v>
      </c>
      <c r="DM8" s="28" t="str">
        <v>비번</v>
      </c>
      <c r="DN8" s="28" t="str">
        <v>주간</v>
      </c>
      <c r="DO8" s="28" t="str">
        <v>야간</v>
      </c>
      <c r="DP8" s="28" t="str">
        <v>비번</v>
      </c>
      <c r="DQ8" s="28" t="str">
        <v>주간</v>
      </c>
      <c r="DR8" s="28" t="str">
        <v>당직</v>
      </c>
      <c r="DS8" s="28" t="str">
        <v>비번</v>
      </c>
      <c r="DT8" s="28" t="str">
        <v>휴무</v>
      </c>
      <c r="DU8" s="28" t="str">
        <v>야간</v>
      </c>
      <c r="DV8" s="28" t="str">
        <v>비번</v>
      </c>
      <c r="DW8" s="28" t="str">
        <v>주간</v>
      </c>
      <c r="DX8" s="28" t="str">
        <v>야간</v>
      </c>
      <c r="DY8" s="28" t="str">
        <v>비번</v>
      </c>
      <c r="DZ8" s="28" t="str">
        <v>휴무</v>
      </c>
      <c r="EA8" s="28" t="str">
        <v>당직</v>
      </c>
      <c r="EB8" s="28" t="str">
        <v>비번</v>
      </c>
      <c r="EC8" s="28" t="str">
        <v>주간</v>
      </c>
      <c r="ED8" s="28" t="str">
        <v>야간</v>
      </c>
      <c r="EE8" s="28" t="str">
        <v>비번</v>
      </c>
      <c r="EF8" s="28" t="str">
        <v>주간</v>
      </c>
      <c r="EG8" s="28" t="str">
        <v>당직</v>
      </c>
      <c r="EH8" s="28" t="str">
        <v>비번</v>
      </c>
      <c r="EI8" s="28" t="str">
        <v>주간</v>
      </c>
      <c r="EJ8" s="28" t="str">
        <v>야간</v>
      </c>
      <c r="EK8" s="28" t="str">
        <v>비번</v>
      </c>
      <c r="EL8" s="28" t="str">
        <v>주간</v>
      </c>
      <c r="EM8" s="28" t="str">
        <v>야간</v>
      </c>
      <c r="EN8" s="28" t="str">
        <v>비번</v>
      </c>
      <c r="EO8" s="28" t="str">
        <v>휴무</v>
      </c>
      <c r="EP8" s="28" t="str">
        <v>당직</v>
      </c>
      <c r="EQ8" s="28" t="str">
        <v>비번</v>
      </c>
      <c r="ER8" s="28" t="str">
        <v>주간</v>
      </c>
      <c r="ES8" s="28" t="str">
        <v>야간</v>
      </c>
      <c r="ET8" s="28" t="str">
        <v>비번</v>
      </c>
      <c r="EU8" s="28" t="str">
        <v>휴무</v>
      </c>
      <c r="EV8" s="28" t="str">
        <v>당직</v>
      </c>
      <c r="EW8" s="28" t="str">
        <v>비번</v>
      </c>
      <c r="EX8" s="28" t="str">
        <v>주간</v>
      </c>
      <c r="EY8" s="28" t="str">
        <v>당직</v>
      </c>
      <c r="EZ8" s="28" t="str">
        <v>비번</v>
      </c>
      <c r="FA8" s="28" t="str">
        <v>주간</v>
      </c>
      <c r="FB8" s="28" t="str">
        <v>당직</v>
      </c>
      <c r="FC8" s="28" t="str">
        <v>비번</v>
      </c>
      <c r="FD8" s="28" t="str">
        <v>주간</v>
      </c>
      <c r="FE8" s="28" t="str">
        <v>야간</v>
      </c>
      <c r="FF8" s="28" t="str">
        <v>비번</v>
      </c>
      <c r="FG8" s="28" t="str">
        <v>주간</v>
      </c>
      <c r="FH8" s="28" t="str">
        <v>야간</v>
      </c>
      <c r="FI8" s="28" t="str">
        <v>비번</v>
      </c>
      <c r="FJ8" s="28" t="str">
        <v>휴무</v>
      </c>
      <c r="FK8" s="28" t="str">
        <v>야간</v>
      </c>
      <c r="FL8" s="28" t="str">
        <v>비번</v>
      </c>
      <c r="FM8" s="28" t="str">
        <v>주간</v>
      </c>
      <c r="FN8" s="28" t="str">
        <v>야간</v>
      </c>
      <c r="FO8" s="28" t="str">
        <v>비번</v>
      </c>
      <c r="FP8" s="28" t="str">
        <v>휴무</v>
      </c>
      <c r="FQ8" s="28" t="str">
        <v>당직</v>
      </c>
      <c r="FR8" s="28" t="str">
        <v>비번</v>
      </c>
      <c r="FS8" s="28" t="str">
        <v>주간</v>
      </c>
      <c r="FT8" s="28" t="str">
        <v>야간</v>
      </c>
      <c r="FU8" s="28" t="str">
        <v>비번</v>
      </c>
      <c r="FV8" s="28" t="str">
        <v>주간</v>
      </c>
      <c r="FW8" s="28" t="str">
        <v>당직</v>
      </c>
      <c r="FX8" s="28" t="str">
        <v>비번</v>
      </c>
      <c r="FY8" s="28" t="str">
        <v>주간</v>
      </c>
      <c r="FZ8" s="28" t="str">
        <v>야간</v>
      </c>
      <c r="GA8" s="28" t="str">
        <v>비번</v>
      </c>
      <c r="GB8" s="28" t="str">
        <v>주간</v>
      </c>
      <c r="GC8" s="28" t="str">
        <v>야간</v>
      </c>
      <c r="GD8" s="28" t="str">
        <v>비번</v>
      </c>
      <c r="GE8" s="28" t="str">
        <v>휴무</v>
      </c>
      <c r="GF8" s="28" t="str">
        <v>야간</v>
      </c>
      <c r="GG8" s="28" t="str">
        <v>비번</v>
      </c>
      <c r="GH8" s="28" t="str">
        <v>주간</v>
      </c>
      <c r="GI8" s="28" t="str">
        <v>야간</v>
      </c>
      <c r="GJ8" s="28" t="str">
        <v>비번</v>
      </c>
      <c r="GK8" s="28" t="str">
        <v>휴무</v>
      </c>
      <c r="GL8" s="28" t="str">
        <v>당직</v>
      </c>
      <c r="GM8" s="28" t="str">
        <v>비번</v>
      </c>
      <c r="GN8" s="28" t="str">
        <v>주간</v>
      </c>
      <c r="GO8" s="28" t="str">
        <v>야간</v>
      </c>
      <c r="GP8" s="28" t="str">
        <v>비번</v>
      </c>
      <c r="GQ8" s="28" t="str">
        <v>휴무</v>
      </c>
      <c r="GR8" s="28" t="str">
        <v>당직</v>
      </c>
      <c r="GS8" s="28" t="str">
        <v>비번</v>
      </c>
      <c r="GT8" s="28" t="str">
        <v>주간</v>
      </c>
      <c r="GU8" s="28" t="str">
        <v>야간</v>
      </c>
      <c r="GV8" s="28" t="str">
        <v>비번</v>
      </c>
      <c r="GW8" s="28" t="str">
        <v>주간</v>
      </c>
      <c r="GX8" s="28" t="str">
        <v>야간</v>
      </c>
      <c r="GY8" s="28" t="str">
        <v>비번</v>
      </c>
      <c r="GZ8" s="28" t="str">
        <v>휴무</v>
      </c>
      <c r="HA8" s="28" t="str">
        <v>야간</v>
      </c>
      <c r="HB8" s="28" t="str">
        <v>비번</v>
      </c>
      <c r="HC8" s="28" t="str">
        <v>주간</v>
      </c>
      <c r="HD8" s="28" t="str">
        <v>야간</v>
      </c>
      <c r="HE8" s="28" t="str">
        <v>비번</v>
      </c>
      <c r="HF8" s="28" t="str">
        <v>휴무</v>
      </c>
      <c r="HG8" s="28" t="str">
        <v>당직</v>
      </c>
      <c r="HH8" s="28" t="str">
        <v>비번</v>
      </c>
      <c r="HI8" s="28" t="str">
        <v>주간</v>
      </c>
      <c r="HJ8" s="28" t="str">
        <v>야간</v>
      </c>
      <c r="HK8" s="28" t="str">
        <v>비번</v>
      </c>
      <c r="HL8" s="28" t="str">
        <v>주간</v>
      </c>
      <c r="HM8" s="28" t="str">
        <v>당직</v>
      </c>
      <c r="HN8" s="28" t="str">
        <v>비번</v>
      </c>
      <c r="HO8" s="28" t="str">
        <v>주간</v>
      </c>
      <c r="HP8" s="28" t="str">
        <v>야간</v>
      </c>
      <c r="HQ8" s="28" t="str">
        <v>비번</v>
      </c>
      <c r="HR8" s="28" t="str">
        <v>주간</v>
      </c>
      <c r="HS8" s="28" t="str">
        <v>야간</v>
      </c>
      <c r="HT8" s="28" t="str">
        <v>비번</v>
      </c>
      <c r="HU8" s="28" t="str">
        <v>휴무</v>
      </c>
      <c r="HV8" s="28" t="str">
        <v>당직</v>
      </c>
      <c r="HW8" s="28" t="str">
        <v>비번</v>
      </c>
      <c r="HX8" s="28" t="str">
        <v>주간</v>
      </c>
      <c r="HY8" s="28" t="str">
        <v>야간</v>
      </c>
      <c r="HZ8" s="28" t="str">
        <v>비번</v>
      </c>
      <c r="IA8" s="28" t="str">
        <v>휴무</v>
      </c>
      <c r="IB8" s="28" t="str">
        <v>당직</v>
      </c>
      <c r="IC8" s="28" t="str">
        <v>비번</v>
      </c>
      <c r="ID8" s="28" t="str">
        <v>주간</v>
      </c>
      <c r="IE8" s="28" t="str">
        <v>야간</v>
      </c>
      <c r="IF8" s="28" t="str">
        <v>비번</v>
      </c>
      <c r="IG8" s="28" t="str">
        <v>주간</v>
      </c>
      <c r="IH8" s="28" t="str">
        <v>당직</v>
      </c>
      <c r="II8" s="28" t="str">
        <v>비번</v>
      </c>
      <c r="IJ8" s="28" t="str">
        <v>주간</v>
      </c>
      <c r="IK8" s="28" t="str">
        <v>야간</v>
      </c>
      <c r="IL8" s="28" t="str">
        <v>비번</v>
      </c>
      <c r="IM8" s="28" t="str">
        <v>주간</v>
      </c>
      <c r="IN8" s="28" t="str">
        <v>야간</v>
      </c>
      <c r="IO8" s="28" t="str">
        <v>비번</v>
      </c>
      <c r="IP8" s="28" t="str">
        <v>휴무</v>
      </c>
      <c r="IQ8" s="28" t="str">
        <v>야간</v>
      </c>
      <c r="IR8" s="28" t="str">
        <v>비번</v>
      </c>
      <c r="IS8" s="28" t="str">
        <v>주간</v>
      </c>
      <c r="IT8" s="28" t="str">
        <v>야간</v>
      </c>
      <c r="IU8" s="28" t="str">
        <v>비번</v>
      </c>
      <c r="IV8" s="28" t="str">
        <v>휴무</v>
      </c>
      <c r="IW8" s="28" t="str">
        <v>당직</v>
      </c>
      <c r="IX8" s="28" t="str">
        <v>비번</v>
      </c>
      <c r="IY8" s="28" t="str">
        <v>주간</v>
      </c>
      <c r="IZ8" s="28" t="str">
        <v>야간</v>
      </c>
      <c r="JA8" s="28" t="str">
        <v>비번</v>
      </c>
      <c r="JB8" s="28" t="str">
        <v>주간</v>
      </c>
      <c r="JC8" s="28" t="str">
        <v>당직</v>
      </c>
      <c r="JD8" s="28" t="str">
        <v>비번</v>
      </c>
      <c r="JE8" s="28" t="str">
        <v>주간</v>
      </c>
      <c r="JF8" s="28" t="str">
        <v>야간</v>
      </c>
      <c r="JG8" s="28" t="str">
        <v>비번</v>
      </c>
      <c r="JH8" s="28" t="str">
        <v>휴무</v>
      </c>
      <c r="JI8" s="28" t="str">
        <v>당직</v>
      </c>
      <c r="JJ8" s="28" t="str">
        <v>비번</v>
      </c>
      <c r="JK8" s="28" t="str">
        <v>휴무</v>
      </c>
      <c r="JL8" s="28" t="str">
        <v>야간</v>
      </c>
      <c r="JM8" s="28" t="str">
        <v>비번</v>
      </c>
      <c r="JN8" s="28" t="str">
        <v>주간</v>
      </c>
      <c r="JO8" s="28" t="str">
        <v>야간</v>
      </c>
      <c r="JP8" s="28" t="str">
        <v>비번</v>
      </c>
      <c r="JQ8" s="28" t="str">
        <v>휴무</v>
      </c>
      <c r="JR8" s="28" t="str">
        <v>당직</v>
      </c>
      <c r="JS8" s="28" t="str">
        <v>비번</v>
      </c>
      <c r="JT8" s="28" t="str">
        <v>주간</v>
      </c>
      <c r="JU8" s="28" t="str">
        <v>야간</v>
      </c>
      <c r="JV8" s="28" t="str">
        <v>비번</v>
      </c>
      <c r="JW8" s="28" t="str">
        <v>휴무</v>
      </c>
      <c r="JX8" s="28" t="str">
        <v>당직</v>
      </c>
      <c r="JY8" s="28" t="str">
        <v>비번</v>
      </c>
      <c r="JZ8" s="28" t="str">
        <v>주간</v>
      </c>
      <c r="KA8" s="28" t="str">
        <v>야간</v>
      </c>
      <c r="KB8" s="28" t="str">
        <v>비번</v>
      </c>
      <c r="KC8" s="28" t="str">
        <v>주간</v>
      </c>
      <c r="KD8" s="28" t="str">
        <v>야간</v>
      </c>
      <c r="KE8" s="28" t="str">
        <v>비번</v>
      </c>
      <c r="KF8" s="28" t="str">
        <v>휴무</v>
      </c>
      <c r="KG8" s="28" t="str">
        <v>야간</v>
      </c>
      <c r="KH8" s="28" t="str">
        <v>비번</v>
      </c>
      <c r="KI8" s="28" t="str">
        <v>주간</v>
      </c>
      <c r="KJ8" s="28" t="str">
        <v>야간</v>
      </c>
      <c r="KK8" s="28" t="str">
        <v>비번</v>
      </c>
      <c r="KL8" s="28" t="str">
        <v>휴무</v>
      </c>
      <c r="KM8" s="28" t="str">
        <v>당직</v>
      </c>
      <c r="KN8" s="28" t="str">
        <v>비번</v>
      </c>
      <c r="KO8" s="28" t="str">
        <v>주간</v>
      </c>
      <c r="KP8" s="28" t="str">
        <v>야간</v>
      </c>
      <c r="KQ8" s="28" t="str">
        <v>비번</v>
      </c>
      <c r="KR8" s="28" t="str">
        <v>주간</v>
      </c>
      <c r="KS8" s="28" t="str">
        <v>당직</v>
      </c>
      <c r="KT8" s="28" t="str">
        <v>비번</v>
      </c>
      <c r="KU8" s="28" t="str">
        <v>주간</v>
      </c>
      <c r="KV8" s="28" t="str">
        <v>야간</v>
      </c>
      <c r="KW8" s="28" t="str">
        <v>비번</v>
      </c>
      <c r="KX8" s="28" t="str">
        <v>주간</v>
      </c>
      <c r="KY8" s="28" t="str">
        <v>야간</v>
      </c>
      <c r="KZ8" s="28" t="str">
        <v>비번</v>
      </c>
      <c r="LA8" s="28" t="str">
        <v>휴무</v>
      </c>
      <c r="LB8" s="28" t="str">
        <v>야간</v>
      </c>
      <c r="LC8" s="28" t="str">
        <v>비번</v>
      </c>
      <c r="LD8" s="28" t="str">
        <v>주간</v>
      </c>
      <c r="LE8" s="28" t="str">
        <v>야간</v>
      </c>
      <c r="LF8" s="28" t="str">
        <v>비번</v>
      </c>
      <c r="LG8" s="28" t="str">
        <v>휴무</v>
      </c>
      <c r="LH8" s="28" t="str">
        <v>당직</v>
      </c>
      <c r="LI8" s="28" t="str">
        <v>비번</v>
      </c>
      <c r="LJ8" s="28" t="str">
        <v>주간</v>
      </c>
      <c r="LK8" s="28" t="str">
        <v>야간</v>
      </c>
      <c r="LL8" s="28" t="str">
        <v>비번</v>
      </c>
      <c r="LM8" s="28" t="str">
        <v>주간</v>
      </c>
      <c r="LN8" s="28" t="str">
        <v>당직</v>
      </c>
      <c r="LO8" s="28" t="str">
        <v>비번</v>
      </c>
      <c r="LP8" s="28" t="str">
        <v>주간</v>
      </c>
      <c r="LQ8" s="28" t="str">
        <v>야간</v>
      </c>
      <c r="LR8" s="28" t="str">
        <v>비번</v>
      </c>
      <c r="LS8" s="28" t="str">
        <v>주간</v>
      </c>
      <c r="LT8" s="28" t="str">
        <v>야간</v>
      </c>
      <c r="LU8" s="28" t="str">
        <v>비번</v>
      </c>
      <c r="LV8" s="28" t="str">
        <v>휴무</v>
      </c>
      <c r="LW8" s="28" t="str">
        <v>야간</v>
      </c>
      <c r="LX8" s="28" t="str">
        <v>비번</v>
      </c>
      <c r="LY8" s="28" t="str">
        <v>주간</v>
      </c>
      <c r="LZ8" s="28" t="str">
        <v>야간</v>
      </c>
      <c r="MA8" s="28" t="str">
        <v>비번</v>
      </c>
      <c r="MB8" s="28" t="str">
        <v>휴무</v>
      </c>
      <c r="MC8" s="28" t="str">
        <v>당직</v>
      </c>
      <c r="MD8" s="28" t="str">
        <v>비번</v>
      </c>
      <c r="ME8" s="28" t="str">
        <v>주간</v>
      </c>
      <c r="MF8" s="28" t="str">
        <v>야간</v>
      </c>
      <c r="MG8" s="28" t="str">
        <v>비번</v>
      </c>
      <c r="MH8" s="28" t="str">
        <v>주간</v>
      </c>
      <c r="MI8" s="28" t="str">
        <v>당직</v>
      </c>
      <c r="MJ8" s="28" t="str">
        <v>비번</v>
      </c>
      <c r="MK8" s="28" t="str">
        <v>주간</v>
      </c>
      <c r="ML8" s="28" t="str">
        <v>야간</v>
      </c>
      <c r="MM8" s="28" t="str">
        <v>비번</v>
      </c>
      <c r="MN8" s="28" t="str">
        <v>주간</v>
      </c>
      <c r="MO8" s="28" t="str">
        <v>야간</v>
      </c>
      <c r="MP8" s="28" t="str">
        <v>비번</v>
      </c>
      <c r="MQ8" s="28" t="str">
        <v>휴무</v>
      </c>
      <c r="MR8" s="28" t="str">
        <v>야간</v>
      </c>
      <c r="MS8" s="28" t="str">
        <v>비번</v>
      </c>
      <c r="MT8" s="28" t="str">
        <v>주간</v>
      </c>
      <c r="MU8" s="28" t="str">
        <v>야간</v>
      </c>
      <c r="MV8" s="28" t="str">
        <v>비번</v>
      </c>
      <c r="MW8" s="28" t="str">
        <v>휴무</v>
      </c>
      <c r="MX8" s="28" t="str">
        <v>당직</v>
      </c>
      <c r="MY8" s="28" t="str">
        <v>비번</v>
      </c>
      <c r="MZ8" s="28" t="str">
        <v>주간</v>
      </c>
      <c r="NA8" s="28" t="str">
        <v>야간</v>
      </c>
      <c r="NB8" s="28" t="str">
        <v>비번</v>
      </c>
      <c r="NC8" s="28" t="str">
        <v>주간</v>
      </c>
      <c r="ND8" s="28" t="e">
        <v>#N/A</v>
      </c>
    </row>
    <row r="9" spans="1:368" hidden="1">
      <c r="A9" s="3" t="str">
        <v>주간
여부</v>
      </c>
      <c r="B9" s="2" t="str">
        <v/>
      </c>
      <c r="C9" s="2" t="str">
        <v/>
      </c>
      <c r="D9" s="2" t="str">
        <v/>
      </c>
      <c r="E9" s="2" t="str">
        <v/>
      </c>
      <c r="F9" s="2" t="str">
        <v/>
      </c>
      <c r="G9" s="2">
        <v>1</v>
      </c>
      <c r="H9" s="2" t="str">
        <v/>
      </c>
      <c r="I9" s="2" t="str">
        <v/>
      </c>
      <c r="J9" s="2">
        <v>1</v>
      </c>
      <c r="K9" s="2" t="str">
        <v/>
      </c>
      <c r="L9" s="2" t="str">
        <v/>
      </c>
      <c r="M9" s="2">
        <v>1</v>
      </c>
      <c r="N9" s="2" t="str">
        <v/>
      </c>
      <c r="O9" s="2" t="str">
        <v/>
      </c>
      <c r="P9" s="2">
        <v>1</v>
      </c>
      <c r="Q9" s="2" t="str">
        <v/>
      </c>
      <c r="R9" s="2" t="str">
        <v/>
      </c>
      <c r="S9" s="2" t="str">
        <v/>
      </c>
      <c r="T9" s="2" t="str">
        <v/>
      </c>
      <c r="U9" s="2" t="str">
        <v/>
      </c>
      <c r="V9" s="2">
        <v>1</v>
      </c>
      <c r="W9" s="2" t="str">
        <v/>
      </c>
      <c r="X9" s="2" t="str">
        <v/>
      </c>
      <c r="Y9" s="2" t="str">
        <v/>
      </c>
      <c r="Z9" s="2" t="str">
        <v/>
      </c>
      <c r="AA9" s="2" t="str">
        <v/>
      </c>
      <c r="AB9" s="2">
        <v>1</v>
      </c>
      <c r="AC9" s="2" t="str">
        <v/>
      </c>
      <c r="AD9" s="2" t="str">
        <v/>
      </c>
      <c r="AE9" s="2">
        <v>1</v>
      </c>
      <c r="AF9" s="2" t="str">
        <v/>
      </c>
      <c r="AG9" s="2" t="str">
        <v/>
      </c>
      <c r="AH9" s="2">
        <v>1</v>
      </c>
      <c r="AI9" s="2" t="str">
        <v/>
      </c>
      <c r="AJ9" s="2" t="str">
        <v/>
      </c>
      <c r="AK9" s="2">
        <v>1</v>
      </c>
      <c r="AL9" s="2" t="str">
        <v/>
      </c>
      <c r="AM9" s="2" t="str">
        <v/>
      </c>
      <c r="AN9" s="2" t="str">
        <v/>
      </c>
      <c r="AO9" s="2" t="str">
        <v/>
      </c>
      <c r="AP9" s="2" t="str">
        <v/>
      </c>
      <c r="AQ9" s="2">
        <v>1</v>
      </c>
      <c r="AR9" s="2" t="str">
        <v/>
      </c>
      <c r="AS9" s="2" t="str">
        <v/>
      </c>
      <c r="AT9" s="2" t="str">
        <v/>
      </c>
      <c r="AU9" s="2" t="str">
        <v/>
      </c>
      <c r="AV9" s="2" t="str">
        <v/>
      </c>
      <c r="AW9" s="2" t="str">
        <v/>
      </c>
      <c r="AX9" s="2" t="str">
        <v/>
      </c>
      <c r="AY9" s="2" t="str">
        <v/>
      </c>
      <c r="AZ9" s="2">
        <v>1</v>
      </c>
      <c r="BA9" s="2" t="str">
        <v/>
      </c>
      <c r="BB9" s="2" t="str">
        <v/>
      </c>
      <c r="BC9" s="2">
        <v>1</v>
      </c>
      <c r="BD9" s="2" t="str">
        <v/>
      </c>
      <c r="BE9" s="2" t="str">
        <v/>
      </c>
      <c r="BF9" s="2">
        <v>1</v>
      </c>
      <c r="BG9" s="2" t="str">
        <v/>
      </c>
      <c r="BH9" s="2" t="str">
        <v/>
      </c>
      <c r="BI9" s="2" t="str">
        <v/>
      </c>
      <c r="BJ9" s="2" t="str">
        <v/>
      </c>
      <c r="BK9" s="2" t="str">
        <v/>
      </c>
      <c r="BL9" s="2">
        <v>1</v>
      </c>
      <c r="BM9" s="2" t="str">
        <v/>
      </c>
      <c r="BN9" s="2" t="str">
        <v/>
      </c>
      <c r="BO9" s="2" t="str">
        <v/>
      </c>
      <c r="BP9" s="2" t="str">
        <v/>
      </c>
      <c r="BQ9" s="2" t="str">
        <v/>
      </c>
      <c r="BR9" s="2">
        <v>1</v>
      </c>
      <c r="BS9" s="2" t="str">
        <v/>
      </c>
      <c r="BT9" s="2" t="str">
        <v/>
      </c>
      <c r="BU9" s="2">
        <v>1</v>
      </c>
      <c r="BV9" s="2" t="str">
        <v/>
      </c>
      <c r="BW9" s="2" t="str">
        <v/>
      </c>
      <c r="BX9" s="2">
        <v>1</v>
      </c>
      <c r="BY9" s="2" t="str">
        <v/>
      </c>
      <c r="BZ9" s="2" t="str">
        <v/>
      </c>
      <c r="CA9" s="2">
        <v>1</v>
      </c>
      <c r="CB9" s="2" t="str">
        <v/>
      </c>
      <c r="CC9" s="2" t="str">
        <v/>
      </c>
      <c r="CD9" s="2" t="str">
        <v/>
      </c>
      <c r="CE9" s="2" t="str">
        <v/>
      </c>
      <c r="CF9" s="2" t="str">
        <v/>
      </c>
      <c r="CG9" s="2">
        <v>1</v>
      </c>
      <c r="CH9" s="2" t="str">
        <v/>
      </c>
      <c r="CI9" s="2" t="str">
        <v/>
      </c>
      <c r="CJ9" s="2" t="str">
        <v/>
      </c>
      <c r="CK9" s="2" t="str">
        <v/>
      </c>
      <c r="CL9" s="2" t="str">
        <v/>
      </c>
      <c r="CM9" s="2">
        <v>1</v>
      </c>
      <c r="CN9" s="2" t="str">
        <v/>
      </c>
      <c r="CO9" s="2" t="str">
        <v/>
      </c>
      <c r="CP9" s="2">
        <v>1</v>
      </c>
      <c r="CQ9" s="2" t="str">
        <v/>
      </c>
      <c r="CR9" s="2" t="str">
        <v/>
      </c>
      <c r="CS9" s="2">
        <v>1</v>
      </c>
      <c r="CT9" s="2" t="str">
        <v/>
      </c>
      <c r="CU9" s="2" t="str">
        <v/>
      </c>
      <c r="CV9" s="2">
        <v>1</v>
      </c>
      <c r="CW9" s="2" t="str">
        <v/>
      </c>
      <c r="CX9" s="2" t="str">
        <v/>
      </c>
      <c r="CY9" s="2" t="str">
        <v/>
      </c>
      <c r="CZ9" s="2" t="str">
        <v/>
      </c>
      <c r="DA9" s="2" t="str">
        <v/>
      </c>
      <c r="DB9" s="2">
        <v>1</v>
      </c>
      <c r="DC9" s="2" t="str">
        <v/>
      </c>
      <c r="DD9" s="2" t="str">
        <v/>
      </c>
      <c r="DE9" s="2" t="str">
        <v/>
      </c>
      <c r="DF9" s="2" t="str">
        <v/>
      </c>
      <c r="DG9" s="2" t="str">
        <v/>
      </c>
      <c r="DH9" s="2">
        <v>1</v>
      </c>
      <c r="DI9" s="2" t="str">
        <v/>
      </c>
      <c r="DJ9" s="2" t="str">
        <v/>
      </c>
      <c r="DK9" s="2">
        <v>1</v>
      </c>
      <c r="DL9" s="2" t="str">
        <v/>
      </c>
      <c r="DM9" s="2" t="str">
        <v/>
      </c>
      <c r="DN9" s="2">
        <v>1</v>
      </c>
      <c r="DO9" s="2" t="str">
        <v/>
      </c>
      <c r="DP9" s="2" t="str">
        <v/>
      </c>
      <c r="DQ9" s="2">
        <v>1</v>
      </c>
      <c r="DR9" s="2" t="str">
        <v/>
      </c>
      <c r="DS9" s="2" t="str">
        <v/>
      </c>
      <c r="DT9" s="2" t="str">
        <v/>
      </c>
      <c r="DU9" s="2" t="str">
        <v/>
      </c>
      <c r="DV9" s="2" t="str">
        <v/>
      </c>
      <c r="DW9" s="2">
        <v>1</v>
      </c>
      <c r="DX9" s="2" t="str">
        <v/>
      </c>
      <c r="DY9" s="2" t="str">
        <v/>
      </c>
      <c r="DZ9" s="2" t="str">
        <v/>
      </c>
      <c r="EA9" s="2" t="str">
        <v/>
      </c>
      <c r="EB9" s="2" t="str">
        <v/>
      </c>
      <c r="EC9" s="2">
        <v>1</v>
      </c>
      <c r="ED9" s="2" t="str">
        <v/>
      </c>
      <c r="EE9" s="2" t="str">
        <v/>
      </c>
      <c r="EF9" s="2">
        <v>1</v>
      </c>
      <c r="EG9" s="2" t="str">
        <v/>
      </c>
      <c r="EH9" s="2" t="str">
        <v/>
      </c>
      <c r="EI9" s="2">
        <v>1</v>
      </c>
      <c r="EJ9" s="2" t="str">
        <v/>
      </c>
      <c r="EK9" s="2" t="str">
        <v/>
      </c>
      <c r="EL9" s="2">
        <v>1</v>
      </c>
      <c r="EM9" s="2" t="str">
        <v/>
      </c>
      <c r="EN9" s="2" t="str">
        <v/>
      </c>
      <c r="EO9" s="2" t="str">
        <v/>
      </c>
      <c r="EP9" s="2" t="str">
        <v/>
      </c>
      <c r="EQ9" s="2" t="str">
        <v/>
      </c>
      <c r="ER9" s="2">
        <v>1</v>
      </c>
      <c r="ES9" s="2" t="str">
        <v/>
      </c>
      <c r="ET9" s="2" t="str">
        <v/>
      </c>
      <c r="EU9" s="2" t="str">
        <v/>
      </c>
      <c r="EV9" s="2" t="str">
        <v/>
      </c>
      <c r="EW9" s="2" t="str">
        <v/>
      </c>
      <c r="EX9" s="2">
        <v>1</v>
      </c>
      <c r="EY9" s="2" t="str">
        <v/>
      </c>
      <c r="EZ9" s="2" t="str">
        <v/>
      </c>
      <c r="FA9" s="2">
        <v>1</v>
      </c>
      <c r="FB9" s="2" t="str">
        <v/>
      </c>
      <c r="FC9" s="2" t="str">
        <v/>
      </c>
      <c r="FD9" s="2">
        <v>1</v>
      </c>
      <c r="FE9" s="2" t="str">
        <v/>
      </c>
      <c r="FF9" s="2" t="str">
        <v/>
      </c>
      <c r="FG9" s="2">
        <v>1</v>
      </c>
      <c r="FH9" s="2" t="str">
        <v/>
      </c>
      <c r="FI9" s="2" t="str">
        <v/>
      </c>
      <c r="FJ9" s="2" t="str">
        <v/>
      </c>
      <c r="FK9" s="2" t="str">
        <v/>
      </c>
      <c r="FL9" s="2" t="str">
        <v/>
      </c>
      <c r="FM9" s="2">
        <v>1</v>
      </c>
      <c r="FN9" s="2" t="str">
        <v/>
      </c>
      <c r="FO9" s="2" t="str">
        <v/>
      </c>
      <c r="FP9" s="2" t="str">
        <v/>
      </c>
      <c r="FQ9" s="2" t="str">
        <v/>
      </c>
      <c r="FR9" s="2" t="str">
        <v/>
      </c>
      <c r="FS9" s="2">
        <v>1</v>
      </c>
      <c r="FT9" s="2" t="str">
        <v/>
      </c>
      <c r="FU9" s="2" t="str">
        <v/>
      </c>
      <c r="FV9" s="2">
        <v>1</v>
      </c>
      <c r="FW9" s="2" t="str">
        <v/>
      </c>
      <c r="FX9" s="2" t="str">
        <v/>
      </c>
      <c r="FY9" s="2">
        <v>1</v>
      </c>
      <c r="FZ9" s="2" t="str">
        <v/>
      </c>
      <c r="GA9" s="2" t="str">
        <v/>
      </c>
      <c r="GB9" s="2">
        <v>1</v>
      </c>
      <c r="GC9" s="2" t="str">
        <v/>
      </c>
      <c r="GD9" s="2" t="str">
        <v/>
      </c>
      <c r="GE9" s="2" t="str">
        <v/>
      </c>
      <c r="GF9" s="2" t="str">
        <v/>
      </c>
      <c r="GG9" s="2" t="str">
        <v/>
      </c>
      <c r="GH9" s="2">
        <v>1</v>
      </c>
      <c r="GI9" s="2" t="str">
        <v/>
      </c>
      <c r="GJ9" s="2" t="str">
        <v/>
      </c>
      <c r="GK9" s="2" t="str">
        <v/>
      </c>
      <c r="GL9" s="2" t="str">
        <v/>
      </c>
      <c r="GM9" s="2" t="str">
        <v/>
      </c>
      <c r="GN9" s="2">
        <v>1</v>
      </c>
      <c r="GO9" s="2" t="str">
        <v/>
      </c>
      <c r="GP9" s="2" t="str">
        <v/>
      </c>
      <c r="GQ9" s="2" t="str">
        <v/>
      </c>
      <c r="GR9" s="2" t="str">
        <v/>
      </c>
      <c r="GS9" s="2" t="str">
        <v/>
      </c>
      <c r="GT9" s="2">
        <v>1</v>
      </c>
      <c r="GU9" s="2" t="str">
        <v/>
      </c>
      <c r="GV9" s="2" t="str">
        <v/>
      </c>
      <c r="GW9" s="2">
        <v>1</v>
      </c>
      <c r="GX9" s="2" t="str">
        <v/>
      </c>
      <c r="GY9" s="2" t="str">
        <v/>
      </c>
      <c r="GZ9" s="2" t="str">
        <v/>
      </c>
      <c r="HA9" s="2" t="str">
        <v/>
      </c>
      <c r="HB9" s="2" t="str">
        <v/>
      </c>
      <c r="HC9" s="2">
        <v>1</v>
      </c>
      <c r="HD9" s="2" t="str">
        <v/>
      </c>
      <c r="HE9" s="2" t="str">
        <v/>
      </c>
      <c r="HF9" s="2" t="str">
        <v/>
      </c>
      <c r="HG9" s="2" t="str">
        <v/>
      </c>
      <c r="HH9" s="2" t="str">
        <v/>
      </c>
      <c r="HI9" s="2">
        <v>1</v>
      </c>
      <c r="HJ9" s="2" t="str">
        <v/>
      </c>
      <c r="HK9" s="2" t="str">
        <v/>
      </c>
      <c r="HL9" s="2">
        <v>1</v>
      </c>
      <c r="HM9" s="2" t="str">
        <v/>
      </c>
      <c r="HN9" s="2" t="str">
        <v/>
      </c>
      <c r="HO9" s="2">
        <v>1</v>
      </c>
      <c r="HP9" s="2" t="str">
        <v/>
      </c>
      <c r="HQ9" s="2" t="str">
        <v/>
      </c>
      <c r="HR9" s="2">
        <v>1</v>
      </c>
      <c r="HS9" s="2" t="str">
        <v/>
      </c>
      <c r="HT9" s="2" t="str">
        <v/>
      </c>
      <c r="HU9" s="2" t="str">
        <v/>
      </c>
      <c r="HV9" s="2" t="str">
        <v/>
      </c>
      <c r="HW9" s="2" t="str">
        <v/>
      </c>
      <c r="HX9" s="2">
        <v>1</v>
      </c>
      <c r="HY9" s="2" t="str">
        <v/>
      </c>
      <c r="HZ9" s="2" t="str">
        <v/>
      </c>
      <c r="IA9" s="2" t="str">
        <v/>
      </c>
      <c r="IB9" s="2" t="str">
        <v/>
      </c>
      <c r="IC9" s="2" t="str">
        <v/>
      </c>
      <c r="ID9" s="2">
        <v>1</v>
      </c>
      <c r="IE9" s="2" t="str">
        <v/>
      </c>
      <c r="IF9" s="2" t="str">
        <v/>
      </c>
      <c r="IG9" s="2">
        <v>1</v>
      </c>
      <c r="IH9" s="2" t="str">
        <v/>
      </c>
      <c r="II9" s="2" t="str">
        <v/>
      </c>
      <c r="IJ9" s="2">
        <v>1</v>
      </c>
      <c r="IK9" s="2" t="str">
        <v/>
      </c>
      <c r="IL9" s="2" t="str">
        <v/>
      </c>
      <c r="IM9" s="2">
        <v>1</v>
      </c>
      <c r="IN9" s="2" t="str">
        <v/>
      </c>
      <c r="IO9" s="2" t="str">
        <v/>
      </c>
      <c r="IP9" s="2" t="str">
        <v/>
      </c>
      <c r="IQ9" s="2" t="str">
        <v/>
      </c>
      <c r="IR9" s="2" t="str">
        <v/>
      </c>
      <c r="IS9" s="2">
        <v>1</v>
      </c>
      <c r="IT9" s="2" t="str">
        <v/>
      </c>
      <c r="IU9" s="2" t="str">
        <v/>
      </c>
      <c r="IV9" s="2" t="str">
        <v/>
      </c>
      <c r="IW9" s="2" t="str">
        <v/>
      </c>
      <c r="IX9" s="2" t="str">
        <v/>
      </c>
      <c r="IY9" s="2">
        <v>1</v>
      </c>
      <c r="IZ9" s="2" t="str">
        <v/>
      </c>
      <c r="JA9" s="2" t="str">
        <v/>
      </c>
      <c r="JB9" s="2">
        <v>1</v>
      </c>
      <c r="JC9" s="2" t="str">
        <v/>
      </c>
      <c r="JD9" s="2" t="str">
        <v/>
      </c>
      <c r="JE9" s="2">
        <v>1</v>
      </c>
      <c r="JF9" s="2" t="str">
        <v/>
      </c>
      <c r="JG9" s="2" t="str">
        <v/>
      </c>
      <c r="JH9" s="2" t="str">
        <v/>
      </c>
      <c r="JI9" s="2" t="str">
        <v/>
      </c>
      <c r="JJ9" s="2" t="str">
        <v/>
      </c>
      <c r="JK9" s="2" t="str">
        <v/>
      </c>
      <c r="JL9" s="2" t="str">
        <v/>
      </c>
      <c r="JM9" s="2" t="str">
        <v/>
      </c>
      <c r="JN9" s="2">
        <v>1</v>
      </c>
      <c r="JO9" s="2" t="str">
        <v/>
      </c>
      <c r="JP9" s="2" t="str">
        <v/>
      </c>
      <c r="JQ9" s="2" t="str">
        <v/>
      </c>
      <c r="JR9" s="2" t="str">
        <v/>
      </c>
      <c r="JS9" s="2" t="str">
        <v/>
      </c>
      <c r="JT9" s="2">
        <v>1</v>
      </c>
      <c r="JU9" s="2" t="str">
        <v/>
      </c>
      <c r="JV9" s="2" t="str">
        <v/>
      </c>
      <c r="JW9" s="2" t="str">
        <v/>
      </c>
      <c r="JX9" s="2" t="str">
        <v/>
      </c>
      <c r="JY9" s="2" t="str">
        <v/>
      </c>
      <c r="JZ9" s="2">
        <v>1</v>
      </c>
      <c r="KA9" s="2" t="str">
        <v/>
      </c>
      <c r="KB9" s="2" t="str">
        <v/>
      </c>
      <c r="KC9" s="2">
        <v>1</v>
      </c>
      <c r="KD9" s="2" t="str">
        <v/>
      </c>
      <c r="KE9" s="2" t="str">
        <v/>
      </c>
      <c r="KF9" s="2" t="str">
        <v/>
      </c>
      <c r="KG9" s="2" t="str">
        <v/>
      </c>
      <c r="KH9" s="2" t="str">
        <v/>
      </c>
      <c r="KI9" s="2">
        <v>1</v>
      </c>
      <c r="KJ9" s="2" t="str">
        <v/>
      </c>
      <c r="KK9" s="2" t="str">
        <v/>
      </c>
      <c r="KL9" s="2" t="str">
        <v/>
      </c>
      <c r="KM9" s="2" t="str">
        <v/>
      </c>
      <c r="KN9" s="2" t="str">
        <v/>
      </c>
      <c r="KO9" s="2">
        <v>1</v>
      </c>
      <c r="KP9" s="2" t="str">
        <v/>
      </c>
      <c r="KQ9" s="2" t="str">
        <v/>
      </c>
      <c r="KR9" s="2">
        <v>1</v>
      </c>
      <c r="KS9" s="2" t="str">
        <v/>
      </c>
      <c r="KT9" s="2" t="str">
        <v/>
      </c>
      <c r="KU9" s="2">
        <v>1</v>
      </c>
      <c r="KV9" s="2" t="str">
        <v/>
      </c>
      <c r="KW9" s="2" t="str">
        <v/>
      </c>
      <c r="KX9" s="2">
        <v>1</v>
      </c>
      <c r="KY9" s="2" t="str">
        <v/>
      </c>
      <c r="KZ9" s="2" t="str">
        <v/>
      </c>
      <c r="LA9" s="2" t="str">
        <v/>
      </c>
      <c r="LB9" s="2" t="str">
        <v/>
      </c>
      <c r="LC9" s="2" t="str">
        <v/>
      </c>
      <c r="LD9" s="2">
        <v>1</v>
      </c>
      <c r="LE9" s="2" t="str">
        <v/>
      </c>
      <c r="LF9" s="2" t="str">
        <v/>
      </c>
      <c r="LG9" s="2" t="str">
        <v/>
      </c>
      <c r="LH9" s="2" t="str">
        <v/>
      </c>
      <c r="LI9" s="2" t="str">
        <v/>
      </c>
      <c r="LJ9" s="2">
        <v>1</v>
      </c>
      <c r="LK9" s="2" t="str">
        <v/>
      </c>
      <c r="LL9" s="2" t="str">
        <v/>
      </c>
      <c r="LM9" s="2">
        <v>1</v>
      </c>
      <c r="LN9" s="2" t="str">
        <v/>
      </c>
      <c r="LO9" s="2" t="str">
        <v/>
      </c>
      <c r="LP9" s="2">
        <v>1</v>
      </c>
      <c r="LQ9" s="2" t="str">
        <v/>
      </c>
      <c r="LR9" s="2" t="str">
        <v/>
      </c>
      <c r="LS9" s="2">
        <v>1</v>
      </c>
      <c r="LT9" s="2" t="str">
        <v/>
      </c>
      <c r="LU9" s="2" t="str">
        <v/>
      </c>
      <c r="LV9" s="2" t="str">
        <v/>
      </c>
      <c r="LW9" s="2" t="str">
        <v/>
      </c>
      <c r="LX9" s="2" t="str">
        <v/>
      </c>
      <c r="LY9" s="2">
        <v>1</v>
      </c>
      <c r="LZ9" s="2" t="str">
        <v/>
      </c>
      <c r="MA9" s="2" t="str">
        <v/>
      </c>
      <c r="MB9" s="2" t="str">
        <v/>
      </c>
      <c r="MC9" s="2" t="str">
        <v/>
      </c>
      <c r="MD9" s="2" t="str">
        <v/>
      </c>
      <c r="ME9" s="2">
        <v>1</v>
      </c>
      <c r="MF9" s="2" t="str">
        <v/>
      </c>
      <c r="MG9" s="2" t="str">
        <v/>
      </c>
      <c r="MH9" s="2">
        <v>1</v>
      </c>
      <c r="MI9" s="2" t="str">
        <v/>
      </c>
      <c r="MJ9" s="2" t="str">
        <v/>
      </c>
      <c r="MK9" s="2">
        <v>1</v>
      </c>
      <c r="ML9" s="2" t="str">
        <v/>
      </c>
      <c r="MM9" s="2" t="str">
        <v/>
      </c>
      <c r="MN9" s="2">
        <v>1</v>
      </c>
      <c r="MO9" s="2" t="str">
        <v/>
      </c>
      <c r="MP9" s="2" t="str">
        <v/>
      </c>
      <c r="MQ9" s="2" t="str">
        <v/>
      </c>
      <c r="MR9" s="2" t="str">
        <v/>
      </c>
      <c r="MS9" s="2" t="str">
        <v/>
      </c>
      <c r="MT9" s="2">
        <v>1</v>
      </c>
      <c r="MU9" s="2" t="str">
        <v/>
      </c>
      <c r="MV9" s="2" t="str">
        <v/>
      </c>
      <c r="MW9" s="2" t="str">
        <v/>
      </c>
      <c r="MX9" s="2" t="str">
        <v/>
      </c>
      <c r="MY9" s="2" t="str">
        <v/>
      </c>
      <c r="MZ9" s="2">
        <v>1</v>
      </c>
      <c r="NA9" s="2" t="str">
        <v/>
      </c>
      <c r="NB9" s="2" t="str">
        <v/>
      </c>
      <c r="NC9" s="2">
        <v>1</v>
      </c>
      <c r="ND9" s="2" t="e">
        <v>#N/A</v>
      </c>
    </row>
    <row r="10" spans="1:368" hidden="1">
      <c r="A10" s="3" t="str">
        <v>주간
개수</v>
      </c>
      <c r="B10" s="2" t="str">
        <v/>
      </c>
      <c r="C10" s="2" t="str">
        <v/>
      </c>
      <c r="D10" s="2" t="str">
        <v/>
      </c>
      <c r="E10" s="2" t="str">
        <v/>
      </c>
      <c r="F10" s="2" t="str">
        <v/>
      </c>
      <c r="G10" s="2">
        <v>1</v>
      </c>
      <c r="H10" s="2" t="str">
        <v/>
      </c>
      <c r="I10" s="2" t="str">
        <v/>
      </c>
      <c r="J10" s="2">
        <v>2</v>
      </c>
      <c r="K10" s="2" t="str">
        <v/>
      </c>
      <c r="L10" s="2" t="str">
        <v/>
      </c>
      <c r="M10" s="2">
        <v>3</v>
      </c>
      <c r="N10" s="2" t="str">
        <v/>
      </c>
      <c r="O10" s="2" t="str">
        <v/>
      </c>
      <c r="P10" s="2">
        <v>4</v>
      </c>
      <c r="Q10" s="2" t="str">
        <v/>
      </c>
      <c r="R10" s="2" t="str">
        <v/>
      </c>
      <c r="S10" s="2" t="str">
        <v/>
      </c>
      <c r="T10" s="2" t="str">
        <v/>
      </c>
      <c r="U10" s="2" t="str">
        <v/>
      </c>
      <c r="V10" s="2">
        <v>5</v>
      </c>
      <c r="W10" s="2" t="str">
        <v/>
      </c>
      <c r="X10" s="2" t="str">
        <v/>
      </c>
      <c r="Y10" s="2" t="str">
        <v/>
      </c>
      <c r="Z10" s="2" t="str">
        <v/>
      </c>
      <c r="AA10" s="2" t="str">
        <v/>
      </c>
      <c r="AB10" s="2">
        <v>6</v>
      </c>
      <c r="AC10" s="2" t="str">
        <v/>
      </c>
      <c r="AD10" s="2" t="str">
        <v/>
      </c>
      <c r="AE10" s="2">
        <v>7</v>
      </c>
      <c r="AF10" s="2" t="str">
        <v/>
      </c>
      <c r="AG10" s="2" t="str">
        <v/>
      </c>
      <c r="AH10" s="2">
        <v>8</v>
      </c>
      <c r="AI10" s="2" t="str">
        <v/>
      </c>
      <c r="AJ10" s="2" t="str">
        <v/>
      </c>
      <c r="AK10" s="2">
        <v>9</v>
      </c>
      <c r="AL10" s="2" t="str">
        <v/>
      </c>
      <c r="AM10" s="2" t="str">
        <v/>
      </c>
      <c r="AN10" s="2" t="str">
        <v/>
      </c>
      <c r="AO10" s="2" t="str">
        <v/>
      </c>
      <c r="AP10" s="2" t="str">
        <v/>
      </c>
      <c r="AQ10" s="2">
        <v>10</v>
      </c>
      <c r="AR10" s="2" t="str">
        <v/>
      </c>
      <c r="AS10" s="2" t="str">
        <v/>
      </c>
      <c r="AT10" s="2" t="str">
        <v/>
      </c>
      <c r="AU10" s="2" t="str">
        <v/>
      </c>
      <c r="AV10" s="2" t="str">
        <v/>
      </c>
      <c r="AW10" s="2" t="str">
        <v/>
      </c>
      <c r="AX10" s="2" t="str">
        <v/>
      </c>
      <c r="AY10" s="2" t="str">
        <v/>
      </c>
      <c r="AZ10" s="2">
        <v>11</v>
      </c>
      <c r="BA10" s="2" t="str">
        <v/>
      </c>
      <c r="BB10" s="2" t="str">
        <v/>
      </c>
      <c r="BC10" s="2">
        <v>12</v>
      </c>
      <c r="BD10" s="2" t="str">
        <v/>
      </c>
      <c r="BE10" s="2" t="str">
        <v/>
      </c>
      <c r="BF10" s="2">
        <v>13</v>
      </c>
      <c r="BG10" s="2" t="str">
        <v/>
      </c>
      <c r="BH10" s="2" t="str">
        <v/>
      </c>
      <c r="BI10" s="2" t="str">
        <v/>
      </c>
      <c r="BJ10" s="2" t="str">
        <v/>
      </c>
      <c r="BK10" s="2" t="str">
        <v/>
      </c>
      <c r="BL10" s="2">
        <v>14</v>
      </c>
      <c r="BM10" s="2" t="str">
        <v/>
      </c>
      <c r="BN10" s="2" t="str">
        <v/>
      </c>
      <c r="BO10" s="2" t="str">
        <v/>
      </c>
      <c r="BP10" s="2" t="str">
        <v/>
      </c>
      <c r="BQ10" s="2" t="str">
        <v/>
      </c>
      <c r="BR10" s="2">
        <v>15</v>
      </c>
      <c r="BS10" s="2" t="str">
        <v/>
      </c>
      <c r="BT10" s="2" t="str">
        <v/>
      </c>
      <c r="BU10" s="2">
        <v>16</v>
      </c>
      <c r="BV10" s="2" t="str">
        <v/>
      </c>
      <c r="BW10" s="2" t="str">
        <v/>
      </c>
      <c r="BX10" s="2">
        <v>17</v>
      </c>
      <c r="BY10" s="2" t="str">
        <v/>
      </c>
      <c r="BZ10" s="2" t="str">
        <v/>
      </c>
      <c r="CA10" s="2">
        <v>18</v>
      </c>
      <c r="CB10" s="2" t="str">
        <v/>
      </c>
      <c r="CC10" s="2" t="str">
        <v/>
      </c>
      <c r="CD10" s="2" t="str">
        <v/>
      </c>
      <c r="CE10" s="2" t="str">
        <v/>
      </c>
      <c r="CF10" s="2" t="str">
        <v/>
      </c>
      <c r="CG10" s="2">
        <v>19</v>
      </c>
      <c r="CH10" s="2" t="str">
        <v/>
      </c>
      <c r="CI10" s="2" t="str">
        <v/>
      </c>
      <c r="CJ10" s="2" t="str">
        <v/>
      </c>
      <c r="CK10" s="2" t="str">
        <v/>
      </c>
      <c r="CL10" s="2" t="str">
        <v/>
      </c>
      <c r="CM10" s="2">
        <v>20</v>
      </c>
      <c r="CN10" s="2" t="str">
        <v/>
      </c>
      <c r="CO10" s="2" t="str">
        <v/>
      </c>
      <c r="CP10" s="2">
        <v>21</v>
      </c>
      <c r="CQ10" s="2" t="str">
        <v/>
      </c>
      <c r="CR10" s="2" t="str">
        <v/>
      </c>
      <c r="CS10" s="2">
        <v>22</v>
      </c>
      <c r="CT10" s="2" t="str">
        <v/>
      </c>
      <c r="CU10" s="2" t="str">
        <v/>
      </c>
      <c r="CV10" s="2">
        <v>23</v>
      </c>
      <c r="CW10" s="2" t="str">
        <v/>
      </c>
      <c r="CX10" s="2" t="str">
        <v/>
      </c>
      <c r="CY10" s="2" t="str">
        <v/>
      </c>
      <c r="CZ10" s="2" t="str">
        <v/>
      </c>
      <c r="DA10" s="2" t="str">
        <v/>
      </c>
      <c r="DB10" s="2">
        <v>24</v>
      </c>
      <c r="DC10" s="2" t="str">
        <v/>
      </c>
      <c r="DD10" s="2" t="str">
        <v/>
      </c>
      <c r="DE10" s="2" t="str">
        <v/>
      </c>
      <c r="DF10" s="2" t="str">
        <v/>
      </c>
      <c r="DG10" s="2" t="str">
        <v/>
      </c>
      <c r="DH10" s="2">
        <v>25</v>
      </c>
      <c r="DI10" s="2" t="str">
        <v/>
      </c>
      <c r="DJ10" s="2" t="str">
        <v/>
      </c>
      <c r="DK10" s="2">
        <v>26</v>
      </c>
      <c r="DL10" s="2" t="str">
        <v/>
      </c>
      <c r="DM10" s="2" t="str">
        <v/>
      </c>
      <c r="DN10" s="2">
        <v>27</v>
      </c>
      <c r="DO10" s="2" t="str">
        <v/>
      </c>
      <c r="DP10" s="2" t="str">
        <v/>
      </c>
      <c r="DQ10" s="2">
        <v>28</v>
      </c>
      <c r="DR10" s="2" t="str">
        <v/>
      </c>
      <c r="DS10" s="2" t="str">
        <v/>
      </c>
      <c r="DT10" s="2" t="str">
        <v/>
      </c>
      <c r="DU10" s="2" t="str">
        <v/>
      </c>
      <c r="DV10" s="2" t="str">
        <v/>
      </c>
      <c r="DW10" s="2">
        <v>29</v>
      </c>
      <c r="DX10" s="2" t="str">
        <v/>
      </c>
      <c r="DY10" s="2" t="str">
        <v/>
      </c>
      <c r="DZ10" s="2" t="str">
        <v/>
      </c>
      <c r="EA10" s="2" t="str">
        <v/>
      </c>
      <c r="EB10" s="2" t="str">
        <v/>
      </c>
      <c r="EC10" s="2">
        <v>30</v>
      </c>
      <c r="ED10" s="2" t="str">
        <v/>
      </c>
      <c r="EE10" s="2" t="str">
        <v/>
      </c>
      <c r="EF10" s="2">
        <v>31</v>
      </c>
      <c r="EG10" s="2" t="str">
        <v/>
      </c>
      <c r="EH10" s="2" t="str">
        <v/>
      </c>
      <c r="EI10" s="2">
        <v>32</v>
      </c>
      <c r="EJ10" s="2" t="str">
        <v/>
      </c>
      <c r="EK10" s="2" t="str">
        <v/>
      </c>
      <c r="EL10" s="2">
        <v>33</v>
      </c>
      <c r="EM10" s="2" t="str">
        <v/>
      </c>
      <c r="EN10" s="2" t="str">
        <v/>
      </c>
      <c r="EO10" s="2" t="str">
        <v/>
      </c>
      <c r="EP10" s="2" t="str">
        <v/>
      </c>
      <c r="EQ10" s="2" t="str">
        <v/>
      </c>
      <c r="ER10" s="2">
        <v>34</v>
      </c>
      <c r="ES10" s="2" t="str">
        <v/>
      </c>
      <c r="ET10" s="2" t="str">
        <v/>
      </c>
      <c r="EU10" s="2" t="str">
        <v/>
      </c>
      <c r="EV10" s="2" t="str">
        <v/>
      </c>
      <c r="EW10" s="2" t="str">
        <v/>
      </c>
      <c r="EX10" s="2">
        <v>35</v>
      </c>
      <c r="EY10" s="2" t="str">
        <v/>
      </c>
      <c r="EZ10" s="2" t="str">
        <v/>
      </c>
      <c r="FA10" s="2">
        <v>36</v>
      </c>
      <c r="FB10" s="2" t="str">
        <v/>
      </c>
      <c r="FC10" s="2" t="str">
        <v/>
      </c>
      <c r="FD10" s="2">
        <v>37</v>
      </c>
      <c r="FE10" s="2" t="str">
        <v/>
      </c>
      <c r="FF10" s="2" t="str">
        <v/>
      </c>
      <c r="FG10" s="2">
        <v>38</v>
      </c>
      <c r="FH10" s="2" t="str">
        <v/>
      </c>
      <c r="FI10" s="2" t="str">
        <v/>
      </c>
      <c r="FJ10" s="2" t="str">
        <v/>
      </c>
      <c r="FK10" s="2" t="str">
        <v/>
      </c>
      <c r="FL10" s="2" t="str">
        <v/>
      </c>
      <c r="FM10" s="2">
        <v>39</v>
      </c>
      <c r="FN10" s="2" t="str">
        <v/>
      </c>
      <c r="FO10" s="2" t="str">
        <v/>
      </c>
      <c r="FP10" s="2" t="str">
        <v/>
      </c>
      <c r="FQ10" s="2" t="str">
        <v/>
      </c>
      <c r="FR10" s="2" t="str">
        <v/>
      </c>
      <c r="FS10" s="2">
        <v>40</v>
      </c>
      <c r="FT10" s="2" t="str">
        <v/>
      </c>
      <c r="FU10" s="2" t="str">
        <v/>
      </c>
      <c r="FV10" s="2">
        <v>41</v>
      </c>
      <c r="FW10" s="2" t="str">
        <v/>
      </c>
      <c r="FX10" s="2" t="str">
        <v/>
      </c>
      <c r="FY10" s="2">
        <v>42</v>
      </c>
      <c r="FZ10" s="2" t="str">
        <v/>
      </c>
      <c r="GA10" s="2" t="str">
        <v/>
      </c>
      <c r="GB10" s="2">
        <v>43</v>
      </c>
      <c r="GC10" s="2" t="str">
        <v/>
      </c>
      <c r="GD10" s="2" t="str">
        <v/>
      </c>
      <c r="GE10" s="2" t="str">
        <v/>
      </c>
      <c r="GF10" s="2" t="str">
        <v/>
      </c>
      <c r="GG10" s="2" t="str">
        <v/>
      </c>
      <c r="GH10" s="2">
        <v>44</v>
      </c>
      <c r="GI10" s="2" t="str">
        <v/>
      </c>
      <c r="GJ10" s="2" t="str">
        <v/>
      </c>
      <c r="GK10" s="2" t="str">
        <v/>
      </c>
      <c r="GL10" s="2" t="str">
        <v/>
      </c>
      <c r="GM10" s="2" t="str">
        <v/>
      </c>
      <c r="GN10" s="2">
        <v>45</v>
      </c>
      <c r="GO10" s="2" t="str">
        <v/>
      </c>
      <c r="GP10" s="2" t="str">
        <v/>
      </c>
      <c r="GQ10" s="2" t="str">
        <v/>
      </c>
      <c r="GR10" s="2" t="str">
        <v/>
      </c>
      <c r="GS10" s="2" t="str">
        <v/>
      </c>
      <c r="GT10" s="2">
        <v>46</v>
      </c>
      <c r="GU10" s="2" t="str">
        <v/>
      </c>
      <c r="GV10" s="2" t="str">
        <v/>
      </c>
      <c r="GW10" s="2">
        <v>47</v>
      </c>
      <c r="GX10" s="2" t="str">
        <v/>
      </c>
      <c r="GY10" s="2" t="str">
        <v/>
      </c>
      <c r="GZ10" s="2" t="str">
        <v/>
      </c>
      <c r="HA10" s="2" t="str">
        <v/>
      </c>
      <c r="HB10" s="2" t="str">
        <v/>
      </c>
      <c r="HC10" s="2">
        <v>48</v>
      </c>
      <c r="HD10" s="2" t="str">
        <v/>
      </c>
      <c r="HE10" s="2" t="str">
        <v/>
      </c>
      <c r="HF10" s="2" t="str">
        <v/>
      </c>
      <c r="HG10" s="2" t="str">
        <v/>
      </c>
      <c r="HH10" s="2" t="str">
        <v/>
      </c>
      <c r="HI10" s="2">
        <v>49</v>
      </c>
      <c r="HJ10" s="2" t="str">
        <v/>
      </c>
      <c r="HK10" s="2" t="str">
        <v/>
      </c>
      <c r="HL10" s="2">
        <v>50</v>
      </c>
      <c r="HM10" s="2" t="str">
        <v/>
      </c>
      <c r="HN10" s="2" t="str">
        <v/>
      </c>
      <c r="HO10" s="2">
        <v>51</v>
      </c>
      <c r="HP10" s="2" t="str">
        <v/>
      </c>
      <c r="HQ10" s="2" t="str">
        <v/>
      </c>
      <c r="HR10" s="2">
        <v>52</v>
      </c>
      <c r="HS10" s="2" t="str">
        <v/>
      </c>
      <c r="HT10" s="2" t="str">
        <v/>
      </c>
      <c r="HU10" s="2" t="str">
        <v/>
      </c>
      <c r="HV10" s="2" t="str">
        <v/>
      </c>
      <c r="HW10" s="2" t="str">
        <v/>
      </c>
      <c r="HX10" s="2">
        <v>53</v>
      </c>
      <c r="HY10" s="2" t="str">
        <v/>
      </c>
      <c r="HZ10" s="2" t="str">
        <v/>
      </c>
      <c r="IA10" s="2" t="str">
        <v/>
      </c>
      <c r="IB10" s="2" t="str">
        <v/>
      </c>
      <c r="IC10" s="2" t="str">
        <v/>
      </c>
      <c r="ID10" s="2">
        <v>54</v>
      </c>
      <c r="IE10" s="2" t="str">
        <v/>
      </c>
      <c r="IF10" s="2" t="str">
        <v/>
      </c>
      <c r="IG10" s="2">
        <v>55</v>
      </c>
      <c r="IH10" s="2" t="str">
        <v/>
      </c>
      <c r="II10" s="2" t="str">
        <v/>
      </c>
      <c r="IJ10" s="2">
        <v>56</v>
      </c>
      <c r="IK10" s="2" t="str">
        <v/>
      </c>
      <c r="IL10" s="2" t="str">
        <v/>
      </c>
      <c r="IM10" s="2">
        <v>57</v>
      </c>
      <c r="IN10" s="2" t="str">
        <v/>
      </c>
      <c r="IO10" s="2" t="str">
        <v/>
      </c>
      <c r="IP10" s="2" t="str">
        <v/>
      </c>
      <c r="IQ10" s="2" t="str">
        <v/>
      </c>
      <c r="IR10" s="2" t="str">
        <v/>
      </c>
      <c r="IS10" s="2">
        <v>58</v>
      </c>
      <c r="IT10" s="2" t="str">
        <v/>
      </c>
      <c r="IU10" s="2" t="str">
        <v/>
      </c>
      <c r="IV10" s="2" t="str">
        <v/>
      </c>
      <c r="IW10" s="2" t="str">
        <v/>
      </c>
      <c r="IX10" s="2" t="str">
        <v/>
      </c>
      <c r="IY10" s="2">
        <v>59</v>
      </c>
      <c r="IZ10" s="2" t="str">
        <v/>
      </c>
      <c r="JA10" s="2" t="str">
        <v/>
      </c>
      <c r="JB10" s="2">
        <v>60</v>
      </c>
      <c r="JC10" s="2" t="str">
        <v/>
      </c>
      <c r="JD10" s="2" t="str">
        <v/>
      </c>
      <c r="JE10" s="2">
        <v>61</v>
      </c>
      <c r="JF10" s="2" t="str">
        <v/>
      </c>
      <c r="JG10" s="2" t="str">
        <v/>
      </c>
      <c r="JH10" s="2" t="str">
        <v/>
      </c>
      <c r="JI10" s="2" t="str">
        <v/>
      </c>
      <c r="JJ10" s="2" t="str">
        <v/>
      </c>
      <c r="JK10" s="2" t="str">
        <v/>
      </c>
      <c r="JL10" s="2" t="str">
        <v/>
      </c>
      <c r="JM10" s="2" t="str">
        <v/>
      </c>
      <c r="JN10" s="2">
        <v>62</v>
      </c>
      <c r="JO10" s="2" t="str">
        <v/>
      </c>
      <c r="JP10" s="2" t="str">
        <v/>
      </c>
      <c r="JQ10" s="2" t="str">
        <v/>
      </c>
      <c r="JR10" s="2" t="str">
        <v/>
      </c>
      <c r="JS10" s="2" t="str">
        <v/>
      </c>
      <c r="JT10" s="2">
        <v>63</v>
      </c>
      <c r="JU10" s="2" t="str">
        <v/>
      </c>
      <c r="JV10" s="2" t="str">
        <v/>
      </c>
      <c r="JW10" s="2" t="str">
        <v/>
      </c>
      <c r="JX10" s="2" t="str">
        <v/>
      </c>
      <c r="JY10" s="2" t="str">
        <v/>
      </c>
      <c r="JZ10" s="2">
        <v>64</v>
      </c>
      <c r="KA10" s="2" t="str">
        <v/>
      </c>
      <c r="KB10" s="2" t="str">
        <v/>
      </c>
      <c r="KC10" s="2">
        <v>65</v>
      </c>
      <c r="KD10" s="2" t="str">
        <v/>
      </c>
      <c r="KE10" s="2" t="str">
        <v/>
      </c>
      <c r="KF10" s="2" t="str">
        <v/>
      </c>
      <c r="KG10" s="2" t="str">
        <v/>
      </c>
      <c r="KH10" s="2" t="str">
        <v/>
      </c>
      <c r="KI10" s="2">
        <v>66</v>
      </c>
      <c r="KJ10" s="2" t="str">
        <v/>
      </c>
      <c r="KK10" s="2" t="str">
        <v/>
      </c>
      <c r="KL10" s="2" t="str">
        <v/>
      </c>
      <c r="KM10" s="2" t="str">
        <v/>
      </c>
      <c r="KN10" s="2" t="str">
        <v/>
      </c>
      <c r="KO10" s="2">
        <v>67</v>
      </c>
      <c r="KP10" s="2" t="str">
        <v/>
      </c>
      <c r="KQ10" s="2" t="str">
        <v/>
      </c>
      <c r="KR10" s="2">
        <v>68</v>
      </c>
      <c r="KS10" s="2" t="str">
        <v/>
      </c>
      <c r="KT10" s="2" t="str">
        <v/>
      </c>
      <c r="KU10" s="2">
        <v>69</v>
      </c>
      <c r="KV10" s="2" t="str">
        <v/>
      </c>
      <c r="KW10" s="2" t="str">
        <v/>
      </c>
      <c r="KX10" s="2">
        <v>70</v>
      </c>
      <c r="KY10" s="2" t="str">
        <v/>
      </c>
      <c r="KZ10" s="2" t="str">
        <v/>
      </c>
      <c r="LA10" s="2" t="str">
        <v/>
      </c>
      <c r="LB10" s="2" t="str">
        <v/>
      </c>
      <c r="LC10" s="2" t="str">
        <v/>
      </c>
      <c r="LD10" s="2">
        <v>71</v>
      </c>
      <c r="LE10" s="2" t="str">
        <v/>
      </c>
      <c r="LF10" s="2" t="str">
        <v/>
      </c>
      <c r="LG10" s="2" t="str">
        <v/>
      </c>
      <c r="LH10" s="2" t="str">
        <v/>
      </c>
      <c r="LI10" s="2" t="str">
        <v/>
      </c>
      <c r="LJ10" s="2">
        <v>72</v>
      </c>
      <c r="LK10" s="2" t="str">
        <v/>
      </c>
      <c r="LL10" s="2" t="str">
        <v/>
      </c>
      <c r="LM10" s="2">
        <v>73</v>
      </c>
      <c r="LN10" s="2" t="str">
        <v/>
      </c>
      <c r="LO10" s="2" t="str">
        <v/>
      </c>
      <c r="LP10" s="2">
        <v>74</v>
      </c>
      <c r="LQ10" s="2" t="str">
        <v/>
      </c>
      <c r="LR10" s="2" t="str">
        <v/>
      </c>
      <c r="LS10" s="2">
        <v>75</v>
      </c>
      <c r="LT10" s="2" t="str">
        <v/>
      </c>
      <c r="LU10" s="2" t="str">
        <v/>
      </c>
      <c r="LV10" s="2" t="str">
        <v/>
      </c>
      <c r="LW10" s="2" t="str">
        <v/>
      </c>
      <c r="LX10" s="2" t="str">
        <v/>
      </c>
      <c r="LY10" s="2">
        <v>76</v>
      </c>
      <c r="LZ10" s="2" t="str">
        <v/>
      </c>
      <c r="MA10" s="2" t="str">
        <v/>
      </c>
      <c r="MB10" s="2" t="str">
        <v/>
      </c>
      <c r="MC10" s="2" t="str">
        <v/>
      </c>
      <c r="MD10" s="2" t="str">
        <v/>
      </c>
      <c r="ME10" s="2">
        <v>77</v>
      </c>
      <c r="MF10" s="2" t="str">
        <v/>
      </c>
      <c r="MG10" s="2" t="str">
        <v/>
      </c>
      <c r="MH10" s="2">
        <v>78</v>
      </c>
      <c r="MI10" s="2" t="str">
        <v/>
      </c>
      <c r="MJ10" s="2" t="str">
        <v/>
      </c>
      <c r="MK10" s="2">
        <v>79</v>
      </c>
      <c r="ML10" s="2" t="str">
        <v/>
      </c>
      <c r="MM10" s="2" t="str">
        <v/>
      </c>
      <c r="MN10" s="2">
        <v>80</v>
      </c>
      <c r="MO10" s="2" t="str">
        <v/>
      </c>
      <c r="MP10" s="2" t="str">
        <v/>
      </c>
      <c r="MQ10" s="2" t="str">
        <v/>
      </c>
      <c r="MR10" s="2" t="str">
        <v/>
      </c>
      <c r="MS10" s="2" t="str">
        <v/>
      </c>
      <c r="MT10" s="2">
        <v>81</v>
      </c>
      <c r="MU10" s="2" t="str">
        <v/>
      </c>
      <c r="MV10" s="2" t="str">
        <v/>
      </c>
      <c r="MW10" s="2" t="str">
        <v/>
      </c>
      <c r="MX10" s="2" t="str">
        <v/>
      </c>
      <c r="MY10" s="2" t="str">
        <v/>
      </c>
      <c r="MZ10" s="2">
        <v>82</v>
      </c>
      <c r="NA10" s="2" t="str">
        <v/>
      </c>
      <c r="NB10" s="2" t="str">
        <v/>
      </c>
      <c r="NC10" s="2">
        <v>83</v>
      </c>
      <c r="ND10" s="2" t="e">
        <v>#N/A</v>
      </c>
    </row>
    <row r="11" spans="1:368" hidden="1">
      <c r="A11" s="3" t="str">
        <v>주간_변환1
지원동</v>
      </c>
      <c r="B11" s="2" t="str">
        <v/>
      </c>
      <c r="C11" s="2" t="str">
        <v/>
      </c>
      <c r="D11" s="2" t="str">
        <v/>
      </c>
      <c r="E11" s="2" t="str">
        <v/>
      </c>
      <c r="F11" s="2" t="str">
        <v/>
      </c>
      <c r="G11" s="2">
        <v>3</v>
      </c>
      <c r="H11" s="2" t="str">
        <v/>
      </c>
      <c r="I11" s="2" t="str">
        <v/>
      </c>
      <c r="J11" s="2">
        <v>2</v>
      </c>
      <c r="K11" s="2" t="str">
        <v/>
      </c>
      <c r="L11" s="2" t="str">
        <v/>
      </c>
      <c r="M11" s="2">
        <v>1</v>
      </c>
      <c r="N11" s="2" t="str">
        <v/>
      </c>
      <c r="O11" s="2" t="str">
        <v/>
      </c>
      <c r="P11" s="2">
        <v>4</v>
      </c>
      <c r="Q11" s="2" t="str">
        <v/>
      </c>
      <c r="R11" s="2" t="str">
        <v/>
      </c>
      <c r="S11" s="2" t="str">
        <v/>
      </c>
      <c r="T11" s="2" t="str">
        <v/>
      </c>
      <c r="U11" s="2" t="str">
        <v/>
      </c>
      <c r="V11" s="2">
        <v>3</v>
      </c>
      <c r="W11" s="2" t="str">
        <v/>
      </c>
      <c r="X11" s="2" t="str">
        <v/>
      </c>
      <c r="Y11" s="2" t="str">
        <v/>
      </c>
      <c r="Z11" s="2" t="str">
        <v/>
      </c>
      <c r="AA11" s="2" t="str">
        <v/>
      </c>
      <c r="AB11" s="2">
        <v>2</v>
      </c>
      <c r="AC11" s="2" t="str">
        <v/>
      </c>
      <c r="AD11" s="2" t="str">
        <v/>
      </c>
      <c r="AE11" s="2">
        <v>1</v>
      </c>
      <c r="AF11" s="2" t="str">
        <v/>
      </c>
      <c r="AG11" s="2" t="str">
        <v/>
      </c>
      <c r="AH11" s="2">
        <v>4</v>
      </c>
      <c r="AI11" s="2" t="str">
        <v/>
      </c>
      <c r="AJ11" s="2" t="str">
        <v/>
      </c>
      <c r="AK11" s="2">
        <v>3</v>
      </c>
      <c r="AL11" s="2" t="str">
        <v/>
      </c>
      <c r="AM11" s="2" t="str">
        <v/>
      </c>
      <c r="AN11" s="2" t="str">
        <v/>
      </c>
      <c r="AO11" s="2" t="str">
        <v/>
      </c>
      <c r="AP11" s="2" t="str">
        <v/>
      </c>
      <c r="AQ11" s="2">
        <v>2</v>
      </c>
      <c r="AR11" s="2" t="str">
        <v/>
      </c>
      <c r="AS11" s="2" t="str">
        <v/>
      </c>
      <c r="AT11" s="2" t="str">
        <v/>
      </c>
      <c r="AU11" s="2" t="str">
        <v/>
      </c>
      <c r="AV11" s="2" t="str">
        <v/>
      </c>
      <c r="AW11" s="2" t="str">
        <v/>
      </c>
      <c r="AX11" s="2" t="str">
        <v/>
      </c>
      <c r="AY11" s="2" t="str">
        <v/>
      </c>
      <c r="AZ11" s="2">
        <v>1</v>
      </c>
      <c r="BA11" s="2" t="str">
        <v/>
      </c>
      <c r="BB11" s="2" t="str">
        <v/>
      </c>
      <c r="BC11" s="2">
        <v>4</v>
      </c>
      <c r="BD11" s="2" t="str">
        <v/>
      </c>
      <c r="BE11" s="2" t="str">
        <v/>
      </c>
      <c r="BF11" s="2">
        <v>3</v>
      </c>
      <c r="BG11" s="2" t="str">
        <v/>
      </c>
      <c r="BH11" s="2" t="str">
        <v/>
      </c>
      <c r="BI11" s="2" t="str">
        <v/>
      </c>
      <c r="BJ11" s="2" t="str">
        <v/>
      </c>
      <c r="BK11" s="2" t="str">
        <v/>
      </c>
      <c r="BL11" s="2">
        <v>2</v>
      </c>
      <c r="BM11" s="2" t="str">
        <v/>
      </c>
      <c r="BN11" s="2" t="str">
        <v/>
      </c>
      <c r="BO11" s="2" t="str">
        <v/>
      </c>
      <c r="BP11" s="2" t="str">
        <v/>
      </c>
      <c r="BQ11" s="2" t="str">
        <v/>
      </c>
      <c r="BR11" s="2">
        <v>1</v>
      </c>
      <c r="BS11" s="2" t="str">
        <v/>
      </c>
      <c r="BT11" s="2" t="str">
        <v/>
      </c>
      <c r="BU11" s="2">
        <v>4</v>
      </c>
      <c r="BV11" s="2" t="str">
        <v/>
      </c>
      <c r="BW11" s="2" t="str">
        <v/>
      </c>
      <c r="BX11" s="2">
        <v>3</v>
      </c>
      <c r="BY11" s="2" t="str">
        <v/>
      </c>
      <c r="BZ11" s="2" t="str">
        <v/>
      </c>
      <c r="CA11" s="2">
        <v>2</v>
      </c>
      <c r="CB11" s="2" t="str">
        <v/>
      </c>
      <c r="CC11" s="2" t="str">
        <v/>
      </c>
      <c r="CD11" s="2" t="str">
        <v/>
      </c>
      <c r="CE11" s="2" t="str">
        <v/>
      </c>
      <c r="CF11" s="2" t="str">
        <v/>
      </c>
      <c r="CG11" s="2">
        <v>1</v>
      </c>
      <c r="CH11" s="2" t="str">
        <v/>
      </c>
      <c r="CI11" s="2" t="str">
        <v/>
      </c>
      <c r="CJ11" s="2" t="str">
        <v/>
      </c>
      <c r="CK11" s="2" t="str">
        <v/>
      </c>
      <c r="CL11" s="2" t="str">
        <v/>
      </c>
      <c r="CM11" s="2">
        <v>4</v>
      </c>
      <c r="CN11" s="2" t="str">
        <v/>
      </c>
      <c r="CO11" s="2" t="str">
        <v/>
      </c>
      <c r="CP11" s="2">
        <v>3</v>
      </c>
      <c r="CQ11" s="2" t="str">
        <v/>
      </c>
      <c r="CR11" s="2" t="str">
        <v/>
      </c>
      <c r="CS11" s="2">
        <v>2</v>
      </c>
      <c r="CT11" s="2" t="str">
        <v/>
      </c>
      <c r="CU11" s="2" t="str">
        <v/>
      </c>
      <c r="CV11" s="2">
        <v>1</v>
      </c>
      <c r="CW11" s="2" t="str">
        <v/>
      </c>
      <c r="CX11" s="2" t="str">
        <v/>
      </c>
      <c r="CY11" s="2" t="str">
        <v/>
      </c>
      <c r="CZ11" s="2" t="str">
        <v/>
      </c>
      <c r="DA11" s="2" t="str">
        <v/>
      </c>
      <c r="DB11" s="2">
        <v>4</v>
      </c>
      <c r="DC11" s="2" t="str">
        <v/>
      </c>
      <c r="DD11" s="2" t="str">
        <v/>
      </c>
      <c r="DE11" s="2" t="str">
        <v/>
      </c>
      <c r="DF11" s="2" t="str">
        <v/>
      </c>
      <c r="DG11" s="2" t="str">
        <v/>
      </c>
      <c r="DH11" s="2">
        <v>3</v>
      </c>
      <c r="DI11" s="2" t="str">
        <v/>
      </c>
      <c r="DJ11" s="2" t="str">
        <v/>
      </c>
      <c r="DK11" s="2">
        <v>2</v>
      </c>
      <c r="DL11" s="2" t="str">
        <v/>
      </c>
      <c r="DM11" s="2" t="str">
        <v/>
      </c>
      <c r="DN11" s="2">
        <v>1</v>
      </c>
      <c r="DO11" s="2" t="str">
        <v/>
      </c>
      <c r="DP11" s="2" t="str">
        <v/>
      </c>
      <c r="DQ11" s="2">
        <v>4</v>
      </c>
      <c r="DR11" s="2" t="str">
        <v/>
      </c>
      <c r="DS11" s="2" t="str">
        <v/>
      </c>
      <c r="DT11" s="2" t="str">
        <v/>
      </c>
      <c r="DU11" s="2" t="str">
        <v/>
      </c>
      <c r="DV11" s="2" t="str">
        <v/>
      </c>
      <c r="DW11" s="2">
        <v>3</v>
      </c>
      <c r="DX11" s="2" t="str">
        <v/>
      </c>
      <c r="DY11" s="2" t="str">
        <v/>
      </c>
      <c r="DZ11" s="2" t="str">
        <v/>
      </c>
      <c r="EA11" s="2" t="str">
        <v/>
      </c>
      <c r="EB11" s="2" t="str">
        <v/>
      </c>
      <c r="EC11" s="2">
        <v>2</v>
      </c>
      <c r="ED11" s="2" t="str">
        <v/>
      </c>
      <c r="EE11" s="2" t="str">
        <v/>
      </c>
      <c r="EF11" s="2">
        <v>1</v>
      </c>
      <c r="EG11" s="2" t="str">
        <v/>
      </c>
      <c r="EH11" s="2" t="str">
        <v/>
      </c>
      <c r="EI11" s="2">
        <v>4</v>
      </c>
      <c r="EJ11" s="2" t="str">
        <v/>
      </c>
      <c r="EK11" s="2" t="str">
        <v/>
      </c>
      <c r="EL11" s="2">
        <v>3</v>
      </c>
      <c r="EM11" s="2" t="str">
        <v/>
      </c>
      <c r="EN11" s="2" t="str">
        <v/>
      </c>
      <c r="EO11" s="2" t="str">
        <v/>
      </c>
      <c r="EP11" s="2" t="str">
        <v/>
      </c>
      <c r="EQ11" s="2" t="str">
        <v/>
      </c>
      <c r="ER11" s="2">
        <v>2</v>
      </c>
      <c r="ES11" s="2" t="str">
        <v/>
      </c>
      <c r="ET11" s="2" t="str">
        <v/>
      </c>
      <c r="EU11" s="2" t="str">
        <v/>
      </c>
      <c r="EV11" s="2" t="str">
        <v/>
      </c>
      <c r="EW11" s="2" t="str">
        <v/>
      </c>
      <c r="EX11" s="2">
        <v>1</v>
      </c>
      <c r="EY11" s="2" t="str">
        <v/>
      </c>
      <c r="EZ11" s="2" t="str">
        <v/>
      </c>
      <c r="FA11" s="2">
        <v>4</v>
      </c>
      <c r="FB11" s="2" t="str">
        <v/>
      </c>
      <c r="FC11" s="2" t="str">
        <v/>
      </c>
      <c r="FD11" s="2">
        <v>3</v>
      </c>
      <c r="FE11" s="2" t="str">
        <v/>
      </c>
      <c r="FF11" s="2" t="str">
        <v/>
      </c>
      <c r="FG11" s="2">
        <v>2</v>
      </c>
      <c r="FH11" s="2" t="str">
        <v/>
      </c>
      <c r="FI11" s="2" t="str">
        <v/>
      </c>
      <c r="FJ11" s="2" t="str">
        <v/>
      </c>
      <c r="FK11" s="2" t="str">
        <v/>
      </c>
      <c r="FL11" s="2" t="str">
        <v/>
      </c>
      <c r="FM11" s="2">
        <v>1</v>
      </c>
      <c r="FN11" s="2" t="str">
        <v/>
      </c>
      <c r="FO11" s="2" t="str">
        <v/>
      </c>
      <c r="FP11" s="2" t="str">
        <v/>
      </c>
      <c r="FQ11" s="2" t="str">
        <v/>
      </c>
      <c r="FR11" s="2" t="str">
        <v/>
      </c>
      <c r="FS11" s="2">
        <v>4</v>
      </c>
      <c r="FT11" s="2" t="str">
        <v/>
      </c>
      <c r="FU11" s="2" t="str">
        <v/>
      </c>
      <c r="FV11" s="2">
        <v>3</v>
      </c>
      <c r="FW11" s="2" t="str">
        <v/>
      </c>
      <c r="FX11" s="2" t="str">
        <v/>
      </c>
      <c r="FY11" s="2">
        <v>2</v>
      </c>
      <c r="FZ11" s="2" t="str">
        <v/>
      </c>
      <c r="GA11" s="2" t="str">
        <v/>
      </c>
      <c r="GB11" s="2">
        <v>1</v>
      </c>
      <c r="GC11" s="2" t="str">
        <v/>
      </c>
      <c r="GD11" s="2" t="str">
        <v/>
      </c>
      <c r="GE11" s="2" t="str">
        <v/>
      </c>
      <c r="GF11" s="2" t="str">
        <v/>
      </c>
      <c r="GG11" s="2" t="str">
        <v/>
      </c>
      <c r="GH11" s="2">
        <v>4</v>
      </c>
      <c r="GI11" s="2" t="str">
        <v/>
      </c>
      <c r="GJ11" s="2" t="str">
        <v/>
      </c>
      <c r="GK11" s="2" t="str">
        <v/>
      </c>
      <c r="GL11" s="2" t="str">
        <v/>
      </c>
      <c r="GM11" s="2" t="str">
        <v/>
      </c>
      <c r="GN11" s="2">
        <v>3</v>
      </c>
      <c r="GO11" s="2" t="str">
        <v/>
      </c>
      <c r="GP11" s="2" t="str">
        <v/>
      </c>
      <c r="GQ11" s="2" t="str">
        <v/>
      </c>
      <c r="GR11" s="2" t="str">
        <v/>
      </c>
      <c r="GS11" s="2" t="str">
        <v/>
      </c>
      <c r="GT11" s="2">
        <v>2</v>
      </c>
      <c r="GU11" s="2" t="str">
        <v/>
      </c>
      <c r="GV11" s="2" t="str">
        <v/>
      </c>
      <c r="GW11" s="2">
        <v>1</v>
      </c>
      <c r="GX11" s="2" t="str">
        <v/>
      </c>
      <c r="GY11" s="2" t="str">
        <v/>
      </c>
      <c r="GZ11" s="2" t="str">
        <v/>
      </c>
      <c r="HA11" s="2" t="str">
        <v/>
      </c>
      <c r="HB11" s="2" t="str">
        <v/>
      </c>
      <c r="HC11" s="2">
        <v>4</v>
      </c>
      <c r="HD11" s="2" t="str">
        <v/>
      </c>
      <c r="HE11" s="2" t="str">
        <v/>
      </c>
      <c r="HF11" s="2" t="str">
        <v/>
      </c>
      <c r="HG11" s="2" t="str">
        <v/>
      </c>
      <c r="HH11" s="2" t="str">
        <v/>
      </c>
      <c r="HI11" s="2">
        <v>3</v>
      </c>
      <c r="HJ11" s="2" t="str">
        <v/>
      </c>
      <c r="HK11" s="2" t="str">
        <v/>
      </c>
      <c r="HL11" s="2">
        <v>2</v>
      </c>
      <c r="HM11" s="2" t="str">
        <v/>
      </c>
      <c r="HN11" s="2" t="str">
        <v/>
      </c>
      <c r="HO11" s="2">
        <v>1</v>
      </c>
      <c r="HP11" s="2" t="str">
        <v/>
      </c>
      <c r="HQ11" s="2" t="str">
        <v/>
      </c>
      <c r="HR11" s="2">
        <v>4</v>
      </c>
      <c r="HS11" s="2" t="str">
        <v/>
      </c>
      <c r="HT11" s="2" t="str">
        <v/>
      </c>
      <c r="HU11" s="2" t="str">
        <v/>
      </c>
      <c r="HV11" s="2" t="str">
        <v/>
      </c>
      <c r="HW11" s="2" t="str">
        <v/>
      </c>
      <c r="HX11" s="2">
        <v>3</v>
      </c>
      <c r="HY11" s="2" t="str">
        <v/>
      </c>
      <c r="HZ11" s="2" t="str">
        <v/>
      </c>
      <c r="IA11" s="2" t="str">
        <v/>
      </c>
      <c r="IB11" s="2" t="str">
        <v/>
      </c>
      <c r="IC11" s="2" t="str">
        <v/>
      </c>
      <c r="ID11" s="2">
        <v>2</v>
      </c>
      <c r="IE11" s="2" t="str">
        <v/>
      </c>
      <c r="IF11" s="2" t="str">
        <v/>
      </c>
      <c r="IG11" s="2">
        <v>1</v>
      </c>
      <c r="IH11" s="2" t="str">
        <v/>
      </c>
      <c r="II11" s="2" t="str">
        <v/>
      </c>
      <c r="IJ11" s="2">
        <v>4</v>
      </c>
      <c r="IK11" s="2" t="str">
        <v/>
      </c>
      <c r="IL11" s="2" t="str">
        <v/>
      </c>
      <c r="IM11" s="2">
        <v>3</v>
      </c>
      <c r="IN11" s="2" t="str">
        <v/>
      </c>
      <c r="IO11" s="2" t="str">
        <v/>
      </c>
      <c r="IP11" s="2" t="str">
        <v/>
      </c>
      <c r="IQ11" s="2" t="str">
        <v/>
      </c>
      <c r="IR11" s="2" t="str">
        <v/>
      </c>
      <c r="IS11" s="2">
        <v>2</v>
      </c>
      <c r="IT11" s="2" t="str">
        <v/>
      </c>
      <c r="IU11" s="2" t="str">
        <v/>
      </c>
      <c r="IV11" s="2" t="str">
        <v/>
      </c>
      <c r="IW11" s="2" t="str">
        <v/>
      </c>
      <c r="IX11" s="2" t="str">
        <v/>
      </c>
      <c r="IY11" s="2">
        <v>1</v>
      </c>
      <c r="IZ11" s="2" t="str">
        <v/>
      </c>
      <c r="JA11" s="2" t="str">
        <v/>
      </c>
      <c r="JB11" s="2">
        <v>4</v>
      </c>
      <c r="JC11" s="2" t="str">
        <v/>
      </c>
      <c r="JD11" s="2" t="str">
        <v/>
      </c>
      <c r="JE11" s="2">
        <v>3</v>
      </c>
      <c r="JF11" s="2" t="str">
        <v/>
      </c>
      <c r="JG11" s="2" t="str">
        <v/>
      </c>
      <c r="JH11" s="2" t="str">
        <v/>
      </c>
      <c r="JI11" s="2" t="str">
        <v/>
      </c>
      <c r="JJ11" s="2" t="str">
        <v/>
      </c>
      <c r="JK11" s="2" t="str">
        <v/>
      </c>
      <c r="JL11" s="2" t="str">
        <v/>
      </c>
      <c r="JM11" s="2" t="str">
        <v/>
      </c>
      <c r="JN11" s="2">
        <v>2</v>
      </c>
      <c r="JO11" s="2" t="str">
        <v/>
      </c>
      <c r="JP11" s="2" t="str">
        <v/>
      </c>
      <c r="JQ11" s="2" t="str">
        <v/>
      </c>
      <c r="JR11" s="2" t="str">
        <v/>
      </c>
      <c r="JS11" s="2" t="str">
        <v/>
      </c>
      <c r="JT11" s="2">
        <v>1</v>
      </c>
      <c r="JU11" s="2" t="str">
        <v/>
      </c>
      <c r="JV11" s="2" t="str">
        <v/>
      </c>
      <c r="JW11" s="2" t="str">
        <v/>
      </c>
      <c r="JX11" s="2" t="str">
        <v/>
      </c>
      <c r="JY11" s="2" t="str">
        <v/>
      </c>
      <c r="JZ11" s="2">
        <v>4</v>
      </c>
      <c r="KA11" s="2" t="str">
        <v/>
      </c>
      <c r="KB11" s="2" t="str">
        <v/>
      </c>
      <c r="KC11" s="2">
        <v>3</v>
      </c>
      <c r="KD11" s="2" t="str">
        <v/>
      </c>
      <c r="KE11" s="2" t="str">
        <v/>
      </c>
      <c r="KF11" s="2" t="str">
        <v/>
      </c>
      <c r="KG11" s="2" t="str">
        <v/>
      </c>
      <c r="KH11" s="2" t="str">
        <v/>
      </c>
      <c r="KI11" s="2">
        <v>2</v>
      </c>
      <c r="KJ11" s="2" t="str">
        <v/>
      </c>
      <c r="KK11" s="2" t="str">
        <v/>
      </c>
      <c r="KL11" s="2" t="str">
        <v/>
      </c>
      <c r="KM11" s="2" t="str">
        <v/>
      </c>
      <c r="KN11" s="2" t="str">
        <v/>
      </c>
      <c r="KO11" s="2">
        <v>1</v>
      </c>
      <c r="KP11" s="2" t="str">
        <v/>
      </c>
      <c r="KQ11" s="2" t="str">
        <v/>
      </c>
      <c r="KR11" s="2">
        <v>4</v>
      </c>
      <c r="KS11" s="2" t="str">
        <v/>
      </c>
      <c r="KT11" s="2" t="str">
        <v/>
      </c>
      <c r="KU11" s="2">
        <v>3</v>
      </c>
      <c r="KV11" s="2" t="str">
        <v/>
      </c>
      <c r="KW11" s="2" t="str">
        <v/>
      </c>
      <c r="KX11" s="2">
        <v>2</v>
      </c>
      <c r="KY11" s="2" t="str">
        <v/>
      </c>
      <c r="KZ11" s="2" t="str">
        <v/>
      </c>
      <c r="LA11" s="2" t="str">
        <v/>
      </c>
      <c r="LB11" s="2" t="str">
        <v/>
      </c>
      <c r="LC11" s="2" t="str">
        <v/>
      </c>
      <c r="LD11" s="2">
        <v>1</v>
      </c>
      <c r="LE11" s="2" t="str">
        <v/>
      </c>
      <c r="LF11" s="2" t="str">
        <v/>
      </c>
      <c r="LG11" s="2" t="str">
        <v/>
      </c>
      <c r="LH11" s="2" t="str">
        <v/>
      </c>
      <c r="LI11" s="2" t="str">
        <v/>
      </c>
      <c r="LJ11" s="2">
        <v>4</v>
      </c>
      <c r="LK11" s="2" t="str">
        <v/>
      </c>
      <c r="LL11" s="2" t="str">
        <v/>
      </c>
      <c r="LM11" s="2">
        <v>3</v>
      </c>
      <c r="LN11" s="2" t="str">
        <v/>
      </c>
      <c r="LO11" s="2" t="str">
        <v/>
      </c>
      <c r="LP11" s="2">
        <v>2</v>
      </c>
      <c r="LQ11" s="2" t="str">
        <v/>
      </c>
      <c r="LR11" s="2" t="str">
        <v/>
      </c>
      <c r="LS11" s="2">
        <v>1</v>
      </c>
      <c r="LT11" s="2" t="str">
        <v/>
      </c>
      <c r="LU11" s="2" t="str">
        <v/>
      </c>
      <c r="LV11" s="2" t="str">
        <v/>
      </c>
      <c r="LW11" s="2" t="str">
        <v/>
      </c>
      <c r="LX11" s="2" t="str">
        <v/>
      </c>
      <c r="LY11" s="2">
        <v>4</v>
      </c>
      <c r="LZ11" s="2" t="str">
        <v/>
      </c>
      <c r="MA11" s="2" t="str">
        <v/>
      </c>
      <c r="MB11" s="2" t="str">
        <v/>
      </c>
      <c r="MC11" s="2" t="str">
        <v/>
      </c>
      <c r="MD11" s="2" t="str">
        <v/>
      </c>
      <c r="ME11" s="2">
        <v>3</v>
      </c>
      <c r="MF11" s="2" t="str">
        <v/>
      </c>
      <c r="MG11" s="2" t="str">
        <v/>
      </c>
      <c r="MH11" s="2">
        <v>2</v>
      </c>
      <c r="MI11" s="2" t="str">
        <v/>
      </c>
      <c r="MJ11" s="2" t="str">
        <v/>
      </c>
      <c r="MK11" s="2">
        <v>1</v>
      </c>
      <c r="ML11" s="2" t="str">
        <v/>
      </c>
      <c r="MM11" s="2" t="str">
        <v/>
      </c>
      <c r="MN11" s="2">
        <v>4</v>
      </c>
      <c r="MO11" s="2" t="str">
        <v/>
      </c>
      <c r="MP11" s="2" t="str">
        <v/>
      </c>
      <c r="MQ11" s="2" t="str">
        <v/>
      </c>
      <c r="MR11" s="2" t="str">
        <v/>
      </c>
      <c r="MS11" s="2" t="str">
        <v/>
      </c>
      <c r="MT11" s="2">
        <v>3</v>
      </c>
      <c r="MU11" s="2" t="str">
        <v/>
      </c>
      <c r="MV11" s="2" t="str">
        <v/>
      </c>
      <c r="MW11" s="2" t="str">
        <v/>
      </c>
      <c r="MX11" s="2" t="str">
        <v/>
      </c>
      <c r="MY11" s="2" t="str">
        <v/>
      </c>
      <c r="MZ11" s="2">
        <v>2</v>
      </c>
      <c r="NA11" s="2" t="str">
        <v/>
      </c>
      <c r="NB11" s="2" t="str">
        <v/>
      </c>
      <c r="NC11" s="2">
        <v>1</v>
      </c>
      <c r="ND11" s="2" t="e">
        <v>#N/A</v>
      </c>
    </row>
    <row r="12" spans="1:368" hidden="1">
      <c r="A12" s="3" t="str">
        <v>주간_변환1
글로벌</v>
      </c>
      <c r="B12" s="2" t="str">
        <v/>
      </c>
      <c r="C12" s="2" t="str">
        <v/>
      </c>
      <c r="D12" s="2" t="str">
        <v/>
      </c>
      <c r="E12" s="2" t="str">
        <v/>
      </c>
      <c r="F12" s="2" t="str">
        <v/>
      </c>
      <c r="G12" s="2">
        <v>4</v>
      </c>
      <c r="H12" s="2" t="str">
        <v/>
      </c>
      <c r="I12" s="2" t="str">
        <v/>
      </c>
      <c r="J12" s="2">
        <v>3</v>
      </c>
      <c r="K12" s="2" t="str">
        <v/>
      </c>
      <c r="L12" s="2" t="str">
        <v/>
      </c>
      <c r="M12" s="2">
        <v>2</v>
      </c>
      <c r="N12" s="2" t="str">
        <v/>
      </c>
      <c r="O12" s="2" t="str">
        <v/>
      </c>
      <c r="P12" s="2">
        <v>1</v>
      </c>
      <c r="Q12" s="2" t="str">
        <v/>
      </c>
      <c r="R12" s="2" t="str">
        <v/>
      </c>
      <c r="S12" s="2" t="str">
        <v/>
      </c>
      <c r="T12" s="2" t="str">
        <v/>
      </c>
      <c r="U12" s="2" t="str">
        <v/>
      </c>
      <c r="V12" s="2">
        <v>4</v>
      </c>
      <c r="W12" s="2" t="str">
        <v/>
      </c>
      <c r="X12" s="2" t="str">
        <v/>
      </c>
      <c r="Y12" s="2" t="str">
        <v/>
      </c>
      <c r="Z12" s="2" t="str">
        <v/>
      </c>
      <c r="AA12" s="2" t="str">
        <v/>
      </c>
      <c r="AB12" s="2">
        <v>3</v>
      </c>
      <c r="AC12" s="2" t="str">
        <v/>
      </c>
      <c r="AD12" s="2" t="str">
        <v/>
      </c>
      <c r="AE12" s="2">
        <v>2</v>
      </c>
      <c r="AF12" s="2" t="str">
        <v/>
      </c>
      <c r="AG12" s="2" t="str">
        <v/>
      </c>
      <c r="AH12" s="2">
        <v>1</v>
      </c>
      <c r="AI12" s="2" t="str">
        <v/>
      </c>
      <c r="AJ12" s="2" t="str">
        <v/>
      </c>
      <c r="AK12" s="2">
        <v>4</v>
      </c>
      <c r="AL12" s="2" t="str">
        <v/>
      </c>
      <c r="AM12" s="2" t="str">
        <v/>
      </c>
      <c r="AN12" s="2" t="str">
        <v/>
      </c>
      <c r="AO12" s="2" t="str">
        <v/>
      </c>
      <c r="AP12" s="2" t="str">
        <v/>
      </c>
      <c r="AQ12" s="2">
        <v>3</v>
      </c>
      <c r="AR12" s="2" t="str">
        <v/>
      </c>
      <c r="AS12" s="2" t="str">
        <v/>
      </c>
      <c r="AT12" s="2" t="str">
        <v/>
      </c>
      <c r="AU12" s="2" t="str">
        <v/>
      </c>
      <c r="AV12" s="2" t="str">
        <v/>
      </c>
      <c r="AW12" s="2" t="str">
        <v/>
      </c>
      <c r="AX12" s="2" t="str">
        <v/>
      </c>
      <c r="AY12" s="2" t="str">
        <v/>
      </c>
      <c r="AZ12" s="2">
        <v>2</v>
      </c>
      <c r="BA12" s="2" t="str">
        <v/>
      </c>
      <c r="BB12" s="2" t="str">
        <v/>
      </c>
      <c r="BC12" s="2">
        <v>1</v>
      </c>
      <c r="BD12" s="2" t="str">
        <v/>
      </c>
      <c r="BE12" s="2" t="str">
        <v/>
      </c>
      <c r="BF12" s="2">
        <v>4</v>
      </c>
      <c r="BG12" s="2" t="str">
        <v/>
      </c>
      <c r="BH12" s="2" t="str">
        <v/>
      </c>
      <c r="BI12" s="2" t="str">
        <v/>
      </c>
      <c r="BJ12" s="2" t="str">
        <v/>
      </c>
      <c r="BK12" s="2" t="str">
        <v/>
      </c>
      <c r="BL12" s="2">
        <v>3</v>
      </c>
      <c r="BM12" s="2" t="str">
        <v/>
      </c>
      <c r="BN12" s="2" t="str">
        <v/>
      </c>
      <c r="BO12" s="2" t="str">
        <v/>
      </c>
      <c r="BP12" s="2" t="str">
        <v/>
      </c>
      <c r="BQ12" s="2" t="str">
        <v/>
      </c>
      <c r="BR12" s="2">
        <v>2</v>
      </c>
      <c r="BS12" s="2" t="str">
        <v/>
      </c>
      <c r="BT12" s="2" t="str">
        <v/>
      </c>
      <c r="BU12" s="2">
        <v>1</v>
      </c>
      <c r="BV12" s="2" t="str">
        <v/>
      </c>
      <c r="BW12" s="2" t="str">
        <v/>
      </c>
      <c r="BX12" s="2">
        <v>4</v>
      </c>
      <c r="BY12" s="2" t="str">
        <v/>
      </c>
      <c r="BZ12" s="2" t="str">
        <v/>
      </c>
      <c r="CA12" s="2">
        <v>3</v>
      </c>
      <c r="CB12" s="2" t="str">
        <v/>
      </c>
      <c r="CC12" s="2" t="str">
        <v/>
      </c>
      <c r="CD12" s="2" t="str">
        <v/>
      </c>
      <c r="CE12" s="2" t="str">
        <v/>
      </c>
      <c r="CF12" s="2" t="str">
        <v/>
      </c>
      <c r="CG12" s="2">
        <v>2</v>
      </c>
      <c r="CH12" s="2" t="str">
        <v/>
      </c>
      <c r="CI12" s="2" t="str">
        <v/>
      </c>
      <c r="CJ12" s="2" t="str">
        <v/>
      </c>
      <c r="CK12" s="2" t="str">
        <v/>
      </c>
      <c r="CL12" s="2" t="str">
        <v/>
      </c>
      <c r="CM12" s="2">
        <v>1</v>
      </c>
      <c r="CN12" s="2" t="str">
        <v/>
      </c>
      <c r="CO12" s="2" t="str">
        <v/>
      </c>
      <c r="CP12" s="2">
        <v>4</v>
      </c>
      <c r="CQ12" s="2" t="str">
        <v/>
      </c>
      <c r="CR12" s="2" t="str">
        <v/>
      </c>
      <c r="CS12" s="2">
        <v>3</v>
      </c>
      <c r="CT12" s="2" t="str">
        <v/>
      </c>
      <c r="CU12" s="2" t="str">
        <v/>
      </c>
      <c r="CV12" s="2">
        <v>2</v>
      </c>
      <c r="CW12" s="2" t="str">
        <v/>
      </c>
      <c r="CX12" s="2" t="str">
        <v/>
      </c>
      <c r="CY12" s="2" t="str">
        <v/>
      </c>
      <c r="CZ12" s="2" t="str">
        <v/>
      </c>
      <c r="DA12" s="2" t="str">
        <v/>
      </c>
      <c r="DB12" s="2">
        <v>1</v>
      </c>
      <c r="DC12" s="2" t="str">
        <v/>
      </c>
      <c r="DD12" s="2" t="str">
        <v/>
      </c>
      <c r="DE12" s="2" t="str">
        <v/>
      </c>
      <c r="DF12" s="2" t="str">
        <v/>
      </c>
      <c r="DG12" s="2" t="str">
        <v/>
      </c>
      <c r="DH12" s="2">
        <v>4</v>
      </c>
      <c r="DI12" s="2" t="str">
        <v/>
      </c>
      <c r="DJ12" s="2" t="str">
        <v/>
      </c>
      <c r="DK12" s="2">
        <v>3</v>
      </c>
      <c r="DL12" s="2" t="str">
        <v/>
      </c>
      <c r="DM12" s="2" t="str">
        <v/>
      </c>
      <c r="DN12" s="2">
        <v>2</v>
      </c>
      <c r="DO12" s="2" t="str">
        <v/>
      </c>
      <c r="DP12" s="2" t="str">
        <v/>
      </c>
      <c r="DQ12" s="2">
        <v>1</v>
      </c>
      <c r="DR12" s="2" t="str">
        <v/>
      </c>
      <c r="DS12" s="2" t="str">
        <v/>
      </c>
      <c r="DT12" s="2" t="str">
        <v/>
      </c>
      <c r="DU12" s="2" t="str">
        <v/>
      </c>
      <c r="DV12" s="2" t="str">
        <v/>
      </c>
      <c r="DW12" s="2">
        <v>4</v>
      </c>
      <c r="DX12" s="2" t="str">
        <v/>
      </c>
      <c r="DY12" s="2" t="str">
        <v/>
      </c>
      <c r="DZ12" s="2" t="str">
        <v/>
      </c>
      <c r="EA12" s="2" t="str">
        <v/>
      </c>
      <c r="EB12" s="2" t="str">
        <v/>
      </c>
      <c r="EC12" s="2">
        <v>3</v>
      </c>
      <c r="ED12" s="2" t="str">
        <v/>
      </c>
      <c r="EE12" s="2" t="str">
        <v/>
      </c>
      <c r="EF12" s="2">
        <v>2</v>
      </c>
      <c r="EG12" s="2" t="str">
        <v/>
      </c>
      <c r="EH12" s="2" t="str">
        <v/>
      </c>
      <c r="EI12" s="2">
        <v>1</v>
      </c>
      <c r="EJ12" s="2" t="str">
        <v/>
      </c>
      <c r="EK12" s="2" t="str">
        <v/>
      </c>
      <c r="EL12" s="2">
        <v>4</v>
      </c>
      <c r="EM12" s="2" t="str">
        <v/>
      </c>
      <c r="EN12" s="2" t="str">
        <v/>
      </c>
      <c r="EO12" s="2" t="str">
        <v/>
      </c>
      <c r="EP12" s="2" t="str">
        <v/>
      </c>
      <c r="EQ12" s="2" t="str">
        <v/>
      </c>
      <c r="ER12" s="2">
        <v>3</v>
      </c>
      <c r="ES12" s="2" t="str">
        <v/>
      </c>
      <c r="ET12" s="2" t="str">
        <v/>
      </c>
      <c r="EU12" s="2" t="str">
        <v/>
      </c>
      <c r="EV12" s="2" t="str">
        <v/>
      </c>
      <c r="EW12" s="2" t="str">
        <v/>
      </c>
      <c r="EX12" s="2">
        <v>2</v>
      </c>
      <c r="EY12" s="2" t="str">
        <v/>
      </c>
      <c r="EZ12" s="2" t="str">
        <v/>
      </c>
      <c r="FA12" s="2">
        <v>1</v>
      </c>
      <c r="FB12" s="2" t="str">
        <v/>
      </c>
      <c r="FC12" s="2" t="str">
        <v/>
      </c>
      <c r="FD12" s="2">
        <v>4</v>
      </c>
      <c r="FE12" s="2" t="str">
        <v/>
      </c>
      <c r="FF12" s="2" t="str">
        <v/>
      </c>
      <c r="FG12" s="2">
        <v>3</v>
      </c>
      <c r="FH12" s="2" t="str">
        <v/>
      </c>
      <c r="FI12" s="2" t="str">
        <v/>
      </c>
      <c r="FJ12" s="2" t="str">
        <v/>
      </c>
      <c r="FK12" s="2" t="str">
        <v/>
      </c>
      <c r="FL12" s="2" t="str">
        <v/>
      </c>
      <c r="FM12" s="2">
        <v>2</v>
      </c>
      <c r="FN12" s="2" t="str">
        <v/>
      </c>
      <c r="FO12" s="2" t="str">
        <v/>
      </c>
      <c r="FP12" s="2" t="str">
        <v/>
      </c>
      <c r="FQ12" s="2" t="str">
        <v/>
      </c>
      <c r="FR12" s="2" t="str">
        <v/>
      </c>
      <c r="FS12" s="2">
        <v>1</v>
      </c>
      <c r="FT12" s="2" t="str">
        <v/>
      </c>
      <c r="FU12" s="2" t="str">
        <v/>
      </c>
      <c r="FV12" s="2">
        <v>4</v>
      </c>
      <c r="FW12" s="2" t="str">
        <v/>
      </c>
      <c r="FX12" s="2" t="str">
        <v/>
      </c>
      <c r="FY12" s="2">
        <v>3</v>
      </c>
      <c r="FZ12" s="2" t="str">
        <v/>
      </c>
      <c r="GA12" s="2" t="str">
        <v/>
      </c>
      <c r="GB12" s="2">
        <v>2</v>
      </c>
      <c r="GC12" s="2" t="str">
        <v/>
      </c>
      <c r="GD12" s="2" t="str">
        <v/>
      </c>
      <c r="GE12" s="2" t="str">
        <v/>
      </c>
      <c r="GF12" s="2" t="str">
        <v/>
      </c>
      <c r="GG12" s="2" t="str">
        <v/>
      </c>
      <c r="GH12" s="2">
        <v>1</v>
      </c>
      <c r="GI12" s="2" t="str">
        <v/>
      </c>
      <c r="GJ12" s="2" t="str">
        <v/>
      </c>
      <c r="GK12" s="2" t="str">
        <v/>
      </c>
      <c r="GL12" s="2" t="str">
        <v/>
      </c>
      <c r="GM12" s="2" t="str">
        <v/>
      </c>
      <c r="GN12" s="2">
        <v>4</v>
      </c>
      <c r="GO12" s="2" t="str">
        <v/>
      </c>
      <c r="GP12" s="2" t="str">
        <v/>
      </c>
      <c r="GQ12" s="2" t="str">
        <v/>
      </c>
      <c r="GR12" s="2" t="str">
        <v/>
      </c>
      <c r="GS12" s="2" t="str">
        <v/>
      </c>
      <c r="GT12" s="2">
        <v>3</v>
      </c>
      <c r="GU12" s="2" t="str">
        <v/>
      </c>
      <c r="GV12" s="2" t="str">
        <v/>
      </c>
      <c r="GW12" s="2">
        <v>2</v>
      </c>
      <c r="GX12" s="2" t="str">
        <v/>
      </c>
      <c r="GY12" s="2" t="str">
        <v/>
      </c>
      <c r="GZ12" s="2" t="str">
        <v/>
      </c>
      <c r="HA12" s="2" t="str">
        <v/>
      </c>
      <c r="HB12" s="2" t="str">
        <v/>
      </c>
      <c r="HC12" s="2">
        <v>1</v>
      </c>
      <c r="HD12" s="2" t="str">
        <v/>
      </c>
      <c r="HE12" s="2" t="str">
        <v/>
      </c>
      <c r="HF12" s="2" t="str">
        <v/>
      </c>
      <c r="HG12" s="2" t="str">
        <v/>
      </c>
      <c r="HH12" s="2" t="str">
        <v/>
      </c>
      <c r="HI12" s="2">
        <v>4</v>
      </c>
      <c r="HJ12" s="2" t="str">
        <v/>
      </c>
      <c r="HK12" s="2" t="str">
        <v/>
      </c>
      <c r="HL12" s="2">
        <v>3</v>
      </c>
      <c r="HM12" s="2" t="str">
        <v/>
      </c>
      <c r="HN12" s="2" t="str">
        <v/>
      </c>
      <c r="HO12" s="2">
        <v>2</v>
      </c>
      <c r="HP12" s="2" t="str">
        <v/>
      </c>
      <c r="HQ12" s="2" t="str">
        <v/>
      </c>
      <c r="HR12" s="2">
        <v>1</v>
      </c>
      <c r="HS12" s="2" t="str">
        <v/>
      </c>
      <c r="HT12" s="2" t="str">
        <v/>
      </c>
      <c r="HU12" s="2" t="str">
        <v/>
      </c>
      <c r="HV12" s="2" t="str">
        <v/>
      </c>
      <c r="HW12" s="2" t="str">
        <v/>
      </c>
      <c r="HX12" s="2">
        <v>4</v>
      </c>
      <c r="HY12" s="2" t="str">
        <v/>
      </c>
      <c r="HZ12" s="2" t="str">
        <v/>
      </c>
      <c r="IA12" s="2" t="str">
        <v/>
      </c>
      <c r="IB12" s="2" t="str">
        <v/>
      </c>
      <c r="IC12" s="2" t="str">
        <v/>
      </c>
      <c r="ID12" s="2">
        <v>3</v>
      </c>
      <c r="IE12" s="2" t="str">
        <v/>
      </c>
      <c r="IF12" s="2" t="str">
        <v/>
      </c>
      <c r="IG12" s="2">
        <v>2</v>
      </c>
      <c r="IH12" s="2" t="str">
        <v/>
      </c>
      <c r="II12" s="2" t="str">
        <v/>
      </c>
      <c r="IJ12" s="2">
        <v>1</v>
      </c>
      <c r="IK12" s="2" t="str">
        <v/>
      </c>
      <c r="IL12" s="2" t="str">
        <v/>
      </c>
      <c r="IM12" s="2">
        <v>4</v>
      </c>
      <c r="IN12" s="2" t="str">
        <v/>
      </c>
      <c r="IO12" s="2" t="str">
        <v/>
      </c>
      <c r="IP12" s="2" t="str">
        <v/>
      </c>
      <c r="IQ12" s="2" t="str">
        <v/>
      </c>
      <c r="IR12" s="2" t="str">
        <v/>
      </c>
      <c r="IS12" s="2">
        <v>3</v>
      </c>
      <c r="IT12" s="2" t="str">
        <v/>
      </c>
      <c r="IU12" s="2" t="str">
        <v/>
      </c>
      <c r="IV12" s="2" t="str">
        <v/>
      </c>
      <c r="IW12" s="2" t="str">
        <v/>
      </c>
      <c r="IX12" s="2" t="str">
        <v/>
      </c>
      <c r="IY12" s="2">
        <v>2</v>
      </c>
      <c r="IZ12" s="2" t="str">
        <v/>
      </c>
      <c r="JA12" s="2" t="str">
        <v/>
      </c>
      <c r="JB12" s="2">
        <v>1</v>
      </c>
      <c r="JC12" s="2" t="str">
        <v/>
      </c>
      <c r="JD12" s="2" t="str">
        <v/>
      </c>
      <c r="JE12" s="2">
        <v>4</v>
      </c>
      <c r="JF12" s="2" t="str">
        <v/>
      </c>
      <c r="JG12" s="2" t="str">
        <v/>
      </c>
      <c r="JH12" s="2" t="str">
        <v/>
      </c>
      <c r="JI12" s="2" t="str">
        <v/>
      </c>
      <c r="JJ12" s="2" t="str">
        <v/>
      </c>
      <c r="JK12" s="2" t="str">
        <v/>
      </c>
      <c r="JL12" s="2" t="str">
        <v/>
      </c>
      <c r="JM12" s="2" t="str">
        <v/>
      </c>
      <c r="JN12" s="2">
        <v>3</v>
      </c>
      <c r="JO12" s="2" t="str">
        <v/>
      </c>
      <c r="JP12" s="2" t="str">
        <v/>
      </c>
      <c r="JQ12" s="2" t="str">
        <v/>
      </c>
      <c r="JR12" s="2" t="str">
        <v/>
      </c>
      <c r="JS12" s="2" t="str">
        <v/>
      </c>
      <c r="JT12" s="2">
        <v>2</v>
      </c>
      <c r="JU12" s="2" t="str">
        <v/>
      </c>
      <c r="JV12" s="2" t="str">
        <v/>
      </c>
      <c r="JW12" s="2" t="str">
        <v/>
      </c>
      <c r="JX12" s="2" t="str">
        <v/>
      </c>
      <c r="JY12" s="2" t="str">
        <v/>
      </c>
      <c r="JZ12" s="2">
        <v>1</v>
      </c>
      <c r="KA12" s="2" t="str">
        <v/>
      </c>
      <c r="KB12" s="2" t="str">
        <v/>
      </c>
      <c r="KC12" s="2">
        <v>4</v>
      </c>
      <c r="KD12" s="2" t="str">
        <v/>
      </c>
      <c r="KE12" s="2" t="str">
        <v/>
      </c>
      <c r="KF12" s="2" t="str">
        <v/>
      </c>
      <c r="KG12" s="2" t="str">
        <v/>
      </c>
      <c r="KH12" s="2" t="str">
        <v/>
      </c>
      <c r="KI12" s="2">
        <v>3</v>
      </c>
      <c r="KJ12" s="2" t="str">
        <v/>
      </c>
      <c r="KK12" s="2" t="str">
        <v/>
      </c>
      <c r="KL12" s="2" t="str">
        <v/>
      </c>
      <c r="KM12" s="2" t="str">
        <v/>
      </c>
      <c r="KN12" s="2" t="str">
        <v/>
      </c>
      <c r="KO12" s="2">
        <v>2</v>
      </c>
      <c r="KP12" s="2" t="str">
        <v/>
      </c>
      <c r="KQ12" s="2" t="str">
        <v/>
      </c>
      <c r="KR12" s="2">
        <v>1</v>
      </c>
      <c r="KS12" s="2" t="str">
        <v/>
      </c>
      <c r="KT12" s="2" t="str">
        <v/>
      </c>
      <c r="KU12" s="2">
        <v>4</v>
      </c>
      <c r="KV12" s="2" t="str">
        <v/>
      </c>
      <c r="KW12" s="2" t="str">
        <v/>
      </c>
      <c r="KX12" s="2">
        <v>3</v>
      </c>
      <c r="KY12" s="2" t="str">
        <v/>
      </c>
      <c r="KZ12" s="2" t="str">
        <v/>
      </c>
      <c r="LA12" s="2" t="str">
        <v/>
      </c>
      <c r="LB12" s="2" t="str">
        <v/>
      </c>
      <c r="LC12" s="2" t="str">
        <v/>
      </c>
      <c r="LD12" s="2">
        <v>2</v>
      </c>
      <c r="LE12" s="2" t="str">
        <v/>
      </c>
      <c r="LF12" s="2" t="str">
        <v/>
      </c>
      <c r="LG12" s="2" t="str">
        <v/>
      </c>
      <c r="LH12" s="2" t="str">
        <v/>
      </c>
      <c r="LI12" s="2" t="str">
        <v/>
      </c>
      <c r="LJ12" s="2">
        <v>1</v>
      </c>
      <c r="LK12" s="2" t="str">
        <v/>
      </c>
      <c r="LL12" s="2" t="str">
        <v/>
      </c>
      <c r="LM12" s="2">
        <v>4</v>
      </c>
      <c r="LN12" s="2" t="str">
        <v/>
      </c>
      <c r="LO12" s="2" t="str">
        <v/>
      </c>
      <c r="LP12" s="2">
        <v>3</v>
      </c>
      <c r="LQ12" s="2" t="str">
        <v/>
      </c>
      <c r="LR12" s="2" t="str">
        <v/>
      </c>
      <c r="LS12" s="2">
        <v>2</v>
      </c>
      <c r="LT12" s="2" t="str">
        <v/>
      </c>
      <c r="LU12" s="2" t="str">
        <v/>
      </c>
      <c r="LV12" s="2" t="str">
        <v/>
      </c>
      <c r="LW12" s="2" t="str">
        <v/>
      </c>
      <c r="LX12" s="2" t="str">
        <v/>
      </c>
      <c r="LY12" s="2">
        <v>1</v>
      </c>
      <c r="LZ12" s="2" t="str">
        <v/>
      </c>
      <c r="MA12" s="2" t="str">
        <v/>
      </c>
      <c r="MB12" s="2" t="str">
        <v/>
      </c>
      <c r="MC12" s="2" t="str">
        <v/>
      </c>
      <c r="MD12" s="2" t="str">
        <v/>
      </c>
      <c r="ME12" s="2">
        <v>4</v>
      </c>
      <c r="MF12" s="2" t="str">
        <v/>
      </c>
      <c r="MG12" s="2" t="str">
        <v/>
      </c>
      <c r="MH12" s="2">
        <v>3</v>
      </c>
      <c r="MI12" s="2" t="str">
        <v/>
      </c>
      <c r="MJ12" s="2" t="str">
        <v/>
      </c>
      <c r="MK12" s="2">
        <v>2</v>
      </c>
      <c r="ML12" s="2" t="str">
        <v/>
      </c>
      <c r="MM12" s="2" t="str">
        <v/>
      </c>
      <c r="MN12" s="2">
        <v>1</v>
      </c>
      <c r="MO12" s="2" t="str">
        <v/>
      </c>
      <c r="MP12" s="2" t="str">
        <v/>
      </c>
      <c r="MQ12" s="2" t="str">
        <v/>
      </c>
      <c r="MR12" s="2" t="str">
        <v/>
      </c>
      <c r="MS12" s="2" t="str">
        <v/>
      </c>
      <c r="MT12" s="2">
        <v>4</v>
      </c>
      <c r="MU12" s="2" t="str">
        <v/>
      </c>
      <c r="MV12" s="2" t="str">
        <v/>
      </c>
      <c r="MW12" s="2" t="str">
        <v/>
      </c>
      <c r="MX12" s="2" t="str">
        <v/>
      </c>
      <c r="MY12" s="2" t="str">
        <v/>
      </c>
      <c r="MZ12" s="2">
        <v>3</v>
      </c>
      <c r="NA12" s="2" t="str">
        <v/>
      </c>
      <c r="NB12" s="2" t="str">
        <v/>
      </c>
      <c r="NC12" s="2">
        <v>2</v>
      </c>
      <c r="ND12" s="2" t="e">
        <v>#N/A</v>
      </c>
    </row>
    <row r="13" spans="1:368" hidden="1">
      <c r="A13" s="3" t="str">
        <v>주간_변환1
외곽1</v>
      </c>
      <c r="B13" s="2" t="str">
        <v/>
      </c>
      <c r="C13" s="2" t="str">
        <v/>
      </c>
      <c r="D13" s="2" t="str">
        <v/>
      </c>
      <c r="E13" s="2" t="str">
        <v/>
      </c>
      <c r="F13" s="2" t="str">
        <v/>
      </c>
      <c r="G13" s="2">
        <v>1</v>
      </c>
      <c r="H13" s="2" t="str">
        <v/>
      </c>
      <c r="I13" s="2" t="str">
        <v/>
      </c>
      <c r="J13" s="2">
        <v>4</v>
      </c>
      <c r="K13" s="2" t="str">
        <v/>
      </c>
      <c r="L13" s="2" t="str">
        <v/>
      </c>
      <c r="M13" s="2">
        <v>3</v>
      </c>
      <c r="N13" s="2" t="str">
        <v/>
      </c>
      <c r="O13" s="2" t="str">
        <v/>
      </c>
      <c r="P13" s="2">
        <v>2</v>
      </c>
      <c r="Q13" s="2" t="str">
        <v/>
      </c>
      <c r="R13" s="2" t="str">
        <v/>
      </c>
      <c r="S13" s="2" t="str">
        <v/>
      </c>
      <c r="T13" s="2" t="str">
        <v/>
      </c>
      <c r="U13" s="2" t="str">
        <v/>
      </c>
      <c r="V13" s="2">
        <v>1</v>
      </c>
      <c r="W13" s="2" t="str">
        <v/>
      </c>
      <c r="X13" s="2" t="str">
        <v/>
      </c>
      <c r="Y13" s="2" t="str">
        <v/>
      </c>
      <c r="Z13" s="2" t="str">
        <v/>
      </c>
      <c r="AA13" s="2" t="str">
        <v/>
      </c>
      <c r="AB13" s="2">
        <v>4</v>
      </c>
      <c r="AC13" s="2" t="str">
        <v/>
      </c>
      <c r="AD13" s="2" t="str">
        <v/>
      </c>
      <c r="AE13" s="2">
        <v>3</v>
      </c>
      <c r="AF13" s="2" t="str">
        <v/>
      </c>
      <c r="AG13" s="2" t="str">
        <v/>
      </c>
      <c r="AH13" s="2">
        <v>2</v>
      </c>
      <c r="AI13" s="2" t="str">
        <v/>
      </c>
      <c r="AJ13" s="2" t="str">
        <v/>
      </c>
      <c r="AK13" s="2">
        <v>1</v>
      </c>
      <c r="AL13" s="2" t="str">
        <v/>
      </c>
      <c r="AM13" s="2" t="str">
        <v/>
      </c>
      <c r="AN13" s="2" t="str">
        <v/>
      </c>
      <c r="AO13" s="2" t="str">
        <v/>
      </c>
      <c r="AP13" s="2" t="str">
        <v/>
      </c>
      <c r="AQ13" s="2">
        <v>4</v>
      </c>
      <c r="AR13" s="2" t="str">
        <v/>
      </c>
      <c r="AS13" s="2" t="str">
        <v/>
      </c>
      <c r="AT13" s="2" t="str">
        <v/>
      </c>
      <c r="AU13" s="2" t="str">
        <v/>
      </c>
      <c r="AV13" s="2" t="str">
        <v/>
      </c>
      <c r="AW13" s="2" t="str">
        <v/>
      </c>
      <c r="AX13" s="2" t="str">
        <v/>
      </c>
      <c r="AY13" s="2" t="str">
        <v/>
      </c>
      <c r="AZ13" s="2">
        <v>3</v>
      </c>
      <c r="BA13" s="2" t="str">
        <v/>
      </c>
      <c r="BB13" s="2" t="str">
        <v/>
      </c>
      <c r="BC13" s="2">
        <v>2</v>
      </c>
      <c r="BD13" s="2" t="str">
        <v/>
      </c>
      <c r="BE13" s="2" t="str">
        <v/>
      </c>
      <c r="BF13" s="2">
        <v>1</v>
      </c>
      <c r="BG13" s="2" t="str">
        <v/>
      </c>
      <c r="BH13" s="2" t="str">
        <v/>
      </c>
      <c r="BI13" s="2" t="str">
        <v/>
      </c>
      <c r="BJ13" s="2" t="str">
        <v/>
      </c>
      <c r="BK13" s="2" t="str">
        <v/>
      </c>
      <c r="BL13" s="2">
        <v>4</v>
      </c>
      <c r="BM13" s="2" t="str">
        <v/>
      </c>
      <c r="BN13" s="2" t="str">
        <v/>
      </c>
      <c r="BO13" s="2" t="str">
        <v/>
      </c>
      <c r="BP13" s="2" t="str">
        <v/>
      </c>
      <c r="BQ13" s="2" t="str">
        <v/>
      </c>
      <c r="BR13" s="2">
        <v>3</v>
      </c>
      <c r="BS13" s="2" t="str">
        <v/>
      </c>
      <c r="BT13" s="2" t="str">
        <v/>
      </c>
      <c r="BU13" s="2">
        <v>2</v>
      </c>
      <c r="BV13" s="2" t="str">
        <v/>
      </c>
      <c r="BW13" s="2" t="str">
        <v/>
      </c>
      <c r="BX13" s="2">
        <v>1</v>
      </c>
      <c r="BY13" s="2" t="str">
        <v/>
      </c>
      <c r="BZ13" s="2" t="str">
        <v/>
      </c>
      <c r="CA13" s="2">
        <v>4</v>
      </c>
      <c r="CB13" s="2" t="str">
        <v/>
      </c>
      <c r="CC13" s="2" t="str">
        <v/>
      </c>
      <c r="CD13" s="2" t="str">
        <v/>
      </c>
      <c r="CE13" s="2" t="str">
        <v/>
      </c>
      <c r="CF13" s="2" t="str">
        <v/>
      </c>
      <c r="CG13" s="2">
        <v>3</v>
      </c>
      <c r="CH13" s="2" t="str">
        <v/>
      </c>
      <c r="CI13" s="2" t="str">
        <v/>
      </c>
      <c r="CJ13" s="2" t="str">
        <v/>
      </c>
      <c r="CK13" s="2" t="str">
        <v/>
      </c>
      <c r="CL13" s="2" t="str">
        <v/>
      </c>
      <c r="CM13" s="2">
        <v>2</v>
      </c>
      <c r="CN13" s="2" t="str">
        <v/>
      </c>
      <c r="CO13" s="2" t="str">
        <v/>
      </c>
      <c r="CP13" s="2">
        <v>1</v>
      </c>
      <c r="CQ13" s="2" t="str">
        <v/>
      </c>
      <c r="CR13" s="2" t="str">
        <v/>
      </c>
      <c r="CS13" s="2">
        <v>4</v>
      </c>
      <c r="CT13" s="2" t="str">
        <v/>
      </c>
      <c r="CU13" s="2" t="str">
        <v/>
      </c>
      <c r="CV13" s="2">
        <v>3</v>
      </c>
      <c r="CW13" s="2" t="str">
        <v/>
      </c>
      <c r="CX13" s="2" t="str">
        <v/>
      </c>
      <c r="CY13" s="2" t="str">
        <v/>
      </c>
      <c r="CZ13" s="2" t="str">
        <v/>
      </c>
      <c r="DA13" s="2" t="str">
        <v/>
      </c>
      <c r="DB13" s="2">
        <v>2</v>
      </c>
      <c r="DC13" s="2" t="str">
        <v/>
      </c>
      <c r="DD13" s="2" t="str">
        <v/>
      </c>
      <c r="DE13" s="2" t="str">
        <v/>
      </c>
      <c r="DF13" s="2" t="str">
        <v/>
      </c>
      <c r="DG13" s="2" t="str">
        <v/>
      </c>
      <c r="DH13" s="2">
        <v>1</v>
      </c>
      <c r="DI13" s="2" t="str">
        <v/>
      </c>
      <c r="DJ13" s="2" t="str">
        <v/>
      </c>
      <c r="DK13" s="2">
        <v>4</v>
      </c>
      <c r="DL13" s="2" t="str">
        <v/>
      </c>
      <c r="DM13" s="2" t="str">
        <v/>
      </c>
      <c r="DN13" s="2">
        <v>3</v>
      </c>
      <c r="DO13" s="2" t="str">
        <v/>
      </c>
      <c r="DP13" s="2" t="str">
        <v/>
      </c>
      <c r="DQ13" s="2">
        <v>2</v>
      </c>
      <c r="DR13" s="2" t="str">
        <v/>
      </c>
      <c r="DS13" s="2" t="str">
        <v/>
      </c>
      <c r="DT13" s="2" t="str">
        <v/>
      </c>
      <c r="DU13" s="2" t="str">
        <v/>
      </c>
      <c r="DV13" s="2" t="str">
        <v/>
      </c>
      <c r="DW13" s="2">
        <v>1</v>
      </c>
      <c r="DX13" s="2" t="str">
        <v/>
      </c>
      <c r="DY13" s="2" t="str">
        <v/>
      </c>
      <c r="DZ13" s="2" t="str">
        <v/>
      </c>
      <c r="EA13" s="2" t="str">
        <v/>
      </c>
      <c r="EB13" s="2" t="str">
        <v/>
      </c>
      <c r="EC13" s="2">
        <v>4</v>
      </c>
      <c r="ED13" s="2" t="str">
        <v/>
      </c>
      <c r="EE13" s="2" t="str">
        <v/>
      </c>
      <c r="EF13" s="2">
        <v>3</v>
      </c>
      <c r="EG13" s="2" t="str">
        <v/>
      </c>
      <c r="EH13" s="2" t="str">
        <v/>
      </c>
      <c r="EI13" s="2">
        <v>2</v>
      </c>
      <c r="EJ13" s="2" t="str">
        <v/>
      </c>
      <c r="EK13" s="2" t="str">
        <v/>
      </c>
      <c r="EL13" s="2">
        <v>1</v>
      </c>
      <c r="EM13" s="2" t="str">
        <v/>
      </c>
      <c r="EN13" s="2" t="str">
        <v/>
      </c>
      <c r="EO13" s="2" t="str">
        <v/>
      </c>
      <c r="EP13" s="2" t="str">
        <v/>
      </c>
      <c r="EQ13" s="2" t="str">
        <v/>
      </c>
      <c r="ER13" s="2">
        <v>4</v>
      </c>
      <c r="ES13" s="2" t="str">
        <v/>
      </c>
      <c r="ET13" s="2" t="str">
        <v/>
      </c>
      <c r="EU13" s="2" t="str">
        <v/>
      </c>
      <c r="EV13" s="2" t="str">
        <v/>
      </c>
      <c r="EW13" s="2" t="str">
        <v/>
      </c>
      <c r="EX13" s="2">
        <v>3</v>
      </c>
      <c r="EY13" s="2" t="str">
        <v/>
      </c>
      <c r="EZ13" s="2" t="str">
        <v/>
      </c>
      <c r="FA13" s="2">
        <v>2</v>
      </c>
      <c r="FB13" s="2" t="str">
        <v/>
      </c>
      <c r="FC13" s="2" t="str">
        <v/>
      </c>
      <c r="FD13" s="2">
        <v>1</v>
      </c>
      <c r="FE13" s="2" t="str">
        <v/>
      </c>
      <c r="FF13" s="2" t="str">
        <v/>
      </c>
      <c r="FG13" s="2">
        <v>4</v>
      </c>
      <c r="FH13" s="2" t="str">
        <v/>
      </c>
      <c r="FI13" s="2" t="str">
        <v/>
      </c>
      <c r="FJ13" s="2" t="str">
        <v/>
      </c>
      <c r="FK13" s="2" t="str">
        <v/>
      </c>
      <c r="FL13" s="2" t="str">
        <v/>
      </c>
      <c r="FM13" s="2">
        <v>3</v>
      </c>
      <c r="FN13" s="2" t="str">
        <v/>
      </c>
      <c r="FO13" s="2" t="str">
        <v/>
      </c>
      <c r="FP13" s="2" t="str">
        <v/>
      </c>
      <c r="FQ13" s="2" t="str">
        <v/>
      </c>
      <c r="FR13" s="2" t="str">
        <v/>
      </c>
      <c r="FS13" s="2">
        <v>2</v>
      </c>
      <c r="FT13" s="2" t="str">
        <v/>
      </c>
      <c r="FU13" s="2" t="str">
        <v/>
      </c>
      <c r="FV13" s="2">
        <v>1</v>
      </c>
      <c r="FW13" s="2" t="str">
        <v/>
      </c>
      <c r="FX13" s="2" t="str">
        <v/>
      </c>
      <c r="FY13" s="2">
        <v>4</v>
      </c>
      <c r="FZ13" s="2" t="str">
        <v/>
      </c>
      <c r="GA13" s="2" t="str">
        <v/>
      </c>
      <c r="GB13" s="2">
        <v>3</v>
      </c>
      <c r="GC13" s="2" t="str">
        <v/>
      </c>
      <c r="GD13" s="2" t="str">
        <v/>
      </c>
      <c r="GE13" s="2" t="str">
        <v/>
      </c>
      <c r="GF13" s="2" t="str">
        <v/>
      </c>
      <c r="GG13" s="2" t="str">
        <v/>
      </c>
      <c r="GH13" s="2">
        <v>2</v>
      </c>
      <c r="GI13" s="2" t="str">
        <v/>
      </c>
      <c r="GJ13" s="2" t="str">
        <v/>
      </c>
      <c r="GK13" s="2" t="str">
        <v/>
      </c>
      <c r="GL13" s="2" t="str">
        <v/>
      </c>
      <c r="GM13" s="2" t="str">
        <v/>
      </c>
      <c r="GN13" s="2">
        <v>1</v>
      </c>
      <c r="GO13" s="2" t="str">
        <v/>
      </c>
      <c r="GP13" s="2" t="str">
        <v/>
      </c>
      <c r="GQ13" s="2" t="str">
        <v/>
      </c>
      <c r="GR13" s="2" t="str">
        <v/>
      </c>
      <c r="GS13" s="2" t="str">
        <v/>
      </c>
      <c r="GT13" s="2">
        <v>4</v>
      </c>
      <c r="GU13" s="2" t="str">
        <v/>
      </c>
      <c r="GV13" s="2" t="str">
        <v/>
      </c>
      <c r="GW13" s="2">
        <v>3</v>
      </c>
      <c r="GX13" s="2" t="str">
        <v/>
      </c>
      <c r="GY13" s="2" t="str">
        <v/>
      </c>
      <c r="GZ13" s="2" t="str">
        <v/>
      </c>
      <c r="HA13" s="2" t="str">
        <v/>
      </c>
      <c r="HB13" s="2" t="str">
        <v/>
      </c>
      <c r="HC13" s="2">
        <v>2</v>
      </c>
      <c r="HD13" s="2" t="str">
        <v/>
      </c>
      <c r="HE13" s="2" t="str">
        <v/>
      </c>
      <c r="HF13" s="2" t="str">
        <v/>
      </c>
      <c r="HG13" s="2" t="str">
        <v/>
      </c>
      <c r="HH13" s="2" t="str">
        <v/>
      </c>
      <c r="HI13" s="2">
        <v>1</v>
      </c>
      <c r="HJ13" s="2" t="str">
        <v/>
      </c>
      <c r="HK13" s="2" t="str">
        <v/>
      </c>
      <c r="HL13" s="2">
        <v>4</v>
      </c>
      <c r="HM13" s="2" t="str">
        <v/>
      </c>
      <c r="HN13" s="2" t="str">
        <v/>
      </c>
      <c r="HO13" s="2">
        <v>3</v>
      </c>
      <c r="HP13" s="2" t="str">
        <v/>
      </c>
      <c r="HQ13" s="2" t="str">
        <v/>
      </c>
      <c r="HR13" s="2">
        <v>2</v>
      </c>
      <c r="HS13" s="2" t="str">
        <v/>
      </c>
      <c r="HT13" s="2" t="str">
        <v/>
      </c>
      <c r="HU13" s="2" t="str">
        <v/>
      </c>
      <c r="HV13" s="2" t="str">
        <v/>
      </c>
      <c r="HW13" s="2" t="str">
        <v/>
      </c>
      <c r="HX13" s="2">
        <v>1</v>
      </c>
      <c r="HY13" s="2" t="str">
        <v/>
      </c>
      <c r="HZ13" s="2" t="str">
        <v/>
      </c>
      <c r="IA13" s="2" t="str">
        <v/>
      </c>
      <c r="IB13" s="2" t="str">
        <v/>
      </c>
      <c r="IC13" s="2" t="str">
        <v/>
      </c>
      <c r="ID13" s="2">
        <v>4</v>
      </c>
      <c r="IE13" s="2" t="str">
        <v/>
      </c>
      <c r="IF13" s="2" t="str">
        <v/>
      </c>
      <c r="IG13" s="2">
        <v>3</v>
      </c>
      <c r="IH13" s="2" t="str">
        <v/>
      </c>
      <c r="II13" s="2" t="str">
        <v/>
      </c>
      <c r="IJ13" s="2">
        <v>2</v>
      </c>
      <c r="IK13" s="2" t="str">
        <v/>
      </c>
      <c r="IL13" s="2" t="str">
        <v/>
      </c>
      <c r="IM13" s="2">
        <v>1</v>
      </c>
      <c r="IN13" s="2" t="str">
        <v/>
      </c>
      <c r="IO13" s="2" t="str">
        <v/>
      </c>
      <c r="IP13" s="2" t="str">
        <v/>
      </c>
      <c r="IQ13" s="2" t="str">
        <v/>
      </c>
      <c r="IR13" s="2" t="str">
        <v/>
      </c>
      <c r="IS13" s="2">
        <v>4</v>
      </c>
      <c r="IT13" s="2" t="str">
        <v/>
      </c>
      <c r="IU13" s="2" t="str">
        <v/>
      </c>
      <c r="IV13" s="2" t="str">
        <v/>
      </c>
      <c r="IW13" s="2" t="str">
        <v/>
      </c>
      <c r="IX13" s="2" t="str">
        <v/>
      </c>
      <c r="IY13" s="2">
        <v>3</v>
      </c>
      <c r="IZ13" s="2" t="str">
        <v/>
      </c>
      <c r="JA13" s="2" t="str">
        <v/>
      </c>
      <c r="JB13" s="2">
        <v>2</v>
      </c>
      <c r="JC13" s="2" t="str">
        <v/>
      </c>
      <c r="JD13" s="2" t="str">
        <v/>
      </c>
      <c r="JE13" s="2">
        <v>1</v>
      </c>
      <c r="JF13" s="2" t="str">
        <v/>
      </c>
      <c r="JG13" s="2" t="str">
        <v/>
      </c>
      <c r="JH13" s="2" t="str">
        <v/>
      </c>
      <c r="JI13" s="2" t="str">
        <v/>
      </c>
      <c r="JJ13" s="2" t="str">
        <v/>
      </c>
      <c r="JK13" s="2" t="str">
        <v/>
      </c>
      <c r="JL13" s="2" t="str">
        <v/>
      </c>
      <c r="JM13" s="2" t="str">
        <v/>
      </c>
      <c r="JN13" s="2">
        <v>4</v>
      </c>
      <c r="JO13" s="2" t="str">
        <v/>
      </c>
      <c r="JP13" s="2" t="str">
        <v/>
      </c>
      <c r="JQ13" s="2" t="str">
        <v/>
      </c>
      <c r="JR13" s="2" t="str">
        <v/>
      </c>
      <c r="JS13" s="2" t="str">
        <v/>
      </c>
      <c r="JT13" s="2">
        <v>3</v>
      </c>
      <c r="JU13" s="2" t="str">
        <v/>
      </c>
      <c r="JV13" s="2" t="str">
        <v/>
      </c>
      <c r="JW13" s="2" t="str">
        <v/>
      </c>
      <c r="JX13" s="2" t="str">
        <v/>
      </c>
      <c r="JY13" s="2" t="str">
        <v/>
      </c>
      <c r="JZ13" s="2">
        <v>2</v>
      </c>
      <c r="KA13" s="2" t="str">
        <v/>
      </c>
      <c r="KB13" s="2" t="str">
        <v/>
      </c>
      <c r="KC13" s="2">
        <v>1</v>
      </c>
      <c r="KD13" s="2" t="str">
        <v/>
      </c>
      <c r="KE13" s="2" t="str">
        <v/>
      </c>
      <c r="KF13" s="2" t="str">
        <v/>
      </c>
      <c r="KG13" s="2" t="str">
        <v/>
      </c>
      <c r="KH13" s="2" t="str">
        <v/>
      </c>
      <c r="KI13" s="2">
        <v>4</v>
      </c>
      <c r="KJ13" s="2" t="str">
        <v/>
      </c>
      <c r="KK13" s="2" t="str">
        <v/>
      </c>
      <c r="KL13" s="2" t="str">
        <v/>
      </c>
      <c r="KM13" s="2" t="str">
        <v/>
      </c>
      <c r="KN13" s="2" t="str">
        <v/>
      </c>
      <c r="KO13" s="2">
        <v>3</v>
      </c>
      <c r="KP13" s="2" t="str">
        <v/>
      </c>
      <c r="KQ13" s="2" t="str">
        <v/>
      </c>
      <c r="KR13" s="2">
        <v>2</v>
      </c>
      <c r="KS13" s="2" t="str">
        <v/>
      </c>
      <c r="KT13" s="2" t="str">
        <v/>
      </c>
      <c r="KU13" s="2">
        <v>1</v>
      </c>
      <c r="KV13" s="2" t="str">
        <v/>
      </c>
      <c r="KW13" s="2" t="str">
        <v/>
      </c>
      <c r="KX13" s="2">
        <v>4</v>
      </c>
      <c r="KY13" s="2" t="str">
        <v/>
      </c>
      <c r="KZ13" s="2" t="str">
        <v/>
      </c>
      <c r="LA13" s="2" t="str">
        <v/>
      </c>
      <c r="LB13" s="2" t="str">
        <v/>
      </c>
      <c r="LC13" s="2" t="str">
        <v/>
      </c>
      <c r="LD13" s="2">
        <v>3</v>
      </c>
      <c r="LE13" s="2" t="str">
        <v/>
      </c>
      <c r="LF13" s="2" t="str">
        <v/>
      </c>
      <c r="LG13" s="2" t="str">
        <v/>
      </c>
      <c r="LH13" s="2" t="str">
        <v/>
      </c>
      <c r="LI13" s="2" t="str">
        <v/>
      </c>
      <c r="LJ13" s="2">
        <v>2</v>
      </c>
      <c r="LK13" s="2" t="str">
        <v/>
      </c>
      <c r="LL13" s="2" t="str">
        <v/>
      </c>
      <c r="LM13" s="2">
        <v>1</v>
      </c>
      <c r="LN13" s="2" t="str">
        <v/>
      </c>
      <c r="LO13" s="2" t="str">
        <v/>
      </c>
      <c r="LP13" s="2">
        <v>4</v>
      </c>
      <c r="LQ13" s="2" t="str">
        <v/>
      </c>
      <c r="LR13" s="2" t="str">
        <v/>
      </c>
      <c r="LS13" s="2">
        <v>3</v>
      </c>
      <c r="LT13" s="2" t="str">
        <v/>
      </c>
      <c r="LU13" s="2" t="str">
        <v/>
      </c>
      <c r="LV13" s="2" t="str">
        <v/>
      </c>
      <c r="LW13" s="2" t="str">
        <v/>
      </c>
      <c r="LX13" s="2" t="str">
        <v/>
      </c>
      <c r="LY13" s="2">
        <v>2</v>
      </c>
      <c r="LZ13" s="2" t="str">
        <v/>
      </c>
      <c r="MA13" s="2" t="str">
        <v/>
      </c>
      <c r="MB13" s="2" t="str">
        <v/>
      </c>
      <c r="MC13" s="2" t="str">
        <v/>
      </c>
      <c r="MD13" s="2" t="str">
        <v/>
      </c>
      <c r="ME13" s="2">
        <v>1</v>
      </c>
      <c r="MF13" s="2" t="str">
        <v/>
      </c>
      <c r="MG13" s="2" t="str">
        <v/>
      </c>
      <c r="MH13" s="2">
        <v>4</v>
      </c>
      <c r="MI13" s="2" t="str">
        <v/>
      </c>
      <c r="MJ13" s="2" t="str">
        <v/>
      </c>
      <c r="MK13" s="2">
        <v>3</v>
      </c>
      <c r="ML13" s="2" t="str">
        <v/>
      </c>
      <c r="MM13" s="2" t="str">
        <v/>
      </c>
      <c r="MN13" s="2">
        <v>2</v>
      </c>
      <c r="MO13" s="2" t="str">
        <v/>
      </c>
      <c r="MP13" s="2" t="str">
        <v/>
      </c>
      <c r="MQ13" s="2" t="str">
        <v/>
      </c>
      <c r="MR13" s="2" t="str">
        <v/>
      </c>
      <c r="MS13" s="2" t="str">
        <v/>
      </c>
      <c r="MT13" s="2">
        <v>1</v>
      </c>
      <c r="MU13" s="2" t="str">
        <v/>
      </c>
      <c r="MV13" s="2" t="str">
        <v/>
      </c>
      <c r="MW13" s="2" t="str">
        <v/>
      </c>
      <c r="MX13" s="2" t="str">
        <v/>
      </c>
      <c r="MY13" s="2" t="str">
        <v/>
      </c>
      <c r="MZ13" s="2">
        <v>4</v>
      </c>
      <c r="NA13" s="2" t="str">
        <v/>
      </c>
      <c r="NB13" s="2" t="str">
        <v/>
      </c>
      <c r="NC13" s="2">
        <v>3</v>
      </c>
      <c r="ND13" s="2" t="e">
        <v>#N/A</v>
      </c>
    </row>
    <row r="14" spans="1:368" hidden="1">
      <c r="A14" s="3" t="str">
        <v>주간_변환1
외곽2</v>
      </c>
      <c r="B14" s="2" t="str">
        <v/>
      </c>
      <c r="C14" s="2" t="str">
        <v/>
      </c>
      <c r="D14" s="2" t="str">
        <v/>
      </c>
      <c r="E14" s="2" t="str">
        <v/>
      </c>
      <c r="F14" s="2" t="str">
        <v/>
      </c>
      <c r="G14" s="2">
        <v>2</v>
      </c>
      <c r="H14" s="2" t="str">
        <v/>
      </c>
      <c r="I14" s="2" t="str">
        <v/>
      </c>
      <c r="J14" s="2">
        <v>1</v>
      </c>
      <c r="K14" s="2" t="str">
        <v/>
      </c>
      <c r="L14" s="2" t="str">
        <v/>
      </c>
      <c r="M14" s="2">
        <v>4</v>
      </c>
      <c r="N14" s="2" t="str">
        <v/>
      </c>
      <c r="O14" s="2" t="str">
        <v/>
      </c>
      <c r="P14" s="2">
        <v>3</v>
      </c>
      <c r="Q14" s="2" t="str">
        <v/>
      </c>
      <c r="R14" s="2" t="str">
        <v/>
      </c>
      <c r="S14" s="2" t="str">
        <v/>
      </c>
      <c r="T14" s="2" t="str">
        <v/>
      </c>
      <c r="U14" s="2" t="str">
        <v/>
      </c>
      <c r="V14" s="2">
        <v>2</v>
      </c>
      <c r="W14" s="2" t="str">
        <v/>
      </c>
      <c r="X14" s="2" t="str">
        <v/>
      </c>
      <c r="Y14" s="2" t="str">
        <v/>
      </c>
      <c r="Z14" s="2" t="str">
        <v/>
      </c>
      <c r="AA14" s="2" t="str">
        <v/>
      </c>
      <c r="AB14" s="2">
        <v>1</v>
      </c>
      <c r="AC14" s="2" t="str">
        <v/>
      </c>
      <c r="AD14" s="2" t="str">
        <v/>
      </c>
      <c r="AE14" s="2">
        <v>4</v>
      </c>
      <c r="AF14" s="2" t="str">
        <v/>
      </c>
      <c r="AG14" s="2" t="str">
        <v/>
      </c>
      <c r="AH14" s="2">
        <v>3</v>
      </c>
      <c r="AI14" s="2" t="str">
        <v/>
      </c>
      <c r="AJ14" s="2" t="str">
        <v/>
      </c>
      <c r="AK14" s="2">
        <v>2</v>
      </c>
      <c r="AL14" s="2" t="str">
        <v/>
      </c>
      <c r="AM14" s="2" t="str">
        <v/>
      </c>
      <c r="AN14" s="2" t="str">
        <v/>
      </c>
      <c r="AO14" s="2" t="str">
        <v/>
      </c>
      <c r="AP14" s="2" t="str">
        <v/>
      </c>
      <c r="AQ14" s="2">
        <v>1</v>
      </c>
      <c r="AR14" s="2" t="str">
        <v/>
      </c>
      <c r="AS14" s="2" t="str">
        <v/>
      </c>
      <c r="AT14" s="2" t="str">
        <v/>
      </c>
      <c r="AU14" s="2" t="str">
        <v/>
      </c>
      <c r="AV14" s="2" t="str">
        <v/>
      </c>
      <c r="AW14" s="2" t="str">
        <v/>
      </c>
      <c r="AX14" s="2" t="str">
        <v/>
      </c>
      <c r="AY14" s="2" t="str">
        <v/>
      </c>
      <c r="AZ14" s="2">
        <v>4</v>
      </c>
      <c r="BA14" s="2" t="str">
        <v/>
      </c>
      <c r="BB14" s="2" t="str">
        <v/>
      </c>
      <c r="BC14" s="2">
        <v>3</v>
      </c>
      <c r="BD14" s="2" t="str">
        <v/>
      </c>
      <c r="BE14" s="2" t="str">
        <v/>
      </c>
      <c r="BF14" s="2">
        <v>2</v>
      </c>
      <c r="BG14" s="2" t="str">
        <v/>
      </c>
      <c r="BH14" s="2" t="str">
        <v/>
      </c>
      <c r="BI14" s="2" t="str">
        <v/>
      </c>
      <c r="BJ14" s="2" t="str">
        <v/>
      </c>
      <c r="BK14" s="2" t="str">
        <v/>
      </c>
      <c r="BL14" s="2">
        <v>1</v>
      </c>
      <c r="BM14" s="2" t="str">
        <v/>
      </c>
      <c r="BN14" s="2" t="str">
        <v/>
      </c>
      <c r="BO14" s="2" t="str">
        <v/>
      </c>
      <c r="BP14" s="2" t="str">
        <v/>
      </c>
      <c r="BQ14" s="2" t="str">
        <v/>
      </c>
      <c r="BR14" s="2">
        <v>4</v>
      </c>
      <c r="BS14" s="2" t="str">
        <v/>
      </c>
      <c r="BT14" s="2" t="str">
        <v/>
      </c>
      <c r="BU14" s="2">
        <v>3</v>
      </c>
      <c r="BV14" s="2" t="str">
        <v/>
      </c>
      <c r="BW14" s="2" t="str">
        <v/>
      </c>
      <c r="BX14" s="2">
        <v>2</v>
      </c>
      <c r="BY14" s="2" t="str">
        <v/>
      </c>
      <c r="BZ14" s="2" t="str">
        <v/>
      </c>
      <c r="CA14" s="2">
        <v>1</v>
      </c>
      <c r="CB14" s="2" t="str">
        <v/>
      </c>
      <c r="CC14" s="2" t="str">
        <v/>
      </c>
      <c r="CD14" s="2" t="str">
        <v/>
      </c>
      <c r="CE14" s="2" t="str">
        <v/>
      </c>
      <c r="CF14" s="2" t="str">
        <v/>
      </c>
      <c r="CG14" s="2">
        <v>4</v>
      </c>
      <c r="CH14" s="2" t="str">
        <v/>
      </c>
      <c r="CI14" s="2" t="str">
        <v/>
      </c>
      <c r="CJ14" s="2" t="str">
        <v/>
      </c>
      <c r="CK14" s="2" t="str">
        <v/>
      </c>
      <c r="CL14" s="2" t="str">
        <v/>
      </c>
      <c r="CM14" s="2">
        <v>3</v>
      </c>
      <c r="CN14" s="2" t="str">
        <v/>
      </c>
      <c r="CO14" s="2" t="str">
        <v/>
      </c>
      <c r="CP14" s="2">
        <v>2</v>
      </c>
      <c r="CQ14" s="2" t="str">
        <v/>
      </c>
      <c r="CR14" s="2" t="str">
        <v/>
      </c>
      <c r="CS14" s="2">
        <v>1</v>
      </c>
      <c r="CT14" s="2" t="str">
        <v/>
      </c>
      <c r="CU14" s="2" t="str">
        <v/>
      </c>
      <c r="CV14" s="2">
        <v>4</v>
      </c>
      <c r="CW14" s="2" t="str">
        <v/>
      </c>
      <c r="CX14" s="2" t="str">
        <v/>
      </c>
      <c r="CY14" s="2" t="str">
        <v/>
      </c>
      <c r="CZ14" s="2" t="str">
        <v/>
      </c>
      <c r="DA14" s="2" t="str">
        <v/>
      </c>
      <c r="DB14" s="2">
        <v>3</v>
      </c>
      <c r="DC14" s="2" t="str">
        <v/>
      </c>
      <c r="DD14" s="2" t="str">
        <v/>
      </c>
      <c r="DE14" s="2" t="str">
        <v/>
      </c>
      <c r="DF14" s="2" t="str">
        <v/>
      </c>
      <c r="DG14" s="2" t="str">
        <v/>
      </c>
      <c r="DH14" s="2">
        <v>2</v>
      </c>
      <c r="DI14" s="2" t="str">
        <v/>
      </c>
      <c r="DJ14" s="2" t="str">
        <v/>
      </c>
      <c r="DK14" s="2">
        <v>1</v>
      </c>
      <c r="DL14" s="2" t="str">
        <v/>
      </c>
      <c r="DM14" s="2" t="str">
        <v/>
      </c>
      <c r="DN14" s="2">
        <v>4</v>
      </c>
      <c r="DO14" s="2" t="str">
        <v/>
      </c>
      <c r="DP14" s="2" t="str">
        <v/>
      </c>
      <c r="DQ14" s="2">
        <v>3</v>
      </c>
      <c r="DR14" s="2" t="str">
        <v/>
      </c>
      <c r="DS14" s="2" t="str">
        <v/>
      </c>
      <c r="DT14" s="2" t="str">
        <v/>
      </c>
      <c r="DU14" s="2" t="str">
        <v/>
      </c>
      <c r="DV14" s="2" t="str">
        <v/>
      </c>
      <c r="DW14" s="2">
        <v>2</v>
      </c>
      <c r="DX14" s="2" t="str">
        <v/>
      </c>
      <c r="DY14" s="2" t="str">
        <v/>
      </c>
      <c r="DZ14" s="2" t="str">
        <v/>
      </c>
      <c r="EA14" s="2" t="str">
        <v/>
      </c>
      <c r="EB14" s="2" t="str">
        <v/>
      </c>
      <c r="EC14" s="2">
        <v>1</v>
      </c>
      <c r="ED14" s="2" t="str">
        <v/>
      </c>
      <c r="EE14" s="2" t="str">
        <v/>
      </c>
      <c r="EF14" s="2">
        <v>4</v>
      </c>
      <c r="EG14" s="2" t="str">
        <v/>
      </c>
      <c r="EH14" s="2" t="str">
        <v/>
      </c>
      <c r="EI14" s="2">
        <v>3</v>
      </c>
      <c r="EJ14" s="2" t="str">
        <v/>
      </c>
      <c r="EK14" s="2" t="str">
        <v/>
      </c>
      <c r="EL14" s="2">
        <v>2</v>
      </c>
      <c r="EM14" s="2" t="str">
        <v/>
      </c>
      <c r="EN14" s="2" t="str">
        <v/>
      </c>
      <c r="EO14" s="2" t="str">
        <v/>
      </c>
      <c r="EP14" s="2" t="str">
        <v/>
      </c>
      <c r="EQ14" s="2" t="str">
        <v/>
      </c>
      <c r="ER14" s="2">
        <v>1</v>
      </c>
      <c r="ES14" s="2" t="str">
        <v/>
      </c>
      <c r="ET14" s="2" t="str">
        <v/>
      </c>
      <c r="EU14" s="2" t="str">
        <v/>
      </c>
      <c r="EV14" s="2" t="str">
        <v/>
      </c>
      <c r="EW14" s="2" t="str">
        <v/>
      </c>
      <c r="EX14" s="2">
        <v>4</v>
      </c>
      <c r="EY14" s="2" t="str">
        <v/>
      </c>
      <c r="EZ14" s="2" t="str">
        <v/>
      </c>
      <c r="FA14" s="2">
        <v>3</v>
      </c>
      <c r="FB14" s="2" t="str">
        <v/>
      </c>
      <c r="FC14" s="2" t="str">
        <v/>
      </c>
      <c r="FD14" s="2">
        <v>2</v>
      </c>
      <c r="FE14" s="2" t="str">
        <v/>
      </c>
      <c r="FF14" s="2" t="str">
        <v/>
      </c>
      <c r="FG14" s="2">
        <v>1</v>
      </c>
      <c r="FH14" s="2" t="str">
        <v/>
      </c>
      <c r="FI14" s="2" t="str">
        <v/>
      </c>
      <c r="FJ14" s="2" t="str">
        <v/>
      </c>
      <c r="FK14" s="2" t="str">
        <v/>
      </c>
      <c r="FL14" s="2" t="str">
        <v/>
      </c>
      <c r="FM14" s="2">
        <v>4</v>
      </c>
      <c r="FN14" s="2" t="str">
        <v/>
      </c>
      <c r="FO14" s="2" t="str">
        <v/>
      </c>
      <c r="FP14" s="2" t="str">
        <v/>
      </c>
      <c r="FQ14" s="2" t="str">
        <v/>
      </c>
      <c r="FR14" s="2" t="str">
        <v/>
      </c>
      <c r="FS14" s="2">
        <v>3</v>
      </c>
      <c r="FT14" s="2" t="str">
        <v/>
      </c>
      <c r="FU14" s="2" t="str">
        <v/>
      </c>
      <c r="FV14" s="2">
        <v>2</v>
      </c>
      <c r="FW14" s="2" t="str">
        <v/>
      </c>
      <c r="FX14" s="2" t="str">
        <v/>
      </c>
      <c r="FY14" s="2">
        <v>1</v>
      </c>
      <c r="FZ14" s="2" t="str">
        <v/>
      </c>
      <c r="GA14" s="2" t="str">
        <v/>
      </c>
      <c r="GB14" s="2">
        <v>4</v>
      </c>
      <c r="GC14" s="2" t="str">
        <v/>
      </c>
      <c r="GD14" s="2" t="str">
        <v/>
      </c>
      <c r="GE14" s="2" t="str">
        <v/>
      </c>
      <c r="GF14" s="2" t="str">
        <v/>
      </c>
      <c r="GG14" s="2" t="str">
        <v/>
      </c>
      <c r="GH14" s="2">
        <v>3</v>
      </c>
      <c r="GI14" s="2" t="str">
        <v/>
      </c>
      <c r="GJ14" s="2" t="str">
        <v/>
      </c>
      <c r="GK14" s="2" t="str">
        <v/>
      </c>
      <c r="GL14" s="2" t="str">
        <v/>
      </c>
      <c r="GM14" s="2" t="str">
        <v/>
      </c>
      <c r="GN14" s="2">
        <v>2</v>
      </c>
      <c r="GO14" s="2" t="str">
        <v/>
      </c>
      <c r="GP14" s="2" t="str">
        <v/>
      </c>
      <c r="GQ14" s="2" t="str">
        <v/>
      </c>
      <c r="GR14" s="2" t="str">
        <v/>
      </c>
      <c r="GS14" s="2" t="str">
        <v/>
      </c>
      <c r="GT14" s="2">
        <v>1</v>
      </c>
      <c r="GU14" s="2" t="str">
        <v/>
      </c>
      <c r="GV14" s="2" t="str">
        <v/>
      </c>
      <c r="GW14" s="2">
        <v>4</v>
      </c>
      <c r="GX14" s="2" t="str">
        <v/>
      </c>
      <c r="GY14" s="2" t="str">
        <v/>
      </c>
      <c r="GZ14" s="2" t="str">
        <v/>
      </c>
      <c r="HA14" s="2" t="str">
        <v/>
      </c>
      <c r="HB14" s="2" t="str">
        <v/>
      </c>
      <c r="HC14" s="2">
        <v>3</v>
      </c>
      <c r="HD14" s="2" t="str">
        <v/>
      </c>
      <c r="HE14" s="2" t="str">
        <v/>
      </c>
      <c r="HF14" s="2" t="str">
        <v/>
      </c>
      <c r="HG14" s="2" t="str">
        <v/>
      </c>
      <c r="HH14" s="2" t="str">
        <v/>
      </c>
      <c r="HI14" s="2">
        <v>2</v>
      </c>
      <c r="HJ14" s="2" t="str">
        <v/>
      </c>
      <c r="HK14" s="2" t="str">
        <v/>
      </c>
      <c r="HL14" s="2">
        <v>1</v>
      </c>
      <c r="HM14" s="2" t="str">
        <v/>
      </c>
      <c r="HN14" s="2" t="str">
        <v/>
      </c>
      <c r="HO14" s="2">
        <v>4</v>
      </c>
      <c r="HP14" s="2" t="str">
        <v/>
      </c>
      <c r="HQ14" s="2" t="str">
        <v/>
      </c>
      <c r="HR14" s="2">
        <v>3</v>
      </c>
      <c r="HS14" s="2" t="str">
        <v/>
      </c>
      <c r="HT14" s="2" t="str">
        <v/>
      </c>
      <c r="HU14" s="2" t="str">
        <v/>
      </c>
      <c r="HV14" s="2" t="str">
        <v/>
      </c>
      <c r="HW14" s="2" t="str">
        <v/>
      </c>
      <c r="HX14" s="2">
        <v>2</v>
      </c>
      <c r="HY14" s="2" t="str">
        <v/>
      </c>
      <c r="HZ14" s="2" t="str">
        <v/>
      </c>
      <c r="IA14" s="2" t="str">
        <v/>
      </c>
      <c r="IB14" s="2" t="str">
        <v/>
      </c>
      <c r="IC14" s="2" t="str">
        <v/>
      </c>
      <c r="ID14" s="2">
        <v>1</v>
      </c>
      <c r="IE14" s="2" t="str">
        <v/>
      </c>
      <c r="IF14" s="2" t="str">
        <v/>
      </c>
      <c r="IG14" s="2">
        <v>4</v>
      </c>
      <c r="IH14" s="2" t="str">
        <v/>
      </c>
      <c r="II14" s="2" t="str">
        <v/>
      </c>
      <c r="IJ14" s="2">
        <v>3</v>
      </c>
      <c r="IK14" s="2" t="str">
        <v/>
      </c>
      <c r="IL14" s="2" t="str">
        <v/>
      </c>
      <c r="IM14" s="2">
        <v>2</v>
      </c>
      <c r="IN14" s="2" t="str">
        <v/>
      </c>
      <c r="IO14" s="2" t="str">
        <v/>
      </c>
      <c r="IP14" s="2" t="str">
        <v/>
      </c>
      <c r="IQ14" s="2" t="str">
        <v/>
      </c>
      <c r="IR14" s="2" t="str">
        <v/>
      </c>
      <c r="IS14" s="2">
        <v>1</v>
      </c>
      <c r="IT14" s="2" t="str">
        <v/>
      </c>
      <c r="IU14" s="2" t="str">
        <v/>
      </c>
      <c r="IV14" s="2" t="str">
        <v/>
      </c>
      <c r="IW14" s="2" t="str">
        <v/>
      </c>
      <c r="IX14" s="2" t="str">
        <v/>
      </c>
      <c r="IY14" s="2">
        <v>4</v>
      </c>
      <c r="IZ14" s="2" t="str">
        <v/>
      </c>
      <c r="JA14" s="2" t="str">
        <v/>
      </c>
      <c r="JB14" s="2">
        <v>3</v>
      </c>
      <c r="JC14" s="2" t="str">
        <v/>
      </c>
      <c r="JD14" s="2" t="str">
        <v/>
      </c>
      <c r="JE14" s="2">
        <v>2</v>
      </c>
      <c r="JF14" s="2" t="str">
        <v/>
      </c>
      <c r="JG14" s="2" t="str">
        <v/>
      </c>
      <c r="JH14" s="2" t="str">
        <v/>
      </c>
      <c r="JI14" s="2" t="str">
        <v/>
      </c>
      <c r="JJ14" s="2" t="str">
        <v/>
      </c>
      <c r="JK14" s="2" t="str">
        <v/>
      </c>
      <c r="JL14" s="2" t="str">
        <v/>
      </c>
      <c r="JM14" s="2" t="str">
        <v/>
      </c>
      <c r="JN14" s="2">
        <v>1</v>
      </c>
      <c r="JO14" s="2" t="str">
        <v/>
      </c>
      <c r="JP14" s="2" t="str">
        <v/>
      </c>
      <c r="JQ14" s="2" t="str">
        <v/>
      </c>
      <c r="JR14" s="2" t="str">
        <v/>
      </c>
      <c r="JS14" s="2" t="str">
        <v/>
      </c>
      <c r="JT14" s="2">
        <v>4</v>
      </c>
      <c r="JU14" s="2" t="str">
        <v/>
      </c>
      <c r="JV14" s="2" t="str">
        <v/>
      </c>
      <c r="JW14" s="2" t="str">
        <v/>
      </c>
      <c r="JX14" s="2" t="str">
        <v/>
      </c>
      <c r="JY14" s="2" t="str">
        <v/>
      </c>
      <c r="JZ14" s="2">
        <v>3</v>
      </c>
      <c r="KA14" s="2" t="str">
        <v/>
      </c>
      <c r="KB14" s="2" t="str">
        <v/>
      </c>
      <c r="KC14" s="2">
        <v>2</v>
      </c>
      <c r="KD14" s="2" t="str">
        <v/>
      </c>
      <c r="KE14" s="2" t="str">
        <v/>
      </c>
      <c r="KF14" s="2" t="str">
        <v/>
      </c>
      <c r="KG14" s="2" t="str">
        <v/>
      </c>
      <c r="KH14" s="2" t="str">
        <v/>
      </c>
      <c r="KI14" s="2">
        <v>1</v>
      </c>
      <c r="KJ14" s="2" t="str">
        <v/>
      </c>
      <c r="KK14" s="2" t="str">
        <v/>
      </c>
      <c r="KL14" s="2" t="str">
        <v/>
      </c>
      <c r="KM14" s="2" t="str">
        <v/>
      </c>
      <c r="KN14" s="2" t="str">
        <v/>
      </c>
      <c r="KO14" s="2">
        <v>4</v>
      </c>
      <c r="KP14" s="2" t="str">
        <v/>
      </c>
      <c r="KQ14" s="2" t="str">
        <v/>
      </c>
      <c r="KR14" s="2">
        <v>3</v>
      </c>
      <c r="KS14" s="2" t="str">
        <v/>
      </c>
      <c r="KT14" s="2" t="str">
        <v/>
      </c>
      <c r="KU14" s="2">
        <v>2</v>
      </c>
      <c r="KV14" s="2" t="str">
        <v/>
      </c>
      <c r="KW14" s="2" t="str">
        <v/>
      </c>
      <c r="KX14" s="2">
        <v>1</v>
      </c>
      <c r="KY14" s="2" t="str">
        <v/>
      </c>
      <c r="KZ14" s="2" t="str">
        <v/>
      </c>
      <c r="LA14" s="2" t="str">
        <v/>
      </c>
      <c r="LB14" s="2" t="str">
        <v/>
      </c>
      <c r="LC14" s="2" t="str">
        <v/>
      </c>
      <c r="LD14" s="2">
        <v>4</v>
      </c>
      <c r="LE14" s="2" t="str">
        <v/>
      </c>
      <c r="LF14" s="2" t="str">
        <v/>
      </c>
      <c r="LG14" s="2" t="str">
        <v/>
      </c>
      <c r="LH14" s="2" t="str">
        <v/>
      </c>
      <c r="LI14" s="2" t="str">
        <v/>
      </c>
      <c r="LJ14" s="2">
        <v>3</v>
      </c>
      <c r="LK14" s="2" t="str">
        <v/>
      </c>
      <c r="LL14" s="2" t="str">
        <v/>
      </c>
      <c r="LM14" s="2">
        <v>2</v>
      </c>
      <c r="LN14" s="2" t="str">
        <v/>
      </c>
      <c r="LO14" s="2" t="str">
        <v/>
      </c>
      <c r="LP14" s="2">
        <v>1</v>
      </c>
      <c r="LQ14" s="2" t="str">
        <v/>
      </c>
      <c r="LR14" s="2" t="str">
        <v/>
      </c>
      <c r="LS14" s="2">
        <v>4</v>
      </c>
      <c r="LT14" s="2" t="str">
        <v/>
      </c>
      <c r="LU14" s="2" t="str">
        <v/>
      </c>
      <c r="LV14" s="2" t="str">
        <v/>
      </c>
      <c r="LW14" s="2" t="str">
        <v/>
      </c>
      <c r="LX14" s="2" t="str">
        <v/>
      </c>
      <c r="LY14" s="2">
        <v>3</v>
      </c>
      <c r="LZ14" s="2" t="str">
        <v/>
      </c>
      <c r="MA14" s="2" t="str">
        <v/>
      </c>
      <c r="MB14" s="2" t="str">
        <v/>
      </c>
      <c r="MC14" s="2" t="str">
        <v/>
      </c>
      <c r="MD14" s="2" t="str">
        <v/>
      </c>
      <c r="ME14" s="2">
        <v>2</v>
      </c>
      <c r="MF14" s="2" t="str">
        <v/>
      </c>
      <c r="MG14" s="2" t="str">
        <v/>
      </c>
      <c r="MH14" s="2">
        <v>1</v>
      </c>
      <c r="MI14" s="2" t="str">
        <v/>
      </c>
      <c r="MJ14" s="2" t="str">
        <v/>
      </c>
      <c r="MK14" s="2">
        <v>4</v>
      </c>
      <c r="ML14" s="2" t="str">
        <v/>
      </c>
      <c r="MM14" s="2" t="str">
        <v/>
      </c>
      <c r="MN14" s="2">
        <v>3</v>
      </c>
      <c r="MO14" s="2" t="str">
        <v/>
      </c>
      <c r="MP14" s="2" t="str">
        <v/>
      </c>
      <c r="MQ14" s="2" t="str">
        <v/>
      </c>
      <c r="MR14" s="2" t="str">
        <v/>
      </c>
      <c r="MS14" s="2" t="str">
        <v/>
      </c>
      <c r="MT14" s="2">
        <v>2</v>
      </c>
      <c r="MU14" s="2" t="str">
        <v/>
      </c>
      <c r="MV14" s="2" t="str">
        <v/>
      </c>
      <c r="MW14" s="2" t="str">
        <v/>
      </c>
      <c r="MX14" s="2" t="str">
        <v/>
      </c>
      <c r="MY14" s="2" t="str">
        <v/>
      </c>
      <c r="MZ14" s="2">
        <v>1</v>
      </c>
      <c r="NA14" s="2" t="str">
        <v/>
      </c>
      <c r="NB14" s="2" t="str">
        <v/>
      </c>
      <c r="NC14" s="2">
        <v>4</v>
      </c>
      <c r="ND14" s="2" t="e">
        <v>#N/A</v>
      </c>
    </row>
    <row r="15" spans="1:368" hidden="1">
      <c r="A15" s="3" t="str">
        <v>주간_변환1
외곽3
(5명근무시)</v>
      </c>
      <c r="B15" s="2" t="str">
        <v/>
      </c>
      <c r="C15" s="2" t="str">
        <v/>
      </c>
      <c r="D15" s="2" t="str">
        <v/>
      </c>
      <c r="E15" s="2" t="str">
        <v/>
      </c>
      <c r="F15" s="2" t="str">
        <v/>
      </c>
      <c r="G15" s="2">
        <v>1</v>
      </c>
      <c r="H15" s="2" t="str">
        <v/>
      </c>
      <c r="I15" s="2" t="str">
        <v/>
      </c>
      <c r="J15" s="2">
        <v>2</v>
      </c>
      <c r="K15" s="2" t="str">
        <v/>
      </c>
      <c r="L15" s="2" t="str">
        <v/>
      </c>
      <c r="M15" s="2">
        <v>3</v>
      </c>
      <c r="N15" s="2" t="str">
        <v/>
      </c>
      <c r="O15" s="2" t="str">
        <v/>
      </c>
      <c r="P15" s="2">
        <v>4</v>
      </c>
      <c r="Q15" s="2" t="str">
        <v/>
      </c>
      <c r="R15" s="2" t="str">
        <v/>
      </c>
      <c r="S15" s="2" t="str">
        <v/>
      </c>
      <c r="T15" s="2" t="str">
        <v/>
      </c>
      <c r="U15" s="2" t="str">
        <v/>
      </c>
      <c r="V15" s="2">
        <v>0</v>
      </c>
      <c r="W15" s="2" t="str">
        <v/>
      </c>
      <c r="X15" s="2" t="str">
        <v/>
      </c>
      <c r="Y15" s="2" t="str">
        <v/>
      </c>
      <c r="Z15" s="2" t="str">
        <v/>
      </c>
      <c r="AA15" s="2" t="str">
        <v/>
      </c>
      <c r="AB15" s="2">
        <v>1</v>
      </c>
      <c r="AC15" s="2" t="str">
        <v/>
      </c>
      <c r="AD15" s="2" t="str">
        <v/>
      </c>
      <c r="AE15" s="2">
        <v>2</v>
      </c>
      <c r="AF15" s="2" t="str">
        <v/>
      </c>
      <c r="AG15" s="2" t="str">
        <v/>
      </c>
      <c r="AH15" s="2">
        <v>3</v>
      </c>
      <c r="AI15" s="2" t="str">
        <v/>
      </c>
      <c r="AJ15" s="2" t="str">
        <v/>
      </c>
      <c r="AK15" s="2">
        <v>4</v>
      </c>
      <c r="AL15" s="2" t="str">
        <v/>
      </c>
      <c r="AM15" s="2" t="str">
        <v/>
      </c>
      <c r="AN15" s="2" t="str">
        <v/>
      </c>
      <c r="AO15" s="2" t="str">
        <v/>
      </c>
      <c r="AP15" s="2" t="str">
        <v/>
      </c>
      <c r="AQ15" s="2">
        <v>0</v>
      </c>
      <c r="AR15" s="2" t="str">
        <v/>
      </c>
      <c r="AS15" s="2" t="str">
        <v/>
      </c>
      <c r="AT15" s="2" t="str">
        <v/>
      </c>
      <c r="AU15" s="2" t="str">
        <v/>
      </c>
      <c r="AV15" s="2" t="str">
        <v/>
      </c>
      <c r="AW15" s="2" t="str">
        <v/>
      </c>
      <c r="AX15" s="2" t="str">
        <v/>
      </c>
      <c r="AY15" s="2" t="str">
        <v/>
      </c>
      <c r="AZ15" s="2">
        <v>1</v>
      </c>
      <c r="BA15" s="2" t="str">
        <v/>
      </c>
      <c r="BB15" s="2" t="str">
        <v/>
      </c>
      <c r="BC15" s="2">
        <v>2</v>
      </c>
      <c r="BD15" s="2" t="str">
        <v/>
      </c>
      <c r="BE15" s="2" t="str">
        <v/>
      </c>
      <c r="BF15" s="2">
        <v>3</v>
      </c>
      <c r="BG15" s="2" t="str">
        <v/>
      </c>
      <c r="BH15" s="2" t="str">
        <v/>
      </c>
      <c r="BI15" s="2" t="str">
        <v/>
      </c>
      <c r="BJ15" s="2" t="str">
        <v/>
      </c>
      <c r="BK15" s="2" t="str">
        <v/>
      </c>
      <c r="BL15" s="2">
        <v>4</v>
      </c>
      <c r="BM15" s="2" t="str">
        <v/>
      </c>
      <c r="BN15" s="2" t="str">
        <v/>
      </c>
      <c r="BO15" s="2" t="str">
        <v/>
      </c>
      <c r="BP15" s="2" t="str">
        <v/>
      </c>
      <c r="BQ15" s="2" t="str">
        <v/>
      </c>
      <c r="BR15" s="2">
        <v>0</v>
      </c>
      <c r="BS15" s="2" t="str">
        <v/>
      </c>
      <c r="BT15" s="2" t="str">
        <v/>
      </c>
      <c r="BU15" s="2">
        <v>1</v>
      </c>
      <c r="BV15" s="2" t="str">
        <v/>
      </c>
      <c r="BW15" s="2" t="str">
        <v/>
      </c>
      <c r="BX15" s="2">
        <v>2</v>
      </c>
      <c r="BY15" s="2" t="str">
        <v/>
      </c>
      <c r="BZ15" s="2" t="str">
        <v/>
      </c>
      <c r="CA15" s="2">
        <v>3</v>
      </c>
      <c r="CB15" s="2" t="str">
        <v/>
      </c>
      <c r="CC15" s="2" t="str">
        <v/>
      </c>
      <c r="CD15" s="2" t="str">
        <v/>
      </c>
      <c r="CE15" s="2" t="str">
        <v/>
      </c>
      <c r="CF15" s="2" t="str">
        <v/>
      </c>
      <c r="CG15" s="2">
        <v>4</v>
      </c>
      <c r="CH15" s="2" t="str">
        <v/>
      </c>
      <c r="CI15" s="2" t="str">
        <v/>
      </c>
      <c r="CJ15" s="2" t="str">
        <v/>
      </c>
      <c r="CK15" s="2" t="str">
        <v/>
      </c>
      <c r="CL15" s="2" t="str">
        <v/>
      </c>
      <c r="CM15" s="2">
        <v>0</v>
      </c>
      <c r="CN15" s="2" t="str">
        <v/>
      </c>
      <c r="CO15" s="2" t="str">
        <v/>
      </c>
      <c r="CP15" s="2">
        <v>1</v>
      </c>
      <c r="CQ15" s="2" t="str">
        <v/>
      </c>
      <c r="CR15" s="2" t="str">
        <v/>
      </c>
      <c r="CS15" s="2">
        <v>2</v>
      </c>
      <c r="CT15" s="2" t="str">
        <v/>
      </c>
      <c r="CU15" s="2" t="str">
        <v/>
      </c>
      <c r="CV15" s="2">
        <v>3</v>
      </c>
      <c r="CW15" s="2" t="str">
        <v/>
      </c>
      <c r="CX15" s="2" t="str">
        <v/>
      </c>
      <c r="CY15" s="2" t="str">
        <v/>
      </c>
      <c r="CZ15" s="2" t="str">
        <v/>
      </c>
      <c r="DA15" s="2" t="str">
        <v/>
      </c>
      <c r="DB15" s="2">
        <v>4</v>
      </c>
      <c r="DC15" s="2" t="str">
        <v/>
      </c>
      <c r="DD15" s="2" t="str">
        <v/>
      </c>
      <c r="DE15" s="2" t="str">
        <v/>
      </c>
      <c r="DF15" s="2" t="str">
        <v/>
      </c>
      <c r="DG15" s="2" t="str">
        <v/>
      </c>
      <c r="DH15" s="2">
        <v>0</v>
      </c>
      <c r="DI15" s="2" t="str">
        <v/>
      </c>
      <c r="DJ15" s="2" t="str">
        <v/>
      </c>
      <c r="DK15" s="2">
        <v>1</v>
      </c>
      <c r="DL15" s="2" t="str">
        <v/>
      </c>
      <c r="DM15" s="2" t="str">
        <v/>
      </c>
      <c r="DN15" s="2">
        <v>2</v>
      </c>
      <c r="DO15" s="2" t="str">
        <v/>
      </c>
      <c r="DP15" s="2" t="str">
        <v/>
      </c>
      <c r="DQ15" s="2">
        <v>3</v>
      </c>
      <c r="DR15" s="2" t="str">
        <v/>
      </c>
      <c r="DS15" s="2" t="str">
        <v/>
      </c>
      <c r="DT15" s="2" t="str">
        <v/>
      </c>
      <c r="DU15" s="2" t="str">
        <v/>
      </c>
      <c r="DV15" s="2" t="str">
        <v/>
      </c>
      <c r="DW15" s="2">
        <v>4</v>
      </c>
      <c r="DX15" s="2" t="str">
        <v/>
      </c>
      <c r="DY15" s="2" t="str">
        <v/>
      </c>
      <c r="DZ15" s="2" t="str">
        <v/>
      </c>
      <c r="EA15" s="2" t="str">
        <v/>
      </c>
      <c r="EB15" s="2" t="str">
        <v/>
      </c>
      <c r="EC15" s="2">
        <v>0</v>
      </c>
      <c r="ED15" s="2" t="str">
        <v/>
      </c>
      <c r="EE15" s="2" t="str">
        <v/>
      </c>
      <c r="EF15" s="2">
        <v>1</v>
      </c>
      <c r="EG15" s="2" t="str">
        <v/>
      </c>
      <c r="EH15" s="2" t="str">
        <v/>
      </c>
      <c r="EI15" s="2">
        <v>2</v>
      </c>
      <c r="EJ15" s="2" t="str">
        <v/>
      </c>
      <c r="EK15" s="2" t="str">
        <v/>
      </c>
      <c r="EL15" s="2">
        <v>3</v>
      </c>
      <c r="EM15" s="2" t="str">
        <v/>
      </c>
      <c r="EN15" s="2" t="str">
        <v/>
      </c>
      <c r="EO15" s="2" t="str">
        <v/>
      </c>
      <c r="EP15" s="2" t="str">
        <v/>
      </c>
      <c r="EQ15" s="2" t="str">
        <v/>
      </c>
      <c r="ER15" s="2">
        <v>4</v>
      </c>
      <c r="ES15" s="2" t="str">
        <v/>
      </c>
      <c r="ET15" s="2" t="str">
        <v/>
      </c>
      <c r="EU15" s="2" t="str">
        <v/>
      </c>
      <c r="EV15" s="2" t="str">
        <v/>
      </c>
      <c r="EW15" s="2" t="str">
        <v/>
      </c>
      <c r="EX15" s="2">
        <v>0</v>
      </c>
      <c r="EY15" s="2" t="str">
        <v/>
      </c>
      <c r="EZ15" s="2" t="str">
        <v/>
      </c>
      <c r="FA15" s="2">
        <v>1</v>
      </c>
      <c r="FB15" s="2" t="str">
        <v/>
      </c>
      <c r="FC15" s="2" t="str">
        <v/>
      </c>
      <c r="FD15" s="2">
        <v>2</v>
      </c>
      <c r="FE15" s="2" t="str">
        <v/>
      </c>
      <c r="FF15" s="2" t="str">
        <v/>
      </c>
      <c r="FG15" s="2">
        <v>3</v>
      </c>
      <c r="FH15" s="2" t="str">
        <v/>
      </c>
      <c r="FI15" s="2" t="str">
        <v/>
      </c>
      <c r="FJ15" s="2" t="str">
        <v/>
      </c>
      <c r="FK15" s="2" t="str">
        <v/>
      </c>
      <c r="FL15" s="2" t="str">
        <v/>
      </c>
      <c r="FM15" s="2">
        <v>4</v>
      </c>
      <c r="FN15" s="2" t="str">
        <v/>
      </c>
      <c r="FO15" s="2" t="str">
        <v/>
      </c>
      <c r="FP15" s="2" t="str">
        <v/>
      </c>
      <c r="FQ15" s="2" t="str">
        <v/>
      </c>
      <c r="FR15" s="2" t="str">
        <v/>
      </c>
      <c r="FS15" s="2">
        <v>0</v>
      </c>
      <c r="FT15" s="2" t="str">
        <v/>
      </c>
      <c r="FU15" s="2" t="str">
        <v/>
      </c>
      <c r="FV15" s="2">
        <v>1</v>
      </c>
      <c r="FW15" s="2" t="str">
        <v/>
      </c>
      <c r="FX15" s="2" t="str">
        <v/>
      </c>
      <c r="FY15" s="2">
        <v>2</v>
      </c>
      <c r="FZ15" s="2" t="str">
        <v/>
      </c>
      <c r="GA15" s="2" t="str">
        <v/>
      </c>
      <c r="GB15" s="2">
        <v>3</v>
      </c>
      <c r="GC15" s="2" t="str">
        <v/>
      </c>
      <c r="GD15" s="2" t="str">
        <v/>
      </c>
      <c r="GE15" s="2" t="str">
        <v/>
      </c>
      <c r="GF15" s="2" t="str">
        <v/>
      </c>
      <c r="GG15" s="2" t="str">
        <v/>
      </c>
      <c r="GH15" s="2">
        <v>4</v>
      </c>
      <c r="GI15" s="2" t="str">
        <v/>
      </c>
      <c r="GJ15" s="2" t="str">
        <v/>
      </c>
      <c r="GK15" s="2" t="str">
        <v/>
      </c>
      <c r="GL15" s="2" t="str">
        <v/>
      </c>
      <c r="GM15" s="2" t="str">
        <v/>
      </c>
      <c r="GN15" s="2">
        <v>0</v>
      </c>
      <c r="GO15" s="2" t="str">
        <v/>
      </c>
      <c r="GP15" s="2" t="str">
        <v/>
      </c>
      <c r="GQ15" s="2" t="str">
        <v/>
      </c>
      <c r="GR15" s="2" t="str">
        <v/>
      </c>
      <c r="GS15" s="2" t="str">
        <v/>
      </c>
      <c r="GT15" s="2">
        <v>1</v>
      </c>
      <c r="GU15" s="2" t="str">
        <v/>
      </c>
      <c r="GV15" s="2" t="str">
        <v/>
      </c>
      <c r="GW15" s="2">
        <v>2</v>
      </c>
      <c r="GX15" s="2" t="str">
        <v/>
      </c>
      <c r="GY15" s="2" t="str">
        <v/>
      </c>
      <c r="GZ15" s="2" t="str">
        <v/>
      </c>
      <c r="HA15" s="2" t="str">
        <v/>
      </c>
      <c r="HB15" s="2" t="str">
        <v/>
      </c>
      <c r="HC15" s="2">
        <v>3</v>
      </c>
      <c r="HD15" s="2" t="str">
        <v/>
      </c>
      <c r="HE15" s="2" t="str">
        <v/>
      </c>
      <c r="HF15" s="2" t="str">
        <v/>
      </c>
      <c r="HG15" s="2" t="str">
        <v/>
      </c>
      <c r="HH15" s="2" t="str">
        <v/>
      </c>
      <c r="HI15" s="2">
        <v>4</v>
      </c>
      <c r="HJ15" s="2" t="str">
        <v/>
      </c>
      <c r="HK15" s="2" t="str">
        <v/>
      </c>
      <c r="HL15" s="2">
        <v>0</v>
      </c>
      <c r="HM15" s="2" t="str">
        <v/>
      </c>
      <c r="HN15" s="2" t="str">
        <v/>
      </c>
      <c r="HO15" s="2">
        <v>1</v>
      </c>
      <c r="HP15" s="2" t="str">
        <v/>
      </c>
      <c r="HQ15" s="2" t="str">
        <v/>
      </c>
      <c r="HR15" s="2">
        <v>2</v>
      </c>
      <c r="HS15" s="2" t="str">
        <v/>
      </c>
      <c r="HT15" s="2" t="str">
        <v/>
      </c>
      <c r="HU15" s="2" t="str">
        <v/>
      </c>
      <c r="HV15" s="2" t="str">
        <v/>
      </c>
      <c r="HW15" s="2" t="str">
        <v/>
      </c>
      <c r="HX15" s="2">
        <v>3</v>
      </c>
      <c r="HY15" s="2" t="str">
        <v/>
      </c>
      <c r="HZ15" s="2" t="str">
        <v/>
      </c>
      <c r="IA15" s="2" t="str">
        <v/>
      </c>
      <c r="IB15" s="2" t="str">
        <v/>
      </c>
      <c r="IC15" s="2" t="str">
        <v/>
      </c>
      <c r="ID15" s="2">
        <v>4</v>
      </c>
      <c r="IE15" s="2" t="str">
        <v/>
      </c>
      <c r="IF15" s="2" t="str">
        <v/>
      </c>
      <c r="IG15" s="2">
        <v>0</v>
      </c>
      <c r="IH15" s="2" t="str">
        <v/>
      </c>
      <c r="II15" s="2" t="str">
        <v/>
      </c>
      <c r="IJ15" s="2">
        <v>1</v>
      </c>
      <c r="IK15" s="2" t="str">
        <v/>
      </c>
      <c r="IL15" s="2" t="str">
        <v/>
      </c>
      <c r="IM15" s="2">
        <v>2</v>
      </c>
      <c r="IN15" s="2" t="str">
        <v/>
      </c>
      <c r="IO15" s="2" t="str">
        <v/>
      </c>
      <c r="IP15" s="2" t="str">
        <v/>
      </c>
      <c r="IQ15" s="2" t="str">
        <v/>
      </c>
      <c r="IR15" s="2" t="str">
        <v/>
      </c>
      <c r="IS15" s="2">
        <v>3</v>
      </c>
      <c r="IT15" s="2" t="str">
        <v/>
      </c>
      <c r="IU15" s="2" t="str">
        <v/>
      </c>
      <c r="IV15" s="2" t="str">
        <v/>
      </c>
      <c r="IW15" s="2" t="str">
        <v/>
      </c>
      <c r="IX15" s="2" t="str">
        <v/>
      </c>
      <c r="IY15" s="2">
        <v>4</v>
      </c>
      <c r="IZ15" s="2" t="str">
        <v/>
      </c>
      <c r="JA15" s="2" t="str">
        <v/>
      </c>
      <c r="JB15" s="2">
        <v>0</v>
      </c>
      <c r="JC15" s="2" t="str">
        <v/>
      </c>
      <c r="JD15" s="2" t="str">
        <v/>
      </c>
      <c r="JE15" s="2">
        <v>1</v>
      </c>
      <c r="JF15" s="2" t="str">
        <v/>
      </c>
      <c r="JG15" s="2" t="str">
        <v/>
      </c>
      <c r="JH15" s="2" t="str">
        <v/>
      </c>
      <c r="JI15" s="2" t="str">
        <v/>
      </c>
      <c r="JJ15" s="2" t="str">
        <v/>
      </c>
      <c r="JK15" s="2" t="str">
        <v/>
      </c>
      <c r="JL15" s="2" t="str">
        <v/>
      </c>
      <c r="JM15" s="2" t="str">
        <v/>
      </c>
      <c r="JN15" s="2">
        <v>2</v>
      </c>
      <c r="JO15" s="2" t="str">
        <v/>
      </c>
      <c r="JP15" s="2" t="str">
        <v/>
      </c>
      <c r="JQ15" s="2" t="str">
        <v/>
      </c>
      <c r="JR15" s="2" t="str">
        <v/>
      </c>
      <c r="JS15" s="2" t="str">
        <v/>
      </c>
      <c r="JT15" s="2">
        <v>3</v>
      </c>
      <c r="JU15" s="2" t="str">
        <v/>
      </c>
      <c r="JV15" s="2" t="str">
        <v/>
      </c>
      <c r="JW15" s="2" t="str">
        <v/>
      </c>
      <c r="JX15" s="2" t="str">
        <v/>
      </c>
      <c r="JY15" s="2" t="str">
        <v/>
      </c>
      <c r="JZ15" s="2">
        <v>4</v>
      </c>
      <c r="KA15" s="2" t="str">
        <v/>
      </c>
      <c r="KB15" s="2" t="str">
        <v/>
      </c>
      <c r="KC15" s="2">
        <v>0</v>
      </c>
      <c r="KD15" s="2" t="str">
        <v/>
      </c>
      <c r="KE15" s="2" t="str">
        <v/>
      </c>
      <c r="KF15" s="2" t="str">
        <v/>
      </c>
      <c r="KG15" s="2" t="str">
        <v/>
      </c>
      <c r="KH15" s="2" t="str">
        <v/>
      </c>
      <c r="KI15" s="2">
        <v>1</v>
      </c>
      <c r="KJ15" s="2" t="str">
        <v/>
      </c>
      <c r="KK15" s="2" t="str">
        <v/>
      </c>
      <c r="KL15" s="2" t="str">
        <v/>
      </c>
      <c r="KM15" s="2" t="str">
        <v/>
      </c>
      <c r="KN15" s="2" t="str">
        <v/>
      </c>
      <c r="KO15" s="2">
        <v>2</v>
      </c>
      <c r="KP15" s="2" t="str">
        <v/>
      </c>
      <c r="KQ15" s="2" t="str">
        <v/>
      </c>
      <c r="KR15" s="2">
        <v>3</v>
      </c>
      <c r="KS15" s="2" t="str">
        <v/>
      </c>
      <c r="KT15" s="2" t="str">
        <v/>
      </c>
      <c r="KU15" s="2">
        <v>4</v>
      </c>
      <c r="KV15" s="2" t="str">
        <v/>
      </c>
      <c r="KW15" s="2" t="str">
        <v/>
      </c>
      <c r="KX15" s="2">
        <v>0</v>
      </c>
      <c r="KY15" s="2" t="str">
        <v/>
      </c>
      <c r="KZ15" s="2" t="str">
        <v/>
      </c>
      <c r="LA15" s="2" t="str">
        <v/>
      </c>
      <c r="LB15" s="2" t="str">
        <v/>
      </c>
      <c r="LC15" s="2" t="str">
        <v/>
      </c>
      <c r="LD15" s="2">
        <v>1</v>
      </c>
      <c r="LE15" s="2" t="str">
        <v/>
      </c>
      <c r="LF15" s="2" t="str">
        <v/>
      </c>
      <c r="LG15" s="2" t="str">
        <v/>
      </c>
      <c r="LH15" s="2" t="str">
        <v/>
      </c>
      <c r="LI15" s="2" t="str">
        <v/>
      </c>
      <c r="LJ15" s="2">
        <v>2</v>
      </c>
      <c r="LK15" s="2" t="str">
        <v/>
      </c>
      <c r="LL15" s="2" t="str">
        <v/>
      </c>
      <c r="LM15" s="2">
        <v>3</v>
      </c>
      <c r="LN15" s="2" t="str">
        <v/>
      </c>
      <c r="LO15" s="2" t="str">
        <v/>
      </c>
      <c r="LP15" s="2">
        <v>4</v>
      </c>
      <c r="LQ15" s="2" t="str">
        <v/>
      </c>
      <c r="LR15" s="2" t="str">
        <v/>
      </c>
      <c r="LS15" s="2">
        <v>0</v>
      </c>
      <c r="LT15" s="2" t="str">
        <v/>
      </c>
      <c r="LU15" s="2" t="str">
        <v/>
      </c>
      <c r="LV15" s="2" t="str">
        <v/>
      </c>
      <c r="LW15" s="2" t="str">
        <v/>
      </c>
      <c r="LX15" s="2" t="str">
        <v/>
      </c>
      <c r="LY15" s="2">
        <v>1</v>
      </c>
      <c r="LZ15" s="2" t="str">
        <v/>
      </c>
      <c r="MA15" s="2" t="str">
        <v/>
      </c>
      <c r="MB15" s="2" t="str">
        <v/>
      </c>
      <c r="MC15" s="2" t="str">
        <v/>
      </c>
      <c r="MD15" s="2" t="str">
        <v/>
      </c>
      <c r="ME15" s="2">
        <v>2</v>
      </c>
      <c r="MF15" s="2" t="str">
        <v/>
      </c>
      <c r="MG15" s="2" t="str">
        <v/>
      </c>
      <c r="MH15" s="2">
        <v>3</v>
      </c>
      <c r="MI15" s="2" t="str">
        <v/>
      </c>
      <c r="MJ15" s="2" t="str">
        <v/>
      </c>
      <c r="MK15" s="2">
        <v>4</v>
      </c>
      <c r="ML15" s="2" t="str">
        <v/>
      </c>
      <c r="MM15" s="2" t="str">
        <v/>
      </c>
      <c r="MN15" s="2">
        <v>0</v>
      </c>
      <c r="MO15" s="2" t="str">
        <v/>
      </c>
      <c r="MP15" s="2" t="str">
        <v/>
      </c>
      <c r="MQ15" s="2" t="str">
        <v/>
      </c>
      <c r="MR15" s="2" t="str">
        <v/>
      </c>
      <c r="MS15" s="2" t="str">
        <v/>
      </c>
      <c r="MT15" s="2">
        <v>1</v>
      </c>
      <c r="MU15" s="2" t="str">
        <v/>
      </c>
      <c r="MV15" s="2" t="str">
        <v/>
      </c>
      <c r="MW15" s="2" t="str">
        <v/>
      </c>
      <c r="MX15" s="2" t="str">
        <v/>
      </c>
      <c r="MY15" s="2" t="str">
        <v/>
      </c>
      <c r="MZ15" s="2">
        <v>2</v>
      </c>
      <c r="NA15" s="2" t="str">
        <v/>
      </c>
      <c r="NB15" s="2" t="str">
        <v/>
      </c>
      <c r="NC15" s="2">
        <v>3</v>
      </c>
      <c r="ND15" s="2" t="e">
        <v>#N/A</v>
      </c>
    </row>
    <row r="16" spans="1:368" hidden="1">
      <c r="A16" s="3" t="str">
        <v>주간근무
지원동</v>
      </c>
      <c r="B16" s="2" t="str">
        <v>-</v>
      </c>
      <c r="C16" s="2" t="str">
        <v>-</v>
      </c>
      <c r="D16" s="2" t="str">
        <v>-</v>
      </c>
      <c r="E16" s="2" t="str">
        <v>-</v>
      </c>
      <c r="F16" s="2" t="str">
        <v>-</v>
      </c>
      <c r="G16" s="2" t="str">
        <v>허지웅</v>
      </c>
      <c r="H16" s="2" t="str">
        <v>-</v>
      </c>
      <c r="I16" s="2" t="str">
        <v>-</v>
      </c>
      <c r="J16" s="2" t="str">
        <v>박성현</v>
      </c>
      <c r="K16" s="2" t="str">
        <v>-</v>
      </c>
      <c r="L16" s="2" t="str">
        <v>-</v>
      </c>
      <c r="M16" s="2" t="str">
        <v>이기수</v>
      </c>
      <c r="N16" s="2" t="str">
        <v>-</v>
      </c>
      <c r="O16" s="2" t="str">
        <v>-</v>
      </c>
      <c r="P16" s="2" t="str">
        <v>정윤준</v>
      </c>
      <c r="Q16" s="2" t="str">
        <v>-</v>
      </c>
      <c r="R16" s="2" t="str">
        <v>-</v>
      </c>
      <c r="S16" s="2" t="str">
        <v>-</v>
      </c>
      <c r="T16" s="2" t="str">
        <v>-</v>
      </c>
      <c r="U16" s="2" t="str">
        <v>-</v>
      </c>
      <c r="V16" s="2" t="str">
        <v>허지웅</v>
      </c>
      <c r="W16" s="2" t="str">
        <v>-</v>
      </c>
      <c r="X16" s="2" t="str">
        <v>-</v>
      </c>
      <c r="Y16" s="2" t="str">
        <v>-</v>
      </c>
      <c r="Z16" s="2" t="str">
        <v>-</v>
      </c>
      <c r="AA16" s="2" t="str">
        <v>-</v>
      </c>
      <c r="AB16" s="2" t="str">
        <v>박성현</v>
      </c>
      <c r="AC16" s="2" t="str">
        <v>-</v>
      </c>
      <c r="AD16" s="2" t="str">
        <v>-</v>
      </c>
      <c r="AE16" s="2" t="str">
        <v>이기수</v>
      </c>
      <c r="AF16" s="2" t="str">
        <v>-</v>
      </c>
      <c r="AG16" s="2" t="str">
        <v>-</v>
      </c>
      <c r="AH16" s="2" t="str">
        <v>정윤준</v>
      </c>
      <c r="AI16" s="2" t="str">
        <v>-</v>
      </c>
      <c r="AJ16" s="2" t="str">
        <v>-</v>
      </c>
      <c r="AK16" s="2" t="str">
        <v>허지웅</v>
      </c>
      <c r="AL16" s="2" t="str">
        <v>-</v>
      </c>
      <c r="AM16" s="2" t="str">
        <v>-</v>
      </c>
      <c r="AN16" s="2" t="str">
        <v>-</v>
      </c>
      <c r="AO16" s="2" t="str">
        <v>-</v>
      </c>
      <c r="AP16" s="2" t="str">
        <v>-</v>
      </c>
      <c r="AQ16" s="2" t="str">
        <v>박성현</v>
      </c>
      <c r="AR16" s="2" t="str">
        <v>-</v>
      </c>
      <c r="AS16" s="2" t="str">
        <v>-</v>
      </c>
      <c r="AT16" s="2" t="str">
        <v>-</v>
      </c>
      <c r="AU16" s="2" t="str">
        <v>-</v>
      </c>
      <c r="AV16" s="2" t="str">
        <v>-</v>
      </c>
      <c r="AW16" s="2" t="str">
        <v>-</v>
      </c>
      <c r="AX16" s="2" t="str">
        <v>-</v>
      </c>
      <c r="AY16" s="2" t="str">
        <v>-</v>
      </c>
      <c r="AZ16" s="2" t="str">
        <v>이기수</v>
      </c>
      <c r="BA16" s="2" t="str">
        <v>-</v>
      </c>
      <c r="BB16" s="2" t="str">
        <v>-</v>
      </c>
      <c r="BC16" s="2" t="str">
        <v>정윤준</v>
      </c>
      <c r="BD16" s="2" t="str">
        <v>-</v>
      </c>
      <c r="BE16" s="2" t="str">
        <v>-</v>
      </c>
      <c r="BF16" s="2" t="str">
        <v>허지웅</v>
      </c>
      <c r="BG16" s="2" t="str">
        <v>-</v>
      </c>
      <c r="BH16" s="2" t="str">
        <v>-</v>
      </c>
      <c r="BI16" s="2" t="str">
        <v>-</v>
      </c>
      <c r="BJ16" s="2" t="str">
        <v>-</v>
      </c>
      <c r="BK16" s="2" t="str">
        <v>-</v>
      </c>
      <c r="BL16" s="2" t="str">
        <v>박성현</v>
      </c>
      <c r="BM16" s="2" t="str">
        <v>-</v>
      </c>
      <c r="BN16" s="2" t="str">
        <v>-</v>
      </c>
      <c r="BO16" s="2" t="str">
        <v>-</v>
      </c>
      <c r="BP16" s="2" t="str">
        <v>-</v>
      </c>
      <c r="BQ16" s="2" t="str">
        <v>-</v>
      </c>
      <c r="BR16" s="2" t="str">
        <v>이기수</v>
      </c>
      <c r="BS16" s="2" t="str">
        <v>-</v>
      </c>
      <c r="BT16" s="2" t="str">
        <v>-</v>
      </c>
      <c r="BU16" s="2" t="str">
        <v>정윤준</v>
      </c>
      <c r="BV16" s="2" t="str">
        <v>-</v>
      </c>
      <c r="BW16" s="2" t="str">
        <v>-</v>
      </c>
      <c r="BX16" s="2" t="str">
        <v>허지웅</v>
      </c>
      <c r="BY16" s="2" t="str">
        <v>-</v>
      </c>
      <c r="BZ16" s="2" t="str">
        <v>-</v>
      </c>
      <c r="CA16" s="2" t="str">
        <v>박성현</v>
      </c>
      <c r="CB16" s="2" t="str">
        <v>-</v>
      </c>
      <c r="CC16" s="2" t="str">
        <v>-</v>
      </c>
      <c r="CD16" s="2" t="str">
        <v>-</v>
      </c>
      <c r="CE16" s="2" t="str">
        <v>-</v>
      </c>
      <c r="CF16" s="2" t="str">
        <v>-</v>
      </c>
      <c r="CG16" s="2" t="str">
        <v>이기수</v>
      </c>
      <c r="CH16" s="2" t="str">
        <v>-</v>
      </c>
      <c r="CI16" s="2" t="str">
        <v>-</v>
      </c>
      <c r="CJ16" s="2" t="str">
        <v>-</v>
      </c>
      <c r="CK16" s="2" t="str">
        <v>-</v>
      </c>
      <c r="CL16" s="2" t="str">
        <v>-</v>
      </c>
      <c r="CM16" s="2" t="str">
        <v>정윤준</v>
      </c>
      <c r="CN16" s="2" t="str">
        <v>-</v>
      </c>
      <c r="CO16" s="2" t="str">
        <v>-</v>
      </c>
      <c r="CP16" s="2" t="str">
        <v>허지웅</v>
      </c>
      <c r="CQ16" s="2" t="str">
        <v>-</v>
      </c>
      <c r="CR16" s="2" t="str">
        <v>-</v>
      </c>
      <c r="CS16" s="2" t="str">
        <v>박성현</v>
      </c>
      <c r="CT16" s="2" t="str">
        <v>-</v>
      </c>
      <c r="CU16" s="2" t="str">
        <v>-</v>
      </c>
      <c r="CV16" s="2" t="str">
        <v>이기수</v>
      </c>
      <c r="CW16" s="2" t="str">
        <v>-</v>
      </c>
      <c r="CX16" s="2" t="str">
        <v>-</v>
      </c>
      <c r="CY16" s="2" t="str">
        <v>-</v>
      </c>
      <c r="CZ16" s="2" t="str">
        <v>-</v>
      </c>
      <c r="DA16" s="2" t="str">
        <v>-</v>
      </c>
      <c r="DB16" s="2" t="str">
        <v>정윤준</v>
      </c>
      <c r="DC16" s="2" t="str">
        <v>-</v>
      </c>
      <c r="DD16" s="2" t="str">
        <v>-</v>
      </c>
      <c r="DE16" s="2" t="str">
        <v>-</v>
      </c>
      <c r="DF16" s="2" t="str">
        <v>-</v>
      </c>
      <c r="DG16" s="2" t="str">
        <v>-</v>
      </c>
      <c r="DH16" s="2" t="str">
        <v>허지웅</v>
      </c>
      <c r="DI16" s="2" t="str">
        <v>-</v>
      </c>
      <c r="DJ16" s="2" t="str">
        <v>-</v>
      </c>
      <c r="DK16" s="2" t="str">
        <v>박성현</v>
      </c>
      <c r="DL16" s="2" t="str">
        <v>-</v>
      </c>
      <c r="DM16" s="2" t="str">
        <v>-</v>
      </c>
      <c r="DN16" s="2" t="str">
        <v>이기수</v>
      </c>
      <c r="DO16" s="2" t="str">
        <v>-</v>
      </c>
      <c r="DP16" s="2" t="str">
        <v>-</v>
      </c>
      <c r="DQ16" s="2" t="str">
        <v>정윤준</v>
      </c>
      <c r="DR16" s="2" t="str">
        <v>-</v>
      </c>
      <c r="DS16" s="2" t="str">
        <v>-</v>
      </c>
      <c r="DT16" s="2" t="str">
        <v>-</v>
      </c>
      <c r="DU16" s="2" t="str">
        <v>-</v>
      </c>
      <c r="DV16" s="2" t="str">
        <v>-</v>
      </c>
      <c r="DW16" s="2" t="str">
        <v>허지웅</v>
      </c>
      <c r="DX16" s="2" t="str">
        <v>-</v>
      </c>
      <c r="DY16" s="2" t="str">
        <v>-</v>
      </c>
      <c r="DZ16" s="2" t="str">
        <v>-</v>
      </c>
      <c r="EA16" s="2" t="str">
        <v>-</v>
      </c>
      <c r="EB16" s="2" t="str">
        <v>-</v>
      </c>
      <c r="EC16" s="2" t="str">
        <v>박성현</v>
      </c>
      <c r="ED16" s="2" t="str">
        <v>-</v>
      </c>
      <c r="EE16" s="2" t="str">
        <v>-</v>
      </c>
      <c r="EF16" s="2" t="str">
        <v>이기수</v>
      </c>
      <c r="EG16" s="2" t="str">
        <v>-</v>
      </c>
      <c r="EH16" s="2" t="str">
        <v>-</v>
      </c>
      <c r="EI16" s="2" t="str">
        <v>정윤준</v>
      </c>
      <c r="EJ16" s="2" t="str">
        <v>-</v>
      </c>
      <c r="EK16" s="2" t="str">
        <v>-</v>
      </c>
      <c r="EL16" s="2" t="str">
        <v>허지웅</v>
      </c>
      <c r="EM16" s="2" t="str">
        <v>-</v>
      </c>
      <c r="EN16" s="2" t="str">
        <v>-</v>
      </c>
      <c r="EO16" s="2" t="str">
        <v>-</v>
      </c>
      <c r="EP16" s="2" t="str">
        <v>-</v>
      </c>
      <c r="EQ16" s="2" t="str">
        <v>-</v>
      </c>
      <c r="ER16" s="2" t="str">
        <v>박성현</v>
      </c>
      <c r="ES16" s="2" t="str">
        <v>-</v>
      </c>
      <c r="ET16" s="2" t="str">
        <v>-</v>
      </c>
      <c r="EU16" s="2" t="str">
        <v>-</v>
      </c>
      <c r="EV16" s="2" t="str">
        <v>-</v>
      </c>
      <c r="EW16" s="2" t="str">
        <v>-</v>
      </c>
      <c r="EX16" s="2" t="str">
        <v>이기수</v>
      </c>
      <c r="EY16" s="2" t="str">
        <v>-</v>
      </c>
      <c r="EZ16" s="2" t="str">
        <v>-</v>
      </c>
      <c r="FA16" s="2" t="str">
        <v>정윤준</v>
      </c>
      <c r="FB16" s="2" t="str">
        <v>-</v>
      </c>
      <c r="FC16" s="2" t="str">
        <v>-</v>
      </c>
      <c r="FD16" s="2" t="str">
        <v>허지웅</v>
      </c>
      <c r="FE16" s="2" t="str">
        <v>-</v>
      </c>
      <c r="FF16" s="2" t="str">
        <v>-</v>
      </c>
      <c r="FG16" s="2" t="str">
        <v>박성현</v>
      </c>
      <c r="FH16" s="2" t="str">
        <v>-</v>
      </c>
      <c r="FI16" s="2" t="str">
        <v>-</v>
      </c>
      <c r="FJ16" s="2" t="str">
        <v>-</v>
      </c>
      <c r="FK16" s="2" t="str">
        <v>-</v>
      </c>
      <c r="FL16" s="2" t="str">
        <v>-</v>
      </c>
      <c r="FM16" s="2" t="str">
        <v>이기수</v>
      </c>
      <c r="FN16" s="2" t="str">
        <v>-</v>
      </c>
      <c r="FO16" s="2" t="str">
        <v>-</v>
      </c>
      <c r="FP16" s="2" t="str">
        <v>-</v>
      </c>
      <c r="FQ16" s="2" t="str">
        <v>-</v>
      </c>
      <c r="FR16" s="2" t="str">
        <v>-</v>
      </c>
      <c r="FS16" s="2" t="str">
        <v>정윤준</v>
      </c>
      <c r="FT16" s="2" t="str">
        <v>-</v>
      </c>
      <c r="FU16" s="2" t="str">
        <v>-</v>
      </c>
      <c r="FV16" s="2" t="str">
        <v>허지웅</v>
      </c>
      <c r="FW16" s="2" t="str">
        <v>-</v>
      </c>
      <c r="FX16" s="2" t="str">
        <v>-</v>
      </c>
      <c r="FY16" s="2" t="str">
        <v>박성현</v>
      </c>
      <c r="FZ16" s="2" t="str">
        <v>-</v>
      </c>
      <c r="GA16" s="2" t="str">
        <v>-</v>
      </c>
      <c r="GB16" s="2" t="str">
        <v>이기수</v>
      </c>
      <c r="GC16" s="2" t="str">
        <v>-</v>
      </c>
      <c r="GD16" s="2" t="str">
        <v>-</v>
      </c>
      <c r="GE16" s="2" t="str">
        <v>-</v>
      </c>
      <c r="GF16" s="2" t="str">
        <v>-</v>
      </c>
      <c r="GG16" s="2" t="str">
        <v>-</v>
      </c>
      <c r="GH16" s="2" t="str">
        <v>정윤준</v>
      </c>
      <c r="GI16" s="2" t="str">
        <v>-</v>
      </c>
      <c r="GJ16" s="2" t="str">
        <v>-</v>
      </c>
      <c r="GK16" s="2" t="str">
        <v>-</v>
      </c>
      <c r="GL16" s="2" t="str">
        <v>-</v>
      </c>
      <c r="GM16" s="2" t="str">
        <v>-</v>
      </c>
      <c r="GN16" s="2" t="str">
        <v>허지웅</v>
      </c>
      <c r="GO16" s="2" t="str">
        <v>-</v>
      </c>
      <c r="GP16" s="2" t="str">
        <v>-</v>
      </c>
      <c r="GQ16" s="2" t="str">
        <v>-</v>
      </c>
      <c r="GR16" s="2" t="str">
        <v>-</v>
      </c>
      <c r="GS16" s="2" t="str">
        <v>-</v>
      </c>
      <c r="GT16" s="2" t="str">
        <v>박성현</v>
      </c>
      <c r="GU16" s="2" t="str">
        <v>-</v>
      </c>
      <c r="GV16" s="2" t="str">
        <v>-</v>
      </c>
      <c r="GW16" s="2" t="str">
        <v>이기수</v>
      </c>
      <c r="GX16" s="2" t="str">
        <v>-</v>
      </c>
      <c r="GY16" s="2" t="str">
        <v>-</v>
      </c>
      <c r="GZ16" s="2" t="str">
        <v>-</v>
      </c>
      <c r="HA16" s="2" t="str">
        <v>-</v>
      </c>
      <c r="HB16" s="2" t="str">
        <v>-</v>
      </c>
      <c r="HC16" s="2" t="str">
        <v>정윤준</v>
      </c>
      <c r="HD16" s="2" t="str">
        <v>-</v>
      </c>
      <c r="HE16" s="2" t="str">
        <v>-</v>
      </c>
      <c r="HF16" s="2" t="str">
        <v>-</v>
      </c>
      <c r="HG16" s="2" t="str">
        <v>-</v>
      </c>
      <c r="HH16" s="2" t="str">
        <v>-</v>
      </c>
      <c r="HI16" s="2" t="str">
        <v>허지웅</v>
      </c>
      <c r="HJ16" s="2" t="str">
        <v>-</v>
      </c>
      <c r="HK16" s="2" t="str">
        <v>-</v>
      </c>
      <c r="HL16" s="2" t="str">
        <v>박성현</v>
      </c>
      <c r="HM16" s="2" t="str">
        <v>-</v>
      </c>
      <c r="HN16" s="2" t="str">
        <v>-</v>
      </c>
      <c r="HO16" s="2" t="str">
        <v>이기수</v>
      </c>
      <c r="HP16" s="2" t="str">
        <v>-</v>
      </c>
      <c r="HQ16" s="2" t="str">
        <v>-</v>
      </c>
      <c r="HR16" s="2" t="str">
        <v>정윤준</v>
      </c>
      <c r="HS16" s="2" t="str">
        <v>-</v>
      </c>
      <c r="HT16" s="2" t="str">
        <v>-</v>
      </c>
      <c r="HU16" s="2" t="str">
        <v>-</v>
      </c>
      <c r="HV16" s="2" t="str">
        <v>-</v>
      </c>
      <c r="HW16" s="2" t="str">
        <v>-</v>
      </c>
      <c r="HX16" s="2" t="str">
        <v>허지웅</v>
      </c>
      <c r="HY16" s="2" t="str">
        <v>-</v>
      </c>
      <c r="HZ16" s="2" t="str">
        <v>-</v>
      </c>
      <c r="IA16" s="2" t="str">
        <v>-</v>
      </c>
      <c r="IB16" s="2" t="str">
        <v>-</v>
      </c>
      <c r="IC16" s="2" t="str">
        <v>-</v>
      </c>
      <c r="ID16" s="2" t="str">
        <v>박성현</v>
      </c>
      <c r="IE16" s="2" t="str">
        <v>-</v>
      </c>
      <c r="IF16" s="2" t="str">
        <v>-</v>
      </c>
      <c r="IG16" s="2" t="str">
        <v>이기수</v>
      </c>
      <c r="IH16" s="2" t="str">
        <v>-</v>
      </c>
      <c r="II16" s="2" t="str">
        <v>-</v>
      </c>
      <c r="IJ16" s="2" t="str">
        <v>정윤준</v>
      </c>
      <c r="IK16" s="2" t="str">
        <v>-</v>
      </c>
      <c r="IL16" s="2" t="str">
        <v>-</v>
      </c>
      <c r="IM16" s="2" t="str">
        <v>허지웅</v>
      </c>
      <c r="IN16" s="2" t="str">
        <v>-</v>
      </c>
      <c r="IO16" s="2" t="str">
        <v>-</v>
      </c>
      <c r="IP16" s="2" t="str">
        <v>-</v>
      </c>
      <c r="IQ16" s="2" t="str">
        <v>-</v>
      </c>
      <c r="IR16" s="2" t="str">
        <v>-</v>
      </c>
      <c r="IS16" s="2" t="str">
        <v>박성현</v>
      </c>
      <c r="IT16" s="2" t="str">
        <v>-</v>
      </c>
      <c r="IU16" s="2" t="str">
        <v>-</v>
      </c>
      <c r="IV16" s="2" t="str">
        <v>-</v>
      </c>
      <c r="IW16" s="2" t="str">
        <v>-</v>
      </c>
      <c r="IX16" s="2" t="str">
        <v>-</v>
      </c>
      <c r="IY16" s="2" t="str">
        <v>이기수</v>
      </c>
      <c r="IZ16" s="2" t="str">
        <v>-</v>
      </c>
      <c r="JA16" s="2" t="str">
        <v>-</v>
      </c>
      <c r="JB16" s="2" t="str">
        <v>정윤준</v>
      </c>
      <c r="JC16" s="2" t="str">
        <v>-</v>
      </c>
      <c r="JD16" s="2" t="str">
        <v>-</v>
      </c>
      <c r="JE16" s="2" t="str">
        <v>허지웅</v>
      </c>
      <c r="JF16" s="2" t="str">
        <v>-</v>
      </c>
      <c r="JG16" s="2" t="str">
        <v>-</v>
      </c>
      <c r="JH16" s="2" t="str">
        <v>-</v>
      </c>
      <c r="JI16" s="2" t="str">
        <v>-</v>
      </c>
      <c r="JJ16" s="2" t="str">
        <v>-</v>
      </c>
      <c r="JK16" s="2" t="str">
        <v>-</v>
      </c>
      <c r="JL16" s="2" t="str">
        <v>-</v>
      </c>
      <c r="JM16" s="2" t="str">
        <v>-</v>
      </c>
      <c r="JN16" s="2" t="str">
        <v>박성현</v>
      </c>
      <c r="JO16" s="2" t="str">
        <v>-</v>
      </c>
      <c r="JP16" s="2" t="str">
        <v>-</v>
      </c>
      <c r="JQ16" s="2" t="str">
        <v>-</v>
      </c>
      <c r="JR16" s="2" t="str">
        <v>-</v>
      </c>
      <c r="JS16" s="2" t="str">
        <v>-</v>
      </c>
      <c r="JT16" s="2" t="str">
        <v>이기수</v>
      </c>
      <c r="JU16" s="2" t="str">
        <v>-</v>
      </c>
      <c r="JV16" s="2" t="str">
        <v>-</v>
      </c>
      <c r="JW16" s="2" t="str">
        <v>-</v>
      </c>
      <c r="JX16" s="2" t="str">
        <v>-</v>
      </c>
      <c r="JY16" s="2" t="str">
        <v>-</v>
      </c>
      <c r="JZ16" s="2" t="str">
        <v>정윤준</v>
      </c>
      <c r="KA16" s="2" t="str">
        <v>-</v>
      </c>
      <c r="KB16" s="2" t="str">
        <v>-</v>
      </c>
      <c r="KC16" s="2" t="str">
        <v>허지웅</v>
      </c>
      <c r="KD16" s="2" t="str">
        <v>-</v>
      </c>
      <c r="KE16" s="2" t="str">
        <v>-</v>
      </c>
      <c r="KF16" s="2" t="str">
        <v>-</v>
      </c>
      <c r="KG16" s="2" t="str">
        <v>-</v>
      </c>
      <c r="KH16" s="2" t="str">
        <v>-</v>
      </c>
      <c r="KI16" s="2" t="str">
        <v>박성현</v>
      </c>
      <c r="KJ16" s="2" t="str">
        <v>-</v>
      </c>
      <c r="KK16" s="2" t="str">
        <v>-</v>
      </c>
      <c r="KL16" s="2" t="str">
        <v>-</v>
      </c>
      <c r="KM16" s="2" t="str">
        <v>-</v>
      </c>
      <c r="KN16" s="2" t="str">
        <v>-</v>
      </c>
      <c r="KO16" s="2" t="str">
        <v>이기수</v>
      </c>
      <c r="KP16" s="2" t="str">
        <v>-</v>
      </c>
      <c r="KQ16" s="2" t="str">
        <v>-</v>
      </c>
      <c r="KR16" s="2" t="str">
        <v>정윤준</v>
      </c>
      <c r="KS16" s="2" t="str">
        <v>-</v>
      </c>
      <c r="KT16" s="2" t="str">
        <v>-</v>
      </c>
      <c r="KU16" s="2" t="str">
        <v>허지웅</v>
      </c>
      <c r="KV16" s="2" t="str">
        <v>-</v>
      </c>
      <c r="KW16" s="2" t="str">
        <v>-</v>
      </c>
      <c r="KX16" s="2" t="str">
        <v>박성현</v>
      </c>
      <c r="KY16" s="2" t="str">
        <v>-</v>
      </c>
      <c r="KZ16" s="2" t="str">
        <v>-</v>
      </c>
      <c r="LA16" s="2" t="str">
        <v>-</v>
      </c>
      <c r="LB16" s="2" t="str">
        <v>-</v>
      </c>
      <c r="LC16" s="2" t="str">
        <v>-</v>
      </c>
      <c r="LD16" s="2" t="str">
        <v>이기수</v>
      </c>
      <c r="LE16" s="2" t="str">
        <v>-</v>
      </c>
      <c r="LF16" s="2" t="str">
        <v>-</v>
      </c>
      <c r="LG16" s="2" t="str">
        <v>-</v>
      </c>
      <c r="LH16" s="2" t="str">
        <v>-</v>
      </c>
      <c r="LI16" s="2" t="str">
        <v>-</v>
      </c>
      <c r="LJ16" s="2" t="str">
        <v>정윤준</v>
      </c>
      <c r="LK16" s="2" t="str">
        <v>-</v>
      </c>
      <c r="LL16" s="2" t="str">
        <v>-</v>
      </c>
      <c r="LM16" s="2" t="str">
        <v>허지웅</v>
      </c>
      <c r="LN16" s="2" t="str">
        <v>-</v>
      </c>
      <c r="LO16" s="2" t="str">
        <v>-</v>
      </c>
      <c r="LP16" s="2" t="str">
        <v>박성현</v>
      </c>
      <c r="LQ16" s="2" t="str">
        <v>-</v>
      </c>
      <c r="LR16" s="2" t="str">
        <v>-</v>
      </c>
      <c r="LS16" s="2" t="str">
        <v>이기수</v>
      </c>
      <c r="LT16" s="2" t="str">
        <v>-</v>
      </c>
      <c r="LU16" s="2" t="str">
        <v>-</v>
      </c>
      <c r="LV16" s="2" t="str">
        <v>-</v>
      </c>
      <c r="LW16" s="2" t="str">
        <v>-</v>
      </c>
      <c r="LX16" s="2" t="str">
        <v>-</v>
      </c>
      <c r="LY16" s="2" t="str">
        <v>정윤준</v>
      </c>
      <c r="LZ16" s="2" t="str">
        <v>-</v>
      </c>
      <c r="MA16" s="2" t="str">
        <v>-</v>
      </c>
      <c r="MB16" s="2" t="str">
        <v>-</v>
      </c>
      <c r="MC16" s="2" t="str">
        <v>-</v>
      </c>
      <c r="MD16" s="2" t="str">
        <v>-</v>
      </c>
      <c r="ME16" s="2" t="str">
        <v>허지웅</v>
      </c>
      <c r="MF16" s="2" t="str">
        <v>-</v>
      </c>
      <c r="MG16" s="2" t="str">
        <v>-</v>
      </c>
      <c r="MH16" s="2" t="str">
        <v>박성현</v>
      </c>
      <c r="MI16" s="2" t="str">
        <v>-</v>
      </c>
      <c r="MJ16" s="2" t="str">
        <v>-</v>
      </c>
      <c r="MK16" s="2" t="str">
        <v>이기수</v>
      </c>
      <c r="ML16" s="2" t="str">
        <v>-</v>
      </c>
      <c r="MM16" s="2" t="str">
        <v>-</v>
      </c>
      <c r="MN16" s="2" t="str">
        <v>정윤준</v>
      </c>
      <c r="MO16" s="2" t="str">
        <v>-</v>
      </c>
      <c r="MP16" s="2" t="str">
        <v>-</v>
      </c>
      <c r="MQ16" s="2" t="str">
        <v>-</v>
      </c>
      <c r="MR16" s="2" t="str">
        <v>-</v>
      </c>
      <c r="MS16" s="2" t="str">
        <v>-</v>
      </c>
      <c r="MT16" s="2" t="str">
        <v>허지웅</v>
      </c>
      <c r="MU16" s="2" t="str">
        <v>-</v>
      </c>
      <c r="MV16" s="2" t="str">
        <v>-</v>
      </c>
      <c r="MW16" s="2" t="str">
        <v>-</v>
      </c>
      <c r="MX16" s="2" t="str">
        <v>-</v>
      </c>
      <c r="MY16" s="2" t="str">
        <v>-</v>
      </c>
      <c r="MZ16" s="2" t="str">
        <v>박성현</v>
      </c>
      <c r="NA16" s="2" t="str">
        <v>-</v>
      </c>
      <c r="NB16" s="2" t="str">
        <v>-</v>
      </c>
      <c r="NC16" s="2" t="str">
        <v>이기수</v>
      </c>
      <c r="ND16" s="2" t="e">
        <v>#N/A</v>
      </c>
    </row>
    <row r="17" spans="1:368" hidden="1">
      <c r="A17" s="3" t="str">
        <v>주간근무
글로벌</v>
      </c>
      <c r="B17" s="2" t="str">
        <v>-</v>
      </c>
      <c r="C17" s="2" t="str">
        <v>-</v>
      </c>
      <c r="D17" s="2" t="str">
        <v>-</v>
      </c>
      <c r="E17" s="2" t="str">
        <v>-</v>
      </c>
      <c r="F17" s="2" t="str">
        <v>-</v>
      </c>
      <c r="G17" s="2" t="str">
        <v>정윤준</v>
      </c>
      <c r="H17" s="2" t="str">
        <v>-</v>
      </c>
      <c r="I17" s="2" t="str">
        <v>-</v>
      </c>
      <c r="J17" s="2" t="str">
        <v>허지웅</v>
      </c>
      <c r="K17" s="2" t="str">
        <v>-</v>
      </c>
      <c r="L17" s="2" t="str">
        <v>-</v>
      </c>
      <c r="M17" s="2" t="str">
        <v>박성현</v>
      </c>
      <c r="N17" s="2" t="str">
        <v>-</v>
      </c>
      <c r="O17" s="2" t="str">
        <v>-</v>
      </c>
      <c r="P17" s="2" t="str">
        <v>이기수</v>
      </c>
      <c r="Q17" s="2" t="str">
        <v>-</v>
      </c>
      <c r="R17" s="2" t="str">
        <v>-</v>
      </c>
      <c r="S17" s="2" t="str">
        <v>-</v>
      </c>
      <c r="T17" s="2" t="str">
        <v>-</v>
      </c>
      <c r="U17" s="2" t="str">
        <v>-</v>
      </c>
      <c r="V17" s="2" t="str">
        <v>정윤준</v>
      </c>
      <c r="W17" s="2" t="str">
        <v>-</v>
      </c>
      <c r="X17" s="2" t="str">
        <v>-</v>
      </c>
      <c r="Y17" s="2" t="str">
        <v>-</v>
      </c>
      <c r="Z17" s="2" t="str">
        <v>-</v>
      </c>
      <c r="AA17" s="2" t="str">
        <v>-</v>
      </c>
      <c r="AB17" s="2" t="str">
        <v>허지웅</v>
      </c>
      <c r="AC17" s="2" t="str">
        <v>-</v>
      </c>
      <c r="AD17" s="2" t="str">
        <v>-</v>
      </c>
      <c r="AE17" s="2" t="str">
        <v>박성현</v>
      </c>
      <c r="AF17" s="2" t="str">
        <v>-</v>
      </c>
      <c r="AG17" s="2" t="str">
        <v>-</v>
      </c>
      <c r="AH17" s="2" t="str">
        <v>이기수</v>
      </c>
      <c r="AI17" s="2" t="str">
        <v>-</v>
      </c>
      <c r="AJ17" s="2" t="str">
        <v>-</v>
      </c>
      <c r="AK17" s="2" t="str">
        <v>정윤준</v>
      </c>
      <c r="AL17" s="2" t="str">
        <v>-</v>
      </c>
      <c r="AM17" s="2" t="str">
        <v>-</v>
      </c>
      <c r="AN17" s="2" t="str">
        <v>-</v>
      </c>
      <c r="AO17" s="2" t="str">
        <v>-</v>
      </c>
      <c r="AP17" s="2" t="str">
        <v>-</v>
      </c>
      <c r="AQ17" s="2" t="str">
        <v>허지웅</v>
      </c>
      <c r="AR17" s="2" t="str">
        <v>-</v>
      </c>
      <c r="AS17" s="2" t="str">
        <v>-</v>
      </c>
      <c r="AT17" s="2" t="str">
        <v>-</v>
      </c>
      <c r="AU17" s="2" t="str">
        <v>-</v>
      </c>
      <c r="AV17" s="2" t="str">
        <v>-</v>
      </c>
      <c r="AW17" s="2" t="str">
        <v>-</v>
      </c>
      <c r="AX17" s="2" t="str">
        <v>-</v>
      </c>
      <c r="AY17" s="2" t="str">
        <v>-</v>
      </c>
      <c r="AZ17" s="2" t="str">
        <v>박성현</v>
      </c>
      <c r="BA17" s="2" t="str">
        <v>-</v>
      </c>
      <c r="BB17" s="2" t="str">
        <v>-</v>
      </c>
      <c r="BC17" s="2" t="str">
        <v>이기수</v>
      </c>
      <c r="BD17" s="2" t="str">
        <v>-</v>
      </c>
      <c r="BE17" s="2" t="str">
        <v>-</v>
      </c>
      <c r="BF17" s="2" t="str">
        <v>정윤준</v>
      </c>
      <c r="BG17" s="2" t="str">
        <v>-</v>
      </c>
      <c r="BH17" s="2" t="str">
        <v>-</v>
      </c>
      <c r="BI17" s="2" t="str">
        <v>-</v>
      </c>
      <c r="BJ17" s="2" t="str">
        <v>-</v>
      </c>
      <c r="BK17" s="2" t="str">
        <v>-</v>
      </c>
      <c r="BL17" s="2" t="str">
        <v>허지웅</v>
      </c>
      <c r="BM17" s="2" t="str">
        <v>-</v>
      </c>
      <c r="BN17" s="2" t="str">
        <v>-</v>
      </c>
      <c r="BO17" s="2" t="str">
        <v>-</v>
      </c>
      <c r="BP17" s="2" t="str">
        <v>-</v>
      </c>
      <c r="BQ17" s="2" t="str">
        <v>-</v>
      </c>
      <c r="BR17" s="2" t="str">
        <v>박성현</v>
      </c>
      <c r="BS17" s="2" t="str">
        <v>-</v>
      </c>
      <c r="BT17" s="2" t="str">
        <v>-</v>
      </c>
      <c r="BU17" s="2" t="str">
        <v>이기수</v>
      </c>
      <c r="BV17" s="2" t="str">
        <v>-</v>
      </c>
      <c r="BW17" s="2" t="str">
        <v>-</v>
      </c>
      <c r="BX17" s="2" t="str">
        <v>정윤준</v>
      </c>
      <c r="BY17" s="2" t="str">
        <v>-</v>
      </c>
      <c r="BZ17" s="2" t="str">
        <v>-</v>
      </c>
      <c r="CA17" s="2" t="str">
        <v>허지웅</v>
      </c>
      <c r="CB17" s="2" t="str">
        <v>-</v>
      </c>
      <c r="CC17" s="2" t="str">
        <v>-</v>
      </c>
      <c r="CD17" s="2" t="str">
        <v>-</v>
      </c>
      <c r="CE17" s="2" t="str">
        <v>-</v>
      </c>
      <c r="CF17" s="2" t="str">
        <v>-</v>
      </c>
      <c r="CG17" s="2" t="str">
        <v>박성현</v>
      </c>
      <c r="CH17" s="2" t="str">
        <v>-</v>
      </c>
      <c r="CI17" s="2" t="str">
        <v>-</v>
      </c>
      <c r="CJ17" s="2" t="str">
        <v>-</v>
      </c>
      <c r="CK17" s="2" t="str">
        <v>-</v>
      </c>
      <c r="CL17" s="2" t="str">
        <v>-</v>
      </c>
      <c r="CM17" s="2" t="str">
        <v>이기수</v>
      </c>
      <c r="CN17" s="2" t="str">
        <v>-</v>
      </c>
      <c r="CO17" s="2" t="str">
        <v>-</v>
      </c>
      <c r="CP17" s="2" t="str">
        <v>정윤준</v>
      </c>
      <c r="CQ17" s="2" t="str">
        <v>-</v>
      </c>
      <c r="CR17" s="2" t="str">
        <v>-</v>
      </c>
      <c r="CS17" s="2" t="str">
        <v>허지웅</v>
      </c>
      <c r="CT17" s="2" t="str">
        <v>-</v>
      </c>
      <c r="CU17" s="2" t="str">
        <v>-</v>
      </c>
      <c r="CV17" s="2" t="str">
        <v>박성현</v>
      </c>
      <c r="CW17" s="2" t="str">
        <v>-</v>
      </c>
      <c r="CX17" s="2" t="str">
        <v>-</v>
      </c>
      <c r="CY17" s="2" t="str">
        <v>-</v>
      </c>
      <c r="CZ17" s="2" t="str">
        <v>-</v>
      </c>
      <c r="DA17" s="2" t="str">
        <v>-</v>
      </c>
      <c r="DB17" s="2" t="str">
        <v>이기수</v>
      </c>
      <c r="DC17" s="2" t="str">
        <v>-</v>
      </c>
      <c r="DD17" s="2" t="str">
        <v>-</v>
      </c>
      <c r="DE17" s="2" t="str">
        <v>-</v>
      </c>
      <c r="DF17" s="2" t="str">
        <v>-</v>
      </c>
      <c r="DG17" s="2" t="str">
        <v>-</v>
      </c>
      <c r="DH17" s="2" t="str">
        <v>정윤준</v>
      </c>
      <c r="DI17" s="2" t="str">
        <v>-</v>
      </c>
      <c r="DJ17" s="2" t="str">
        <v>-</v>
      </c>
      <c r="DK17" s="2" t="str">
        <v>허지웅</v>
      </c>
      <c r="DL17" s="2" t="str">
        <v>-</v>
      </c>
      <c r="DM17" s="2" t="str">
        <v>-</v>
      </c>
      <c r="DN17" s="2" t="str">
        <v>박성현</v>
      </c>
      <c r="DO17" s="2" t="str">
        <v>-</v>
      </c>
      <c r="DP17" s="2" t="str">
        <v>-</v>
      </c>
      <c r="DQ17" s="2" t="str">
        <v>이기수</v>
      </c>
      <c r="DR17" s="2" t="str">
        <v>-</v>
      </c>
      <c r="DS17" s="2" t="str">
        <v>-</v>
      </c>
      <c r="DT17" s="2" t="str">
        <v>-</v>
      </c>
      <c r="DU17" s="2" t="str">
        <v>-</v>
      </c>
      <c r="DV17" s="2" t="str">
        <v>-</v>
      </c>
      <c r="DW17" s="2" t="str">
        <v>정윤준</v>
      </c>
      <c r="DX17" s="2" t="str">
        <v>-</v>
      </c>
      <c r="DY17" s="2" t="str">
        <v>-</v>
      </c>
      <c r="DZ17" s="2" t="str">
        <v>-</v>
      </c>
      <c r="EA17" s="2" t="str">
        <v>-</v>
      </c>
      <c r="EB17" s="2" t="str">
        <v>-</v>
      </c>
      <c r="EC17" s="2" t="str">
        <v>허지웅</v>
      </c>
      <c r="ED17" s="2" t="str">
        <v>-</v>
      </c>
      <c r="EE17" s="2" t="str">
        <v>-</v>
      </c>
      <c r="EF17" s="2" t="str">
        <v>박성현</v>
      </c>
      <c r="EG17" s="2" t="str">
        <v>-</v>
      </c>
      <c r="EH17" s="2" t="str">
        <v>-</v>
      </c>
      <c r="EI17" s="2" t="str">
        <v>이기수</v>
      </c>
      <c r="EJ17" s="2" t="str">
        <v>-</v>
      </c>
      <c r="EK17" s="2" t="str">
        <v>-</v>
      </c>
      <c r="EL17" s="2" t="str">
        <v>정윤준</v>
      </c>
      <c r="EM17" s="2" t="str">
        <v>-</v>
      </c>
      <c r="EN17" s="2" t="str">
        <v>-</v>
      </c>
      <c r="EO17" s="2" t="str">
        <v>-</v>
      </c>
      <c r="EP17" s="2" t="str">
        <v>-</v>
      </c>
      <c r="EQ17" s="2" t="str">
        <v>-</v>
      </c>
      <c r="ER17" s="2" t="str">
        <v>허지웅</v>
      </c>
      <c r="ES17" s="2" t="str">
        <v>-</v>
      </c>
      <c r="ET17" s="2" t="str">
        <v>-</v>
      </c>
      <c r="EU17" s="2" t="str">
        <v>-</v>
      </c>
      <c r="EV17" s="2" t="str">
        <v>-</v>
      </c>
      <c r="EW17" s="2" t="str">
        <v>-</v>
      </c>
      <c r="EX17" s="2" t="str">
        <v>박성현</v>
      </c>
      <c r="EY17" s="2" t="str">
        <v>-</v>
      </c>
      <c r="EZ17" s="2" t="str">
        <v>-</v>
      </c>
      <c r="FA17" s="2" t="str">
        <v>이기수</v>
      </c>
      <c r="FB17" s="2" t="str">
        <v>-</v>
      </c>
      <c r="FC17" s="2" t="str">
        <v>-</v>
      </c>
      <c r="FD17" s="2" t="str">
        <v>정윤준</v>
      </c>
      <c r="FE17" s="2" t="str">
        <v>-</v>
      </c>
      <c r="FF17" s="2" t="str">
        <v>-</v>
      </c>
      <c r="FG17" s="2" t="str">
        <v>허지웅</v>
      </c>
      <c r="FH17" s="2" t="str">
        <v>-</v>
      </c>
      <c r="FI17" s="2" t="str">
        <v>-</v>
      </c>
      <c r="FJ17" s="2" t="str">
        <v>-</v>
      </c>
      <c r="FK17" s="2" t="str">
        <v>-</v>
      </c>
      <c r="FL17" s="2" t="str">
        <v>-</v>
      </c>
      <c r="FM17" s="2" t="str">
        <v>박성현</v>
      </c>
      <c r="FN17" s="2" t="str">
        <v>-</v>
      </c>
      <c r="FO17" s="2" t="str">
        <v>-</v>
      </c>
      <c r="FP17" s="2" t="str">
        <v>-</v>
      </c>
      <c r="FQ17" s="2" t="str">
        <v>-</v>
      </c>
      <c r="FR17" s="2" t="str">
        <v>-</v>
      </c>
      <c r="FS17" s="2" t="str">
        <v>이기수</v>
      </c>
      <c r="FT17" s="2" t="str">
        <v>-</v>
      </c>
      <c r="FU17" s="2" t="str">
        <v>-</v>
      </c>
      <c r="FV17" s="2" t="str">
        <v>정윤준</v>
      </c>
      <c r="FW17" s="2" t="str">
        <v>-</v>
      </c>
      <c r="FX17" s="2" t="str">
        <v>-</v>
      </c>
      <c r="FY17" s="2" t="str">
        <v>허지웅</v>
      </c>
      <c r="FZ17" s="2" t="str">
        <v>-</v>
      </c>
      <c r="GA17" s="2" t="str">
        <v>-</v>
      </c>
      <c r="GB17" s="2" t="str">
        <v>박성현</v>
      </c>
      <c r="GC17" s="2" t="str">
        <v>-</v>
      </c>
      <c r="GD17" s="2" t="str">
        <v>-</v>
      </c>
      <c r="GE17" s="2" t="str">
        <v>-</v>
      </c>
      <c r="GF17" s="2" t="str">
        <v>-</v>
      </c>
      <c r="GG17" s="2" t="str">
        <v>-</v>
      </c>
      <c r="GH17" s="2" t="str">
        <v>이기수</v>
      </c>
      <c r="GI17" s="2" t="str">
        <v>-</v>
      </c>
      <c r="GJ17" s="2" t="str">
        <v>-</v>
      </c>
      <c r="GK17" s="2" t="str">
        <v>-</v>
      </c>
      <c r="GL17" s="2" t="str">
        <v>-</v>
      </c>
      <c r="GM17" s="2" t="str">
        <v>-</v>
      </c>
      <c r="GN17" s="2" t="str">
        <v>정윤준</v>
      </c>
      <c r="GO17" s="2" t="str">
        <v>-</v>
      </c>
      <c r="GP17" s="2" t="str">
        <v>-</v>
      </c>
      <c r="GQ17" s="2" t="str">
        <v>-</v>
      </c>
      <c r="GR17" s="2" t="str">
        <v>-</v>
      </c>
      <c r="GS17" s="2" t="str">
        <v>-</v>
      </c>
      <c r="GT17" s="2" t="str">
        <v>허지웅</v>
      </c>
      <c r="GU17" s="2" t="str">
        <v>-</v>
      </c>
      <c r="GV17" s="2" t="str">
        <v>-</v>
      </c>
      <c r="GW17" s="2" t="str">
        <v>박성현</v>
      </c>
      <c r="GX17" s="2" t="str">
        <v>-</v>
      </c>
      <c r="GY17" s="2" t="str">
        <v>-</v>
      </c>
      <c r="GZ17" s="2" t="str">
        <v>-</v>
      </c>
      <c r="HA17" s="2" t="str">
        <v>-</v>
      </c>
      <c r="HB17" s="2" t="str">
        <v>-</v>
      </c>
      <c r="HC17" s="2" t="str">
        <v>이기수</v>
      </c>
      <c r="HD17" s="2" t="str">
        <v>-</v>
      </c>
      <c r="HE17" s="2" t="str">
        <v>-</v>
      </c>
      <c r="HF17" s="2" t="str">
        <v>-</v>
      </c>
      <c r="HG17" s="2" t="str">
        <v>-</v>
      </c>
      <c r="HH17" s="2" t="str">
        <v>-</v>
      </c>
      <c r="HI17" s="2" t="str">
        <v>정윤준</v>
      </c>
      <c r="HJ17" s="2" t="str">
        <v>-</v>
      </c>
      <c r="HK17" s="2" t="str">
        <v>-</v>
      </c>
      <c r="HL17" s="2" t="str">
        <v>허지웅</v>
      </c>
      <c r="HM17" s="2" t="str">
        <v>-</v>
      </c>
      <c r="HN17" s="2" t="str">
        <v>-</v>
      </c>
      <c r="HO17" s="2" t="str">
        <v>박성현</v>
      </c>
      <c r="HP17" s="2" t="str">
        <v>-</v>
      </c>
      <c r="HQ17" s="2" t="str">
        <v>-</v>
      </c>
      <c r="HR17" s="2" t="str">
        <v>이기수</v>
      </c>
      <c r="HS17" s="2" t="str">
        <v>-</v>
      </c>
      <c r="HT17" s="2" t="str">
        <v>-</v>
      </c>
      <c r="HU17" s="2" t="str">
        <v>-</v>
      </c>
      <c r="HV17" s="2" t="str">
        <v>-</v>
      </c>
      <c r="HW17" s="2" t="str">
        <v>-</v>
      </c>
      <c r="HX17" s="2" t="str">
        <v>정윤준</v>
      </c>
      <c r="HY17" s="2" t="str">
        <v>-</v>
      </c>
      <c r="HZ17" s="2" t="str">
        <v>-</v>
      </c>
      <c r="IA17" s="2" t="str">
        <v>-</v>
      </c>
      <c r="IB17" s="2" t="str">
        <v>-</v>
      </c>
      <c r="IC17" s="2" t="str">
        <v>-</v>
      </c>
      <c r="ID17" s="2" t="str">
        <v>허지웅</v>
      </c>
      <c r="IE17" s="2" t="str">
        <v>-</v>
      </c>
      <c r="IF17" s="2" t="str">
        <v>-</v>
      </c>
      <c r="IG17" s="2" t="str">
        <v>박성현</v>
      </c>
      <c r="IH17" s="2" t="str">
        <v>-</v>
      </c>
      <c r="II17" s="2" t="str">
        <v>-</v>
      </c>
      <c r="IJ17" s="2" t="str">
        <v>이기수</v>
      </c>
      <c r="IK17" s="2" t="str">
        <v>-</v>
      </c>
      <c r="IL17" s="2" t="str">
        <v>-</v>
      </c>
      <c r="IM17" s="2" t="str">
        <v>정윤준</v>
      </c>
      <c r="IN17" s="2" t="str">
        <v>-</v>
      </c>
      <c r="IO17" s="2" t="str">
        <v>-</v>
      </c>
      <c r="IP17" s="2" t="str">
        <v>-</v>
      </c>
      <c r="IQ17" s="2" t="str">
        <v>-</v>
      </c>
      <c r="IR17" s="2" t="str">
        <v>-</v>
      </c>
      <c r="IS17" s="2" t="str">
        <v>허지웅</v>
      </c>
      <c r="IT17" s="2" t="str">
        <v>-</v>
      </c>
      <c r="IU17" s="2" t="str">
        <v>-</v>
      </c>
      <c r="IV17" s="2" t="str">
        <v>-</v>
      </c>
      <c r="IW17" s="2" t="str">
        <v>-</v>
      </c>
      <c r="IX17" s="2" t="str">
        <v>-</v>
      </c>
      <c r="IY17" s="2" t="str">
        <v>박성현</v>
      </c>
      <c r="IZ17" s="2" t="str">
        <v>-</v>
      </c>
      <c r="JA17" s="2" t="str">
        <v>-</v>
      </c>
      <c r="JB17" s="2" t="str">
        <v>이기수</v>
      </c>
      <c r="JC17" s="2" t="str">
        <v>-</v>
      </c>
      <c r="JD17" s="2" t="str">
        <v>-</v>
      </c>
      <c r="JE17" s="2" t="str">
        <v>정윤준</v>
      </c>
      <c r="JF17" s="2" t="str">
        <v>-</v>
      </c>
      <c r="JG17" s="2" t="str">
        <v>-</v>
      </c>
      <c r="JH17" s="2" t="str">
        <v>-</v>
      </c>
      <c r="JI17" s="2" t="str">
        <v>-</v>
      </c>
      <c r="JJ17" s="2" t="str">
        <v>-</v>
      </c>
      <c r="JK17" s="2" t="str">
        <v>-</v>
      </c>
      <c r="JL17" s="2" t="str">
        <v>-</v>
      </c>
      <c r="JM17" s="2" t="str">
        <v>-</v>
      </c>
      <c r="JN17" s="2" t="str">
        <v>허지웅</v>
      </c>
      <c r="JO17" s="2" t="str">
        <v>-</v>
      </c>
      <c r="JP17" s="2" t="str">
        <v>-</v>
      </c>
      <c r="JQ17" s="2" t="str">
        <v>-</v>
      </c>
      <c r="JR17" s="2" t="str">
        <v>-</v>
      </c>
      <c r="JS17" s="2" t="str">
        <v>-</v>
      </c>
      <c r="JT17" s="2" t="str">
        <v>박성현</v>
      </c>
      <c r="JU17" s="2" t="str">
        <v>-</v>
      </c>
      <c r="JV17" s="2" t="str">
        <v>-</v>
      </c>
      <c r="JW17" s="2" t="str">
        <v>-</v>
      </c>
      <c r="JX17" s="2" t="str">
        <v>-</v>
      </c>
      <c r="JY17" s="2" t="str">
        <v>-</v>
      </c>
      <c r="JZ17" s="2" t="str">
        <v>이기수</v>
      </c>
      <c r="KA17" s="2" t="str">
        <v>-</v>
      </c>
      <c r="KB17" s="2" t="str">
        <v>-</v>
      </c>
      <c r="KC17" s="2" t="str">
        <v>정윤준</v>
      </c>
      <c r="KD17" s="2" t="str">
        <v>-</v>
      </c>
      <c r="KE17" s="2" t="str">
        <v>-</v>
      </c>
      <c r="KF17" s="2" t="str">
        <v>-</v>
      </c>
      <c r="KG17" s="2" t="str">
        <v>-</v>
      </c>
      <c r="KH17" s="2" t="str">
        <v>-</v>
      </c>
      <c r="KI17" s="2" t="str">
        <v>허지웅</v>
      </c>
      <c r="KJ17" s="2" t="str">
        <v>-</v>
      </c>
      <c r="KK17" s="2" t="str">
        <v>-</v>
      </c>
      <c r="KL17" s="2" t="str">
        <v>-</v>
      </c>
      <c r="KM17" s="2" t="str">
        <v>-</v>
      </c>
      <c r="KN17" s="2" t="str">
        <v>-</v>
      </c>
      <c r="KO17" s="2" t="str">
        <v>박성현</v>
      </c>
      <c r="KP17" s="2" t="str">
        <v>-</v>
      </c>
      <c r="KQ17" s="2" t="str">
        <v>-</v>
      </c>
      <c r="KR17" s="2" t="str">
        <v>이기수</v>
      </c>
      <c r="KS17" s="2" t="str">
        <v>-</v>
      </c>
      <c r="KT17" s="2" t="str">
        <v>-</v>
      </c>
      <c r="KU17" s="2" t="str">
        <v>정윤준</v>
      </c>
      <c r="KV17" s="2" t="str">
        <v>-</v>
      </c>
      <c r="KW17" s="2" t="str">
        <v>-</v>
      </c>
      <c r="KX17" s="2" t="str">
        <v>허지웅</v>
      </c>
      <c r="KY17" s="2" t="str">
        <v>-</v>
      </c>
      <c r="KZ17" s="2" t="str">
        <v>-</v>
      </c>
      <c r="LA17" s="2" t="str">
        <v>-</v>
      </c>
      <c r="LB17" s="2" t="str">
        <v>-</v>
      </c>
      <c r="LC17" s="2" t="str">
        <v>-</v>
      </c>
      <c r="LD17" s="2" t="str">
        <v>박성현</v>
      </c>
      <c r="LE17" s="2" t="str">
        <v>-</v>
      </c>
      <c r="LF17" s="2" t="str">
        <v>-</v>
      </c>
      <c r="LG17" s="2" t="str">
        <v>-</v>
      </c>
      <c r="LH17" s="2" t="str">
        <v>-</v>
      </c>
      <c r="LI17" s="2" t="str">
        <v>-</v>
      </c>
      <c r="LJ17" s="2" t="str">
        <v>이기수</v>
      </c>
      <c r="LK17" s="2" t="str">
        <v>-</v>
      </c>
      <c r="LL17" s="2" t="str">
        <v>-</v>
      </c>
      <c r="LM17" s="2" t="str">
        <v>정윤준</v>
      </c>
      <c r="LN17" s="2" t="str">
        <v>-</v>
      </c>
      <c r="LO17" s="2" t="str">
        <v>-</v>
      </c>
      <c r="LP17" s="2" t="str">
        <v>허지웅</v>
      </c>
      <c r="LQ17" s="2" t="str">
        <v>-</v>
      </c>
      <c r="LR17" s="2" t="str">
        <v>-</v>
      </c>
      <c r="LS17" s="2" t="str">
        <v>박성현</v>
      </c>
      <c r="LT17" s="2" t="str">
        <v>-</v>
      </c>
      <c r="LU17" s="2" t="str">
        <v>-</v>
      </c>
      <c r="LV17" s="2" t="str">
        <v>-</v>
      </c>
      <c r="LW17" s="2" t="str">
        <v>-</v>
      </c>
      <c r="LX17" s="2" t="str">
        <v>-</v>
      </c>
      <c r="LY17" s="2" t="str">
        <v>이기수</v>
      </c>
      <c r="LZ17" s="2" t="str">
        <v>-</v>
      </c>
      <c r="MA17" s="2" t="str">
        <v>-</v>
      </c>
      <c r="MB17" s="2" t="str">
        <v>-</v>
      </c>
      <c r="MC17" s="2" t="str">
        <v>-</v>
      </c>
      <c r="MD17" s="2" t="str">
        <v>-</v>
      </c>
      <c r="ME17" s="2" t="str">
        <v>정윤준</v>
      </c>
      <c r="MF17" s="2" t="str">
        <v>-</v>
      </c>
      <c r="MG17" s="2" t="str">
        <v>-</v>
      </c>
      <c r="MH17" s="2" t="str">
        <v>허지웅</v>
      </c>
      <c r="MI17" s="2" t="str">
        <v>-</v>
      </c>
      <c r="MJ17" s="2" t="str">
        <v>-</v>
      </c>
      <c r="MK17" s="2" t="str">
        <v>박성현</v>
      </c>
      <c r="ML17" s="2" t="str">
        <v>-</v>
      </c>
      <c r="MM17" s="2" t="str">
        <v>-</v>
      </c>
      <c r="MN17" s="2" t="str">
        <v>이기수</v>
      </c>
      <c r="MO17" s="2" t="str">
        <v>-</v>
      </c>
      <c r="MP17" s="2" t="str">
        <v>-</v>
      </c>
      <c r="MQ17" s="2" t="str">
        <v>-</v>
      </c>
      <c r="MR17" s="2" t="str">
        <v>-</v>
      </c>
      <c r="MS17" s="2" t="str">
        <v>-</v>
      </c>
      <c r="MT17" s="2" t="str">
        <v>정윤준</v>
      </c>
      <c r="MU17" s="2" t="str">
        <v>-</v>
      </c>
      <c r="MV17" s="2" t="str">
        <v>-</v>
      </c>
      <c r="MW17" s="2" t="str">
        <v>-</v>
      </c>
      <c r="MX17" s="2" t="str">
        <v>-</v>
      </c>
      <c r="MY17" s="2" t="str">
        <v>-</v>
      </c>
      <c r="MZ17" s="2" t="str">
        <v>허지웅</v>
      </c>
      <c r="NA17" s="2" t="str">
        <v>-</v>
      </c>
      <c r="NB17" s="2" t="str">
        <v>-</v>
      </c>
      <c r="NC17" s="2" t="str">
        <v>박성현</v>
      </c>
      <c r="ND17" s="2" t="e">
        <v>#N/A</v>
      </c>
    </row>
    <row r="18" spans="1:368" hidden="1">
      <c r="A18" s="3" t="str">
        <v>주간근무
외곽1</v>
      </c>
      <c r="B18" s="2" t="str">
        <v>-</v>
      </c>
      <c r="C18" s="2" t="str">
        <v>-</v>
      </c>
      <c r="D18" s="2" t="str">
        <v>-</v>
      </c>
      <c r="E18" s="2" t="str">
        <v>-</v>
      </c>
      <c r="F18" s="2" t="str">
        <v>-</v>
      </c>
      <c r="G18" s="2" t="str">
        <v>이기수</v>
      </c>
      <c r="H18" s="2" t="str">
        <v>-</v>
      </c>
      <c r="I18" s="2" t="str">
        <v>-</v>
      </c>
      <c r="J18" s="2" t="str">
        <v>정윤준</v>
      </c>
      <c r="K18" s="2" t="str">
        <v>-</v>
      </c>
      <c r="L18" s="2" t="str">
        <v>-</v>
      </c>
      <c r="M18" s="2" t="str">
        <v>허지웅</v>
      </c>
      <c r="N18" s="2" t="str">
        <v>-</v>
      </c>
      <c r="O18" s="2" t="str">
        <v>-</v>
      </c>
      <c r="P18" s="2" t="str">
        <v>박성현</v>
      </c>
      <c r="Q18" s="2" t="str">
        <v>-</v>
      </c>
      <c r="R18" s="2" t="str">
        <v>-</v>
      </c>
      <c r="S18" s="2" t="str">
        <v>-</v>
      </c>
      <c r="T18" s="2" t="str">
        <v>-</v>
      </c>
      <c r="U18" s="2" t="str">
        <v>-</v>
      </c>
      <c r="V18" s="2" t="str">
        <v>이기수</v>
      </c>
      <c r="W18" s="2" t="str">
        <v>-</v>
      </c>
      <c r="X18" s="2" t="str">
        <v>-</v>
      </c>
      <c r="Y18" s="2" t="str">
        <v>-</v>
      </c>
      <c r="Z18" s="2" t="str">
        <v>-</v>
      </c>
      <c r="AA18" s="2" t="str">
        <v>-</v>
      </c>
      <c r="AB18" s="2" t="str">
        <v>정윤준</v>
      </c>
      <c r="AC18" s="2" t="str">
        <v>-</v>
      </c>
      <c r="AD18" s="2" t="str">
        <v>-</v>
      </c>
      <c r="AE18" s="2" t="str">
        <v>허지웅</v>
      </c>
      <c r="AF18" s="2" t="str">
        <v>-</v>
      </c>
      <c r="AG18" s="2" t="str">
        <v>-</v>
      </c>
      <c r="AH18" s="2" t="str">
        <v>박성현</v>
      </c>
      <c r="AI18" s="2" t="str">
        <v>-</v>
      </c>
      <c r="AJ18" s="2" t="str">
        <v>-</v>
      </c>
      <c r="AK18" s="2" t="str">
        <v>이기수</v>
      </c>
      <c r="AL18" s="2" t="str">
        <v>-</v>
      </c>
      <c r="AM18" s="2" t="str">
        <v>-</v>
      </c>
      <c r="AN18" s="2" t="str">
        <v>-</v>
      </c>
      <c r="AO18" s="2" t="str">
        <v>-</v>
      </c>
      <c r="AP18" s="2" t="str">
        <v>-</v>
      </c>
      <c r="AQ18" s="2" t="str">
        <v>정윤준</v>
      </c>
      <c r="AR18" s="2" t="str">
        <v>-</v>
      </c>
      <c r="AS18" s="2" t="str">
        <v>-</v>
      </c>
      <c r="AT18" s="2" t="str">
        <v>-</v>
      </c>
      <c r="AU18" s="2" t="str">
        <v>-</v>
      </c>
      <c r="AV18" s="2" t="str">
        <v>-</v>
      </c>
      <c r="AW18" s="2" t="str">
        <v>-</v>
      </c>
      <c r="AX18" s="2" t="str">
        <v>-</v>
      </c>
      <c r="AY18" s="2" t="str">
        <v>-</v>
      </c>
      <c r="AZ18" s="2" t="str">
        <v>허지웅</v>
      </c>
      <c r="BA18" s="2" t="str">
        <v>-</v>
      </c>
      <c r="BB18" s="2" t="str">
        <v>-</v>
      </c>
      <c r="BC18" s="2" t="str">
        <v>박성현</v>
      </c>
      <c r="BD18" s="2" t="str">
        <v>-</v>
      </c>
      <c r="BE18" s="2" t="str">
        <v>-</v>
      </c>
      <c r="BF18" s="2" t="str">
        <v>이기수</v>
      </c>
      <c r="BG18" s="2" t="str">
        <v>-</v>
      </c>
      <c r="BH18" s="2" t="str">
        <v>-</v>
      </c>
      <c r="BI18" s="2" t="str">
        <v>-</v>
      </c>
      <c r="BJ18" s="2" t="str">
        <v>-</v>
      </c>
      <c r="BK18" s="2" t="str">
        <v>-</v>
      </c>
      <c r="BL18" s="2" t="str">
        <v>정윤준</v>
      </c>
      <c r="BM18" s="2" t="str">
        <v>-</v>
      </c>
      <c r="BN18" s="2" t="str">
        <v>-</v>
      </c>
      <c r="BO18" s="2" t="str">
        <v>-</v>
      </c>
      <c r="BP18" s="2" t="str">
        <v>-</v>
      </c>
      <c r="BQ18" s="2" t="str">
        <v>-</v>
      </c>
      <c r="BR18" s="2" t="str">
        <v>허지웅</v>
      </c>
      <c r="BS18" s="2" t="str">
        <v>-</v>
      </c>
      <c r="BT18" s="2" t="str">
        <v>-</v>
      </c>
      <c r="BU18" s="2" t="str">
        <v>박성현</v>
      </c>
      <c r="BV18" s="2" t="str">
        <v>-</v>
      </c>
      <c r="BW18" s="2" t="str">
        <v>-</v>
      </c>
      <c r="BX18" s="2" t="str">
        <v>이기수</v>
      </c>
      <c r="BY18" s="2" t="str">
        <v>-</v>
      </c>
      <c r="BZ18" s="2" t="str">
        <v>-</v>
      </c>
      <c r="CA18" s="2" t="str">
        <v>정윤준</v>
      </c>
      <c r="CB18" s="2" t="str">
        <v>-</v>
      </c>
      <c r="CC18" s="2" t="str">
        <v>-</v>
      </c>
      <c r="CD18" s="2" t="str">
        <v>-</v>
      </c>
      <c r="CE18" s="2" t="str">
        <v>-</v>
      </c>
      <c r="CF18" s="2" t="str">
        <v>-</v>
      </c>
      <c r="CG18" s="2" t="str">
        <v>허지웅</v>
      </c>
      <c r="CH18" s="2" t="str">
        <v>-</v>
      </c>
      <c r="CI18" s="2" t="str">
        <v>-</v>
      </c>
      <c r="CJ18" s="2" t="str">
        <v>-</v>
      </c>
      <c r="CK18" s="2" t="str">
        <v>-</v>
      </c>
      <c r="CL18" s="2" t="str">
        <v>-</v>
      </c>
      <c r="CM18" s="2" t="str">
        <v>박성현</v>
      </c>
      <c r="CN18" s="2" t="str">
        <v>-</v>
      </c>
      <c r="CO18" s="2" t="str">
        <v>-</v>
      </c>
      <c r="CP18" s="2" t="str">
        <v>이기수</v>
      </c>
      <c r="CQ18" s="2" t="str">
        <v>-</v>
      </c>
      <c r="CR18" s="2" t="str">
        <v>-</v>
      </c>
      <c r="CS18" s="2" t="str">
        <v>정윤준</v>
      </c>
      <c r="CT18" s="2" t="str">
        <v>-</v>
      </c>
      <c r="CU18" s="2" t="str">
        <v>-</v>
      </c>
      <c r="CV18" s="2" t="str">
        <v>허지웅</v>
      </c>
      <c r="CW18" s="2" t="str">
        <v>-</v>
      </c>
      <c r="CX18" s="2" t="str">
        <v>-</v>
      </c>
      <c r="CY18" s="2" t="str">
        <v>-</v>
      </c>
      <c r="CZ18" s="2" t="str">
        <v>-</v>
      </c>
      <c r="DA18" s="2" t="str">
        <v>-</v>
      </c>
      <c r="DB18" s="2" t="str">
        <v>박성현</v>
      </c>
      <c r="DC18" s="2" t="str">
        <v>-</v>
      </c>
      <c r="DD18" s="2" t="str">
        <v>-</v>
      </c>
      <c r="DE18" s="2" t="str">
        <v>-</v>
      </c>
      <c r="DF18" s="2" t="str">
        <v>-</v>
      </c>
      <c r="DG18" s="2" t="str">
        <v>-</v>
      </c>
      <c r="DH18" s="2" t="str">
        <v>이기수</v>
      </c>
      <c r="DI18" s="2" t="str">
        <v>-</v>
      </c>
      <c r="DJ18" s="2" t="str">
        <v>-</v>
      </c>
      <c r="DK18" s="2" t="str">
        <v>정윤준</v>
      </c>
      <c r="DL18" s="2" t="str">
        <v>-</v>
      </c>
      <c r="DM18" s="2" t="str">
        <v>-</v>
      </c>
      <c r="DN18" s="2" t="str">
        <v>허지웅</v>
      </c>
      <c r="DO18" s="2" t="str">
        <v>-</v>
      </c>
      <c r="DP18" s="2" t="str">
        <v>-</v>
      </c>
      <c r="DQ18" s="2" t="str">
        <v>박성현</v>
      </c>
      <c r="DR18" s="2" t="str">
        <v>-</v>
      </c>
      <c r="DS18" s="2" t="str">
        <v>-</v>
      </c>
      <c r="DT18" s="2" t="str">
        <v>-</v>
      </c>
      <c r="DU18" s="2" t="str">
        <v>-</v>
      </c>
      <c r="DV18" s="2" t="str">
        <v>-</v>
      </c>
      <c r="DW18" s="2" t="str">
        <v>이기수</v>
      </c>
      <c r="DX18" s="2" t="str">
        <v>-</v>
      </c>
      <c r="DY18" s="2" t="str">
        <v>-</v>
      </c>
      <c r="DZ18" s="2" t="str">
        <v>-</v>
      </c>
      <c r="EA18" s="2" t="str">
        <v>-</v>
      </c>
      <c r="EB18" s="2" t="str">
        <v>-</v>
      </c>
      <c r="EC18" s="2" t="str">
        <v>정윤준</v>
      </c>
      <c r="ED18" s="2" t="str">
        <v>-</v>
      </c>
      <c r="EE18" s="2" t="str">
        <v>-</v>
      </c>
      <c r="EF18" s="2" t="str">
        <v>허지웅</v>
      </c>
      <c r="EG18" s="2" t="str">
        <v>-</v>
      </c>
      <c r="EH18" s="2" t="str">
        <v>-</v>
      </c>
      <c r="EI18" s="2" t="str">
        <v>박성현</v>
      </c>
      <c r="EJ18" s="2" t="str">
        <v>-</v>
      </c>
      <c r="EK18" s="2" t="str">
        <v>-</v>
      </c>
      <c r="EL18" s="2" t="str">
        <v>이기수</v>
      </c>
      <c r="EM18" s="2" t="str">
        <v>-</v>
      </c>
      <c r="EN18" s="2" t="str">
        <v>-</v>
      </c>
      <c r="EO18" s="2" t="str">
        <v>-</v>
      </c>
      <c r="EP18" s="2" t="str">
        <v>-</v>
      </c>
      <c r="EQ18" s="2" t="str">
        <v>-</v>
      </c>
      <c r="ER18" s="2" t="str">
        <v>정윤준</v>
      </c>
      <c r="ES18" s="2" t="str">
        <v>-</v>
      </c>
      <c r="ET18" s="2" t="str">
        <v>-</v>
      </c>
      <c r="EU18" s="2" t="str">
        <v>-</v>
      </c>
      <c r="EV18" s="2" t="str">
        <v>-</v>
      </c>
      <c r="EW18" s="2" t="str">
        <v>-</v>
      </c>
      <c r="EX18" s="2" t="str">
        <v>허지웅</v>
      </c>
      <c r="EY18" s="2" t="str">
        <v>-</v>
      </c>
      <c r="EZ18" s="2" t="str">
        <v>-</v>
      </c>
      <c r="FA18" s="2" t="str">
        <v>박성현</v>
      </c>
      <c r="FB18" s="2" t="str">
        <v>-</v>
      </c>
      <c r="FC18" s="2" t="str">
        <v>-</v>
      </c>
      <c r="FD18" s="2" t="str">
        <v>이기수</v>
      </c>
      <c r="FE18" s="2" t="str">
        <v>-</v>
      </c>
      <c r="FF18" s="2" t="str">
        <v>-</v>
      </c>
      <c r="FG18" s="2" t="str">
        <v>정윤준</v>
      </c>
      <c r="FH18" s="2" t="str">
        <v>-</v>
      </c>
      <c r="FI18" s="2" t="str">
        <v>-</v>
      </c>
      <c r="FJ18" s="2" t="str">
        <v>-</v>
      </c>
      <c r="FK18" s="2" t="str">
        <v>-</v>
      </c>
      <c r="FL18" s="2" t="str">
        <v>-</v>
      </c>
      <c r="FM18" s="2" t="str">
        <v>허지웅</v>
      </c>
      <c r="FN18" s="2" t="str">
        <v>-</v>
      </c>
      <c r="FO18" s="2" t="str">
        <v>-</v>
      </c>
      <c r="FP18" s="2" t="str">
        <v>-</v>
      </c>
      <c r="FQ18" s="2" t="str">
        <v>-</v>
      </c>
      <c r="FR18" s="2" t="str">
        <v>-</v>
      </c>
      <c r="FS18" s="2" t="str">
        <v>박성현</v>
      </c>
      <c r="FT18" s="2" t="str">
        <v>-</v>
      </c>
      <c r="FU18" s="2" t="str">
        <v>-</v>
      </c>
      <c r="FV18" s="2" t="str">
        <v>이기수</v>
      </c>
      <c r="FW18" s="2" t="str">
        <v>-</v>
      </c>
      <c r="FX18" s="2" t="str">
        <v>-</v>
      </c>
      <c r="FY18" s="2" t="str">
        <v>정윤준</v>
      </c>
      <c r="FZ18" s="2" t="str">
        <v>-</v>
      </c>
      <c r="GA18" s="2" t="str">
        <v>-</v>
      </c>
      <c r="GB18" s="2" t="str">
        <v>허지웅</v>
      </c>
      <c r="GC18" s="2" t="str">
        <v>-</v>
      </c>
      <c r="GD18" s="2" t="str">
        <v>-</v>
      </c>
      <c r="GE18" s="2" t="str">
        <v>-</v>
      </c>
      <c r="GF18" s="2" t="str">
        <v>-</v>
      </c>
      <c r="GG18" s="2" t="str">
        <v>-</v>
      </c>
      <c r="GH18" s="2" t="str">
        <v>박성현</v>
      </c>
      <c r="GI18" s="2" t="str">
        <v>-</v>
      </c>
      <c r="GJ18" s="2" t="str">
        <v>-</v>
      </c>
      <c r="GK18" s="2" t="str">
        <v>-</v>
      </c>
      <c r="GL18" s="2" t="str">
        <v>-</v>
      </c>
      <c r="GM18" s="2" t="str">
        <v>-</v>
      </c>
      <c r="GN18" s="2" t="str">
        <v>이기수</v>
      </c>
      <c r="GO18" s="2" t="str">
        <v>-</v>
      </c>
      <c r="GP18" s="2" t="str">
        <v>-</v>
      </c>
      <c r="GQ18" s="2" t="str">
        <v>-</v>
      </c>
      <c r="GR18" s="2" t="str">
        <v>-</v>
      </c>
      <c r="GS18" s="2" t="str">
        <v>-</v>
      </c>
      <c r="GT18" s="2" t="str">
        <v>정윤준</v>
      </c>
      <c r="GU18" s="2" t="str">
        <v>-</v>
      </c>
      <c r="GV18" s="2" t="str">
        <v>-</v>
      </c>
      <c r="GW18" s="2" t="str">
        <v>허지웅</v>
      </c>
      <c r="GX18" s="2" t="str">
        <v>-</v>
      </c>
      <c r="GY18" s="2" t="str">
        <v>-</v>
      </c>
      <c r="GZ18" s="2" t="str">
        <v>-</v>
      </c>
      <c r="HA18" s="2" t="str">
        <v>-</v>
      </c>
      <c r="HB18" s="2" t="str">
        <v>-</v>
      </c>
      <c r="HC18" s="2" t="str">
        <v>박성현</v>
      </c>
      <c r="HD18" s="2" t="str">
        <v>-</v>
      </c>
      <c r="HE18" s="2" t="str">
        <v>-</v>
      </c>
      <c r="HF18" s="2" t="str">
        <v>-</v>
      </c>
      <c r="HG18" s="2" t="str">
        <v>-</v>
      </c>
      <c r="HH18" s="2" t="str">
        <v>-</v>
      </c>
      <c r="HI18" s="2" t="str">
        <v>이기수</v>
      </c>
      <c r="HJ18" s="2" t="str">
        <v>-</v>
      </c>
      <c r="HK18" s="2" t="str">
        <v>-</v>
      </c>
      <c r="HL18" s="2" t="str">
        <v>정윤준</v>
      </c>
      <c r="HM18" s="2" t="str">
        <v>-</v>
      </c>
      <c r="HN18" s="2" t="str">
        <v>-</v>
      </c>
      <c r="HO18" s="2" t="str">
        <v>허지웅</v>
      </c>
      <c r="HP18" s="2" t="str">
        <v>-</v>
      </c>
      <c r="HQ18" s="2" t="str">
        <v>-</v>
      </c>
      <c r="HR18" s="2" t="str">
        <v>박성현</v>
      </c>
      <c r="HS18" s="2" t="str">
        <v>-</v>
      </c>
      <c r="HT18" s="2" t="str">
        <v>-</v>
      </c>
      <c r="HU18" s="2" t="str">
        <v>-</v>
      </c>
      <c r="HV18" s="2" t="str">
        <v>-</v>
      </c>
      <c r="HW18" s="2" t="str">
        <v>-</v>
      </c>
      <c r="HX18" s="2" t="str">
        <v>이기수</v>
      </c>
      <c r="HY18" s="2" t="str">
        <v>-</v>
      </c>
      <c r="HZ18" s="2" t="str">
        <v>-</v>
      </c>
      <c r="IA18" s="2" t="str">
        <v>-</v>
      </c>
      <c r="IB18" s="2" t="str">
        <v>-</v>
      </c>
      <c r="IC18" s="2" t="str">
        <v>-</v>
      </c>
      <c r="ID18" s="2" t="str">
        <v>정윤준</v>
      </c>
      <c r="IE18" s="2" t="str">
        <v>-</v>
      </c>
      <c r="IF18" s="2" t="str">
        <v>-</v>
      </c>
      <c r="IG18" s="2" t="str">
        <v>허지웅</v>
      </c>
      <c r="IH18" s="2" t="str">
        <v>-</v>
      </c>
      <c r="II18" s="2" t="str">
        <v>-</v>
      </c>
      <c r="IJ18" s="2" t="str">
        <v>박성현</v>
      </c>
      <c r="IK18" s="2" t="str">
        <v>-</v>
      </c>
      <c r="IL18" s="2" t="str">
        <v>-</v>
      </c>
      <c r="IM18" s="2" t="str">
        <v>이기수</v>
      </c>
      <c r="IN18" s="2" t="str">
        <v>-</v>
      </c>
      <c r="IO18" s="2" t="str">
        <v>-</v>
      </c>
      <c r="IP18" s="2" t="str">
        <v>-</v>
      </c>
      <c r="IQ18" s="2" t="str">
        <v>-</v>
      </c>
      <c r="IR18" s="2" t="str">
        <v>-</v>
      </c>
      <c r="IS18" s="2" t="str">
        <v>정윤준</v>
      </c>
      <c r="IT18" s="2" t="str">
        <v>-</v>
      </c>
      <c r="IU18" s="2" t="str">
        <v>-</v>
      </c>
      <c r="IV18" s="2" t="str">
        <v>-</v>
      </c>
      <c r="IW18" s="2" t="str">
        <v>-</v>
      </c>
      <c r="IX18" s="2" t="str">
        <v>-</v>
      </c>
      <c r="IY18" s="2" t="str">
        <v>허지웅</v>
      </c>
      <c r="IZ18" s="2" t="str">
        <v>-</v>
      </c>
      <c r="JA18" s="2" t="str">
        <v>-</v>
      </c>
      <c r="JB18" s="2" t="str">
        <v>박성현</v>
      </c>
      <c r="JC18" s="2" t="str">
        <v>-</v>
      </c>
      <c r="JD18" s="2" t="str">
        <v>-</v>
      </c>
      <c r="JE18" s="2" t="str">
        <v>이기수</v>
      </c>
      <c r="JF18" s="2" t="str">
        <v>-</v>
      </c>
      <c r="JG18" s="2" t="str">
        <v>-</v>
      </c>
      <c r="JH18" s="2" t="str">
        <v>-</v>
      </c>
      <c r="JI18" s="2" t="str">
        <v>-</v>
      </c>
      <c r="JJ18" s="2" t="str">
        <v>-</v>
      </c>
      <c r="JK18" s="2" t="str">
        <v>-</v>
      </c>
      <c r="JL18" s="2" t="str">
        <v>-</v>
      </c>
      <c r="JM18" s="2" t="str">
        <v>-</v>
      </c>
      <c r="JN18" s="2" t="str">
        <v>정윤준</v>
      </c>
      <c r="JO18" s="2" t="str">
        <v>-</v>
      </c>
      <c r="JP18" s="2" t="str">
        <v>-</v>
      </c>
      <c r="JQ18" s="2" t="str">
        <v>-</v>
      </c>
      <c r="JR18" s="2" t="str">
        <v>-</v>
      </c>
      <c r="JS18" s="2" t="str">
        <v>-</v>
      </c>
      <c r="JT18" s="2" t="str">
        <v>허지웅</v>
      </c>
      <c r="JU18" s="2" t="str">
        <v>-</v>
      </c>
      <c r="JV18" s="2" t="str">
        <v>-</v>
      </c>
      <c r="JW18" s="2" t="str">
        <v>-</v>
      </c>
      <c r="JX18" s="2" t="str">
        <v>-</v>
      </c>
      <c r="JY18" s="2" t="str">
        <v>-</v>
      </c>
      <c r="JZ18" s="2" t="str">
        <v>박성현</v>
      </c>
      <c r="KA18" s="2" t="str">
        <v>-</v>
      </c>
      <c r="KB18" s="2" t="str">
        <v>-</v>
      </c>
      <c r="KC18" s="2" t="str">
        <v>이기수</v>
      </c>
      <c r="KD18" s="2" t="str">
        <v>-</v>
      </c>
      <c r="KE18" s="2" t="str">
        <v>-</v>
      </c>
      <c r="KF18" s="2" t="str">
        <v>-</v>
      </c>
      <c r="KG18" s="2" t="str">
        <v>-</v>
      </c>
      <c r="KH18" s="2" t="str">
        <v>-</v>
      </c>
      <c r="KI18" s="2" t="str">
        <v>정윤준</v>
      </c>
      <c r="KJ18" s="2" t="str">
        <v>-</v>
      </c>
      <c r="KK18" s="2" t="str">
        <v>-</v>
      </c>
      <c r="KL18" s="2" t="str">
        <v>-</v>
      </c>
      <c r="KM18" s="2" t="str">
        <v>-</v>
      </c>
      <c r="KN18" s="2" t="str">
        <v>-</v>
      </c>
      <c r="KO18" s="2" t="str">
        <v>허지웅</v>
      </c>
      <c r="KP18" s="2" t="str">
        <v>-</v>
      </c>
      <c r="KQ18" s="2" t="str">
        <v>-</v>
      </c>
      <c r="KR18" s="2" t="str">
        <v>박성현</v>
      </c>
      <c r="KS18" s="2" t="str">
        <v>-</v>
      </c>
      <c r="KT18" s="2" t="str">
        <v>-</v>
      </c>
      <c r="KU18" s="2" t="str">
        <v>이기수</v>
      </c>
      <c r="KV18" s="2" t="str">
        <v>-</v>
      </c>
      <c r="KW18" s="2" t="str">
        <v>-</v>
      </c>
      <c r="KX18" s="2" t="str">
        <v>정윤준</v>
      </c>
      <c r="KY18" s="2" t="str">
        <v>-</v>
      </c>
      <c r="KZ18" s="2" t="str">
        <v>-</v>
      </c>
      <c r="LA18" s="2" t="str">
        <v>-</v>
      </c>
      <c r="LB18" s="2" t="str">
        <v>-</v>
      </c>
      <c r="LC18" s="2" t="str">
        <v>-</v>
      </c>
      <c r="LD18" s="2" t="str">
        <v>허지웅</v>
      </c>
      <c r="LE18" s="2" t="str">
        <v>-</v>
      </c>
      <c r="LF18" s="2" t="str">
        <v>-</v>
      </c>
      <c r="LG18" s="2" t="str">
        <v>-</v>
      </c>
      <c r="LH18" s="2" t="str">
        <v>-</v>
      </c>
      <c r="LI18" s="2" t="str">
        <v>-</v>
      </c>
      <c r="LJ18" s="2" t="str">
        <v>박성현</v>
      </c>
      <c r="LK18" s="2" t="str">
        <v>-</v>
      </c>
      <c r="LL18" s="2" t="str">
        <v>-</v>
      </c>
      <c r="LM18" s="2" t="str">
        <v>이기수</v>
      </c>
      <c r="LN18" s="2" t="str">
        <v>-</v>
      </c>
      <c r="LO18" s="2" t="str">
        <v>-</v>
      </c>
      <c r="LP18" s="2" t="str">
        <v>정윤준</v>
      </c>
      <c r="LQ18" s="2" t="str">
        <v>-</v>
      </c>
      <c r="LR18" s="2" t="str">
        <v>-</v>
      </c>
      <c r="LS18" s="2" t="str">
        <v>허지웅</v>
      </c>
      <c r="LT18" s="2" t="str">
        <v>-</v>
      </c>
      <c r="LU18" s="2" t="str">
        <v>-</v>
      </c>
      <c r="LV18" s="2" t="str">
        <v>-</v>
      </c>
      <c r="LW18" s="2" t="str">
        <v>-</v>
      </c>
      <c r="LX18" s="2" t="str">
        <v>-</v>
      </c>
      <c r="LY18" s="2" t="str">
        <v>박성현</v>
      </c>
      <c r="LZ18" s="2" t="str">
        <v>-</v>
      </c>
      <c r="MA18" s="2" t="str">
        <v>-</v>
      </c>
      <c r="MB18" s="2" t="str">
        <v>-</v>
      </c>
      <c r="MC18" s="2" t="str">
        <v>-</v>
      </c>
      <c r="MD18" s="2" t="str">
        <v>-</v>
      </c>
      <c r="ME18" s="2" t="str">
        <v>이기수</v>
      </c>
      <c r="MF18" s="2" t="str">
        <v>-</v>
      </c>
      <c r="MG18" s="2" t="str">
        <v>-</v>
      </c>
      <c r="MH18" s="2" t="str">
        <v>정윤준</v>
      </c>
      <c r="MI18" s="2" t="str">
        <v>-</v>
      </c>
      <c r="MJ18" s="2" t="str">
        <v>-</v>
      </c>
      <c r="MK18" s="2" t="str">
        <v>허지웅</v>
      </c>
      <c r="ML18" s="2" t="str">
        <v>-</v>
      </c>
      <c r="MM18" s="2" t="str">
        <v>-</v>
      </c>
      <c r="MN18" s="2" t="str">
        <v>박성현</v>
      </c>
      <c r="MO18" s="2" t="str">
        <v>-</v>
      </c>
      <c r="MP18" s="2" t="str">
        <v>-</v>
      </c>
      <c r="MQ18" s="2" t="str">
        <v>-</v>
      </c>
      <c r="MR18" s="2" t="str">
        <v>-</v>
      </c>
      <c r="MS18" s="2" t="str">
        <v>-</v>
      </c>
      <c r="MT18" s="2" t="str">
        <v>이기수</v>
      </c>
      <c r="MU18" s="2" t="str">
        <v>-</v>
      </c>
      <c r="MV18" s="2" t="str">
        <v>-</v>
      </c>
      <c r="MW18" s="2" t="str">
        <v>-</v>
      </c>
      <c r="MX18" s="2" t="str">
        <v>-</v>
      </c>
      <c r="MY18" s="2" t="str">
        <v>-</v>
      </c>
      <c r="MZ18" s="2" t="str">
        <v>정윤준</v>
      </c>
      <c r="NA18" s="2" t="str">
        <v>-</v>
      </c>
      <c r="NB18" s="2" t="str">
        <v>-</v>
      </c>
      <c r="NC18" s="2" t="str">
        <v>허지웅</v>
      </c>
      <c r="ND18" s="2" t="e">
        <v>#N/A</v>
      </c>
    </row>
    <row r="19" spans="1:368" hidden="1">
      <c r="A19" s="3" t="str">
        <v>주간근무
외곽2</v>
      </c>
      <c r="B19" s="2" t="str">
        <v>-</v>
      </c>
      <c r="C19" s="2" t="str">
        <v>-</v>
      </c>
      <c r="D19" s="2" t="str">
        <v>-</v>
      </c>
      <c r="E19" s="2" t="str">
        <v>-</v>
      </c>
      <c r="F19" s="2" t="str">
        <v>-</v>
      </c>
      <c r="G19" s="2" t="str">
        <v>박성현</v>
      </c>
      <c r="H19" s="2" t="str">
        <v>-</v>
      </c>
      <c r="I19" s="2" t="str">
        <v>-</v>
      </c>
      <c r="J19" s="2" t="str">
        <v>이기수</v>
      </c>
      <c r="K19" s="2" t="str">
        <v>-</v>
      </c>
      <c r="L19" s="2" t="str">
        <v>-</v>
      </c>
      <c r="M19" s="2" t="str">
        <v>정윤준</v>
      </c>
      <c r="N19" s="2" t="str">
        <v>-</v>
      </c>
      <c r="O19" s="2" t="str">
        <v>-</v>
      </c>
      <c r="P19" s="2" t="str">
        <v>허지웅</v>
      </c>
      <c r="Q19" s="2" t="str">
        <v>-</v>
      </c>
      <c r="R19" s="2" t="str">
        <v>-</v>
      </c>
      <c r="S19" s="2" t="str">
        <v>-</v>
      </c>
      <c r="T19" s="2" t="str">
        <v>-</v>
      </c>
      <c r="U19" s="2" t="str">
        <v>-</v>
      </c>
      <c r="V19" s="2" t="str">
        <v>박성현</v>
      </c>
      <c r="W19" s="2" t="str">
        <v>-</v>
      </c>
      <c r="X19" s="2" t="str">
        <v>-</v>
      </c>
      <c r="Y19" s="2" t="str">
        <v>-</v>
      </c>
      <c r="Z19" s="2" t="str">
        <v>-</v>
      </c>
      <c r="AA19" s="2" t="str">
        <v>-</v>
      </c>
      <c r="AB19" s="2" t="str">
        <v>이기수</v>
      </c>
      <c r="AC19" s="2" t="str">
        <v>-</v>
      </c>
      <c r="AD19" s="2" t="str">
        <v>-</v>
      </c>
      <c r="AE19" s="2" t="str">
        <v>정윤준</v>
      </c>
      <c r="AF19" s="2" t="str">
        <v>-</v>
      </c>
      <c r="AG19" s="2" t="str">
        <v>-</v>
      </c>
      <c r="AH19" s="2" t="str">
        <v>허지웅</v>
      </c>
      <c r="AI19" s="2" t="str">
        <v>-</v>
      </c>
      <c r="AJ19" s="2" t="str">
        <v>-</v>
      </c>
      <c r="AK19" s="2" t="str">
        <v>박성현</v>
      </c>
      <c r="AL19" s="2" t="str">
        <v>-</v>
      </c>
      <c r="AM19" s="2" t="str">
        <v>-</v>
      </c>
      <c r="AN19" s="2" t="str">
        <v>-</v>
      </c>
      <c r="AO19" s="2" t="str">
        <v>-</v>
      </c>
      <c r="AP19" s="2" t="str">
        <v>-</v>
      </c>
      <c r="AQ19" s="2" t="str">
        <v>이기수</v>
      </c>
      <c r="AR19" s="2" t="str">
        <v>-</v>
      </c>
      <c r="AS19" s="2" t="str">
        <v>-</v>
      </c>
      <c r="AT19" s="2" t="str">
        <v>-</v>
      </c>
      <c r="AU19" s="2" t="str">
        <v>-</v>
      </c>
      <c r="AV19" s="2" t="str">
        <v>-</v>
      </c>
      <c r="AW19" s="2" t="str">
        <v>-</v>
      </c>
      <c r="AX19" s="2" t="str">
        <v>-</v>
      </c>
      <c r="AY19" s="2" t="str">
        <v>-</v>
      </c>
      <c r="AZ19" s="2" t="str">
        <v>정윤준</v>
      </c>
      <c r="BA19" s="2" t="str">
        <v>-</v>
      </c>
      <c r="BB19" s="2" t="str">
        <v>-</v>
      </c>
      <c r="BC19" s="2" t="str">
        <v>허지웅</v>
      </c>
      <c r="BD19" s="2" t="str">
        <v>-</v>
      </c>
      <c r="BE19" s="2" t="str">
        <v>-</v>
      </c>
      <c r="BF19" s="2" t="str">
        <v>박성현</v>
      </c>
      <c r="BG19" s="2" t="str">
        <v>-</v>
      </c>
      <c r="BH19" s="2" t="str">
        <v>-</v>
      </c>
      <c r="BI19" s="2" t="str">
        <v>-</v>
      </c>
      <c r="BJ19" s="2" t="str">
        <v>-</v>
      </c>
      <c r="BK19" s="2" t="str">
        <v>-</v>
      </c>
      <c r="BL19" s="2" t="str">
        <v>이기수</v>
      </c>
      <c r="BM19" s="2" t="str">
        <v>-</v>
      </c>
      <c r="BN19" s="2" t="str">
        <v>-</v>
      </c>
      <c r="BO19" s="2" t="str">
        <v>-</v>
      </c>
      <c r="BP19" s="2" t="str">
        <v>-</v>
      </c>
      <c r="BQ19" s="2" t="str">
        <v>-</v>
      </c>
      <c r="BR19" s="2" t="str">
        <v>정윤준</v>
      </c>
      <c r="BS19" s="2" t="str">
        <v>-</v>
      </c>
      <c r="BT19" s="2" t="str">
        <v>-</v>
      </c>
      <c r="BU19" s="2" t="str">
        <v>허지웅</v>
      </c>
      <c r="BV19" s="2" t="str">
        <v>-</v>
      </c>
      <c r="BW19" s="2" t="str">
        <v>-</v>
      </c>
      <c r="BX19" s="2" t="str">
        <v>박성현</v>
      </c>
      <c r="BY19" s="2" t="str">
        <v>-</v>
      </c>
      <c r="BZ19" s="2" t="str">
        <v>-</v>
      </c>
      <c r="CA19" s="2" t="str">
        <v>이기수</v>
      </c>
      <c r="CB19" s="2" t="str">
        <v>-</v>
      </c>
      <c r="CC19" s="2" t="str">
        <v>-</v>
      </c>
      <c r="CD19" s="2" t="str">
        <v>-</v>
      </c>
      <c r="CE19" s="2" t="str">
        <v>-</v>
      </c>
      <c r="CF19" s="2" t="str">
        <v>-</v>
      </c>
      <c r="CG19" s="2" t="str">
        <v>정윤준</v>
      </c>
      <c r="CH19" s="2" t="str">
        <v>-</v>
      </c>
      <c r="CI19" s="2" t="str">
        <v>-</v>
      </c>
      <c r="CJ19" s="2" t="str">
        <v>-</v>
      </c>
      <c r="CK19" s="2" t="str">
        <v>-</v>
      </c>
      <c r="CL19" s="2" t="str">
        <v>-</v>
      </c>
      <c r="CM19" s="2" t="str">
        <v>허지웅</v>
      </c>
      <c r="CN19" s="2" t="str">
        <v>-</v>
      </c>
      <c r="CO19" s="2" t="str">
        <v>-</v>
      </c>
      <c r="CP19" s="2" t="str">
        <v>박성현</v>
      </c>
      <c r="CQ19" s="2" t="str">
        <v>-</v>
      </c>
      <c r="CR19" s="2" t="str">
        <v>-</v>
      </c>
      <c r="CS19" s="2" t="str">
        <v>이기수</v>
      </c>
      <c r="CT19" s="2" t="str">
        <v>-</v>
      </c>
      <c r="CU19" s="2" t="str">
        <v>-</v>
      </c>
      <c r="CV19" s="2" t="str">
        <v>정윤준</v>
      </c>
      <c r="CW19" s="2" t="str">
        <v>-</v>
      </c>
      <c r="CX19" s="2" t="str">
        <v>-</v>
      </c>
      <c r="CY19" s="2" t="str">
        <v>-</v>
      </c>
      <c r="CZ19" s="2" t="str">
        <v>-</v>
      </c>
      <c r="DA19" s="2" t="str">
        <v>-</v>
      </c>
      <c r="DB19" s="2" t="str">
        <v>허지웅</v>
      </c>
      <c r="DC19" s="2" t="str">
        <v>-</v>
      </c>
      <c r="DD19" s="2" t="str">
        <v>-</v>
      </c>
      <c r="DE19" s="2" t="str">
        <v>-</v>
      </c>
      <c r="DF19" s="2" t="str">
        <v>-</v>
      </c>
      <c r="DG19" s="2" t="str">
        <v>-</v>
      </c>
      <c r="DH19" s="2" t="str">
        <v>박성현</v>
      </c>
      <c r="DI19" s="2" t="str">
        <v>-</v>
      </c>
      <c r="DJ19" s="2" t="str">
        <v>-</v>
      </c>
      <c r="DK19" s="2" t="str">
        <v>이기수</v>
      </c>
      <c r="DL19" s="2" t="str">
        <v>-</v>
      </c>
      <c r="DM19" s="2" t="str">
        <v>-</v>
      </c>
      <c r="DN19" s="2" t="str">
        <v>정윤준</v>
      </c>
      <c r="DO19" s="2" t="str">
        <v>-</v>
      </c>
      <c r="DP19" s="2" t="str">
        <v>-</v>
      </c>
      <c r="DQ19" s="2" t="str">
        <v>허지웅</v>
      </c>
      <c r="DR19" s="2" t="str">
        <v>-</v>
      </c>
      <c r="DS19" s="2" t="str">
        <v>-</v>
      </c>
      <c r="DT19" s="2" t="str">
        <v>-</v>
      </c>
      <c r="DU19" s="2" t="str">
        <v>-</v>
      </c>
      <c r="DV19" s="2" t="str">
        <v>-</v>
      </c>
      <c r="DW19" s="2" t="str">
        <v>박성현</v>
      </c>
      <c r="DX19" s="2" t="str">
        <v>-</v>
      </c>
      <c r="DY19" s="2" t="str">
        <v>-</v>
      </c>
      <c r="DZ19" s="2" t="str">
        <v>-</v>
      </c>
      <c r="EA19" s="2" t="str">
        <v>-</v>
      </c>
      <c r="EB19" s="2" t="str">
        <v>-</v>
      </c>
      <c r="EC19" s="2" t="str">
        <v>이기수</v>
      </c>
      <c r="ED19" s="2" t="str">
        <v>-</v>
      </c>
      <c r="EE19" s="2" t="str">
        <v>-</v>
      </c>
      <c r="EF19" s="2" t="str">
        <v>정윤준</v>
      </c>
      <c r="EG19" s="2" t="str">
        <v>-</v>
      </c>
      <c r="EH19" s="2" t="str">
        <v>-</v>
      </c>
      <c r="EI19" s="2" t="str">
        <v>허지웅</v>
      </c>
      <c r="EJ19" s="2" t="str">
        <v>-</v>
      </c>
      <c r="EK19" s="2" t="str">
        <v>-</v>
      </c>
      <c r="EL19" s="2" t="str">
        <v>박성현</v>
      </c>
      <c r="EM19" s="2" t="str">
        <v>-</v>
      </c>
      <c r="EN19" s="2" t="str">
        <v>-</v>
      </c>
      <c r="EO19" s="2" t="str">
        <v>-</v>
      </c>
      <c r="EP19" s="2" t="str">
        <v>-</v>
      </c>
      <c r="EQ19" s="2" t="str">
        <v>-</v>
      </c>
      <c r="ER19" s="2" t="str">
        <v>이기수</v>
      </c>
      <c r="ES19" s="2" t="str">
        <v>-</v>
      </c>
      <c r="ET19" s="2" t="str">
        <v>-</v>
      </c>
      <c r="EU19" s="2" t="str">
        <v>-</v>
      </c>
      <c r="EV19" s="2" t="str">
        <v>-</v>
      </c>
      <c r="EW19" s="2" t="str">
        <v>-</v>
      </c>
      <c r="EX19" s="2" t="str">
        <v>정윤준</v>
      </c>
      <c r="EY19" s="2" t="str">
        <v>-</v>
      </c>
      <c r="EZ19" s="2" t="str">
        <v>-</v>
      </c>
      <c r="FA19" s="2" t="str">
        <v>허지웅</v>
      </c>
      <c r="FB19" s="2" t="str">
        <v>-</v>
      </c>
      <c r="FC19" s="2" t="str">
        <v>-</v>
      </c>
      <c r="FD19" s="2" t="str">
        <v>박성현</v>
      </c>
      <c r="FE19" s="2" t="str">
        <v>-</v>
      </c>
      <c r="FF19" s="2" t="str">
        <v>-</v>
      </c>
      <c r="FG19" s="2" t="str">
        <v>이기수</v>
      </c>
      <c r="FH19" s="2" t="str">
        <v>-</v>
      </c>
      <c r="FI19" s="2" t="str">
        <v>-</v>
      </c>
      <c r="FJ19" s="2" t="str">
        <v>-</v>
      </c>
      <c r="FK19" s="2" t="str">
        <v>-</v>
      </c>
      <c r="FL19" s="2" t="str">
        <v>-</v>
      </c>
      <c r="FM19" s="2" t="str">
        <v>정윤준</v>
      </c>
      <c r="FN19" s="2" t="str">
        <v>-</v>
      </c>
      <c r="FO19" s="2" t="str">
        <v>-</v>
      </c>
      <c r="FP19" s="2" t="str">
        <v>-</v>
      </c>
      <c r="FQ19" s="2" t="str">
        <v>-</v>
      </c>
      <c r="FR19" s="2" t="str">
        <v>-</v>
      </c>
      <c r="FS19" s="2" t="str">
        <v>허지웅</v>
      </c>
      <c r="FT19" s="2" t="str">
        <v>-</v>
      </c>
      <c r="FU19" s="2" t="str">
        <v>-</v>
      </c>
      <c r="FV19" s="2" t="str">
        <v>박성현</v>
      </c>
      <c r="FW19" s="2" t="str">
        <v>-</v>
      </c>
      <c r="FX19" s="2" t="str">
        <v>-</v>
      </c>
      <c r="FY19" s="2" t="str">
        <v>이기수</v>
      </c>
      <c r="FZ19" s="2" t="str">
        <v>-</v>
      </c>
      <c r="GA19" s="2" t="str">
        <v>-</v>
      </c>
      <c r="GB19" s="2" t="str">
        <v>정윤준</v>
      </c>
      <c r="GC19" s="2" t="str">
        <v>-</v>
      </c>
      <c r="GD19" s="2" t="str">
        <v>-</v>
      </c>
      <c r="GE19" s="2" t="str">
        <v>-</v>
      </c>
      <c r="GF19" s="2" t="str">
        <v>-</v>
      </c>
      <c r="GG19" s="2" t="str">
        <v>-</v>
      </c>
      <c r="GH19" s="2" t="str">
        <v>허지웅</v>
      </c>
      <c r="GI19" s="2" t="str">
        <v>-</v>
      </c>
      <c r="GJ19" s="2" t="str">
        <v>-</v>
      </c>
      <c r="GK19" s="2" t="str">
        <v>-</v>
      </c>
      <c r="GL19" s="2" t="str">
        <v>-</v>
      </c>
      <c r="GM19" s="2" t="str">
        <v>-</v>
      </c>
      <c r="GN19" s="2" t="str">
        <v>박성현</v>
      </c>
      <c r="GO19" s="2" t="str">
        <v>-</v>
      </c>
      <c r="GP19" s="2" t="str">
        <v>-</v>
      </c>
      <c r="GQ19" s="2" t="str">
        <v>-</v>
      </c>
      <c r="GR19" s="2" t="str">
        <v>-</v>
      </c>
      <c r="GS19" s="2" t="str">
        <v>-</v>
      </c>
      <c r="GT19" s="2" t="str">
        <v>이기수</v>
      </c>
      <c r="GU19" s="2" t="str">
        <v>-</v>
      </c>
      <c r="GV19" s="2" t="str">
        <v>-</v>
      </c>
      <c r="GW19" s="2" t="str">
        <v>정윤준</v>
      </c>
      <c r="GX19" s="2" t="str">
        <v>-</v>
      </c>
      <c r="GY19" s="2" t="str">
        <v>-</v>
      </c>
      <c r="GZ19" s="2" t="str">
        <v>-</v>
      </c>
      <c r="HA19" s="2" t="str">
        <v>-</v>
      </c>
      <c r="HB19" s="2" t="str">
        <v>-</v>
      </c>
      <c r="HC19" s="2" t="str">
        <v>허지웅</v>
      </c>
      <c r="HD19" s="2" t="str">
        <v>-</v>
      </c>
      <c r="HE19" s="2" t="str">
        <v>-</v>
      </c>
      <c r="HF19" s="2" t="str">
        <v>-</v>
      </c>
      <c r="HG19" s="2" t="str">
        <v>-</v>
      </c>
      <c r="HH19" s="2" t="str">
        <v>-</v>
      </c>
      <c r="HI19" s="2" t="str">
        <v>박성현</v>
      </c>
      <c r="HJ19" s="2" t="str">
        <v>-</v>
      </c>
      <c r="HK19" s="2" t="str">
        <v>-</v>
      </c>
      <c r="HL19" s="2" t="str">
        <v>이기수</v>
      </c>
      <c r="HM19" s="2" t="str">
        <v>-</v>
      </c>
      <c r="HN19" s="2" t="str">
        <v>-</v>
      </c>
      <c r="HO19" s="2" t="str">
        <v>정윤준</v>
      </c>
      <c r="HP19" s="2" t="str">
        <v>-</v>
      </c>
      <c r="HQ19" s="2" t="str">
        <v>-</v>
      </c>
      <c r="HR19" s="2" t="str">
        <v>허지웅</v>
      </c>
      <c r="HS19" s="2" t="str">
        <v>-</v>
      </c>
      <c r="HT19" s="2" t="str">
        <v>-</v>
      </c>
      <c r="HU19" s="2" t="str">
        <v>-</v>
      </c>
      <c r="HV19" s="2" t="str">
        <v>-</v>
      </c>
      <c r="HW19" s="2" t="str">
        <v>-</v>
      </c>
      <c r="HX19" s="2" t="str">
        <v>박성현</v>
      </c>
      <c r="HY19" s="2" t="str">
        <v>-</v>
      </c>
      <c r="HZ19" s="2" t="str">
        <v>-</v>
      </c>
      <c r="IA19" s="2" t="str">
        <v>-</v>
      </c>
      <c r="IB19" s="2" t="str">
        <v>-</v>
      </c>
      <c r="IC19" s="2" t="str">
        <v>-</v>
      </c>
      <c r="ID19" s="2" t="str">
        <v>이기수</v>
      </c>
      <c r="IE19" s="2" t="str">
        <v>-</v>
      </c>
      <c r="IF19" s="2" t="str">
        <v>-</v>
      </c>
      <c r="IG19" s="2" t="str">
        <v>정윤준</v>
      </c>
      <c r="IH19" s="2" t="str">
        <v>-</v>
      </c>
      <c r="II19" s="2" t="str">
        <v>-</v>
      </c>
      <c r="IJ19" s="2" t="str">
        <v>허지웅</v>
      </c>
      <c r="IK19" s="2" t="str">
        <v>-</v>
      </c>
      <c r="IL19" s="2" t="str">
        <v>-</v>
      </c>
      <c r="IM19" s="2" t="str">
        <v>박성현</v>
      </c>
      <c r="IN19" s="2" t="str">
        <v>-</v>
      </c>
      <c r="IO19" s="2" t="str">
        <v>-</v>
      </c>
      <c r="IP19" s="2" t="str">
        <v>-</v>
      </c>
      <c r="IQ19" s="2" t="str">
        <v>-</v>
      </c>
      <c r="IR19" s="2" t="str">
        <v>-</v>
      </c>
      <c r="IS19" s="2" t="str">
        <v>이기수</v>
      </c>
      <c r="IT19" s="2" t="str">
        <v>-</v>
      </c>
      <c r="IU19" s="2" t="str">
        <v>-</v>
      </c>
      <c r="IV19" s="2" t="str">
        <v>-</v>
      </c>
      <c r="IW19" s="2" t="str">
        <v>-</v>
      </c>
      <c r="IX19" s="2" t="str">
        <v>-</v>
      </c>
      <c r="IY19" s="2" t="str">
        <v>정윤준</v>
      </c>
      <c r="IZ19" s="2" t="str">
        <v>-</v>
      </c>
      <c r="JA19" s="2" t="str">
        <v>-</v>
      </c>
      <c r="JB19" s="2" t="str">
        <v>허지웅</v>
      </c>
      <c r="JC19" s="2" t="str">
        <v>-</v>
      </c>
      <c r="JD19" s="2" t="str">
        <v>-</v>
      </c>
      <c r="JE19" s="2" t="str">
        <v>박성현</v>
      </c>
      <c r="JF19" s="2" t="str">
        <v>-</v>
      </c>
      <c r="JG19" s="2" t="str">
        <v>-</v>
      </c>
      <c r="JH19" s="2" t="str">
        <v>-</v>
      </c>
      <c r="JI19" s="2" t="str">
        <v>-</v>
      </c>
      <c r="JJ19" s="2" t="str">
        <v>-</v>
      </c>
      <c r="JK19" s="2" t="str">
        <v>-</v>
      </c>
      <c r="JL19" s="2" t="str">
        <v>-</v>
      </c>
      <c r="JM19" s="2" t="str">
        <v>-</v>
      </c>
      <c r="JN19" s="2" t="str">
        <v>이기수</v>
      </c>
      <c r="JO19" s="2" t="str">
        <v>-</v>
      </c>
      <c r="JP19" s="2" t="str">
        <v>-</v>
      </c>
      <c r="JQ19" s="2" t="str">
        <v>-</v>
      </c>
      <c r="JR19" s="2" t="str">
        <v>-</v>
      </c>
      <c r="JS19" s="2" t="str">
        <v>-</v>
      </c>
      <c r="JT19" s="2" t="str">
        <v>정윤준</v>
      </c>
      <c r="JU19" s="2" t="str">
        <v>-</v>
      </c>
      <c r="JV19" s="2" t="str">
        <v>-</v>
      </c>
      <c r="JW19" s="2" t="str">
        <v>-</v>
      </c>
      <c r="JX19" s="2" t="str">
        <v>-</v>
      </c>
      <c r="JY19" s="2" t="str">
        <v>-</v>
      </c>
      <c r="JZ19" s="2" t="str">
        <v>허지웅</v>
      </c>
      <c r="KA19" s="2" t="str">
        <v>-</v>
      </c>
      <c r="KB19" s="2" t="str">
        <v>-</v>
      </c>
      <c r="KC19" s="2" t="str">
        <v>박성현</v>
      </c>
      <c r="KD19" s="2" t="str">
        <v>-</v>
      </c>
      <c r="KE19" s="2" t="str">
        <v>-</v>
      </c>
      <c r="KF19" s="2" t="str">
        <v>-</v>
      </c>
      <c r="KG19" s="2" t="str">
        <v>-</v>
      </c>
      <c r="KH19" s="2" t="str">
        <v>-</v>
      </c>
      <c r="KI19" s="2" t="str">
        <v>이기수</v>
      </c>
      <c r="KJ19" s="2" t="str">
        <v>-</v>
      </c>
      <c r="KK19" s="2" t="str">
        <v>-</v>
      </c>
      <c r="KL19" s="2" t="str">
        <v>-</v>
      </c>
      <c r="KM19" s="2" t="str">
        <v>-</v>
      </c>
      <c r="KN19" s="2" t="str">
        <v>-</v>
      </c>
      <c r="KO19" s="2" t="str">
        <v>정윤준</v>
      </c>
      <c r="KP19" s="2" t="str">
        <v>-</v>
      </c>
      <c r="KQ19" s="2" t="str">
        <v>-</v>
      </c>
      <c r="KR19" s="2" t="str">
        <v>허지웅</v>
      </c>
      <c r="KS19" s="2" t="str">
        <v>-</v>
      </c>
      <c r="KT19" s="2" t="str">
        <v>-</v>
      </c>
      <c r="KU19" s="2" t="str">
        <v>박성현</v>
      </c>
      <c r="KV19" s="2" t="str">
        <v>-</v>
      </c>
      <c r="KW19" s="2" t="str">
        <v>-</v>
      </c>
      <c r="KX19" s="2" t="str">
        <v>이기수</v>
      </c>
      <c r="KY19" s="2" t="str">
        <v>-</v>
      </c>
      <c r="KZ19" s="2" t="str">
        <v>-</v>
      </c>
      <c r="LA19" s="2" t="str">
        <v>-</v>
      </c>
      <c r="LB19" s="2" t="str">
        <v>-</v>
      </c>
      <c r="LC19" s="2" t="str">
        <v>-</v>
      </c>
      <c r="LD19" s="2" t="str">
        <v>정윤준</v>
      </c>
      <c r="LE19" s="2" t="str">
        <v>-</v>
      </c>
      <c r="LF19" s="2" t="str">
        <v>-</v>
      </c>
      <c r="LG19" s="2" t="str">
        <v>-</v>
      </c>
      <c r="LH19" s="2" t="str">
        <v>-</v>
      </c>
      <c r="LI19" s="2" t="str">
        <v>-</v>
      </c>
      <c r="LJ19" s="2" t="str">
        <v>허지웅</v>
      </c>
      <c r="LK19" s="2" t="str">
        <v>-</v>
      </c>
      <c r="LL19" s="2" t="str">
        <v>-</v>
      </c>
      <c r="LM19" s="2" t="str">
        <v>박성현</v>
      </c>
      <c r="LN19" s="2" t="str">
        <v>-</v>
      </c>
      <c r="LO19" s="2" t="str">
        <v>-</v>
      </c>
      <c r="LP19" s="2" t="str">
        <v>이기수</v>
      </c>
      <c r="LQ19" s="2" t="str">
        <v>-</v>
      </c>
      <c r="LR19" s="2" t="str">
        <v>-</v>
      </c>
      <c r="LS19" s="2" t="str">
        <v>정윤준</v>
      </c>
      <c r="LT19" s="2" t="str">
        <v>-</v>
      </c>
      <c r="LU19" s="2" t="str">
        <v>-</v>
      </c>
      <c r="LV19" s="2" t="str">
        <v>-</v>
      </c>
      <c r="LW19" s="2" t="str">
        <v>-</v>
      </c>
      <c r="LX19" s="2" t="str">
        <v>-</v>
      </c>
      <c r="LY19" s="2" t="str">
        <v>허지웅</v>
      </c>
      <c r="LZ19" s="2" t="str">
        <v>-</v>
      </c>
      <c r="MA19" s="2" t="str">
        <v>-</v>
      </c>
      <c r="MB19" s="2" t="str">
        <v>-</v>
      </c>
      <c r="MC19" s="2" t="str">
        <v>-</v>
      </c>
      <c r="MD19" s="2" t="str">
        <v>-</v>
      </c>
      <c r="ME19" s="2" t="str">
        <v>박성현</v>
      </c>
      <c r="MF19" s="2" t="str">
        <v>-</v>
      </c>
      <c r="MG19" s="2" t="str">
        <v>-</v>
      </c>
      <c r="MH19" s="2" t="str">
        <v>이기수</v>
      </c>
      <c r="MI19" s="2" t="str">
        <v>-</v>
      </c>
      <c r="MJ19" s="2" t="str">
        <v>-</v>
      </c>
      <c r="MK19" s="2" t="str">
        <v>정윤준</v>
      </c>
      <c r="ML19" s="2" t="str">
        <v>-</v>
      </c>
      <c r="MM19" s="2" t="str">
        <v>-</v>
      </c>
      <c r="MN19" s="2" t="str">
        <v>허지웅</v>
      </c>
      <c r="MO19" s="2" t="str">
        <v>-</v>
      </c>
      <c r="MP19" s="2" t="str">
        <v>-</v>
      </c>
      <c r="MQ19" s="2" t="str">
        <v>-</v>
      </c>
      <c r="MR19" s="2" t="str">
        <v>-</v>
      </c>
      <c r="MS19" s="2" t="str">
        <v>-</v>
      </c>
      <c r="MT19" s="2" t="str">
        <v>박성현</v>
      </c>
      <c r="MU19" s="2" t="str">
        <v>-</v>
      </c>
      <c r="MV19" s="2" t="str">
        <v>-</v>
      </c>
      <c r="MW19" s="2" t="str">
        <v>-</v>
      </c>
      <c r="MX19" s="2" t="str">
        <v>-</v>
      </c>
      <c r="MY19" s="2" t="str">
        <v>-</v>
      </c>
      <c r="MZ19" s="2" t="str">
        <v>이기수</v>
      </c>
      <c r="NA19" s="2" t="str">
        <v>-</v>
      </c>
      <c r="NB19" s="2" t="str">
        <v>-</v>
      </c>
      <c r="NC19" s="2" t="str">
        <v>정윤준</v>
      </c>
      <c r="ND19" s="2" t="e">
        <v>#N/A</v>
      </c>
    </row>
    <row r="20" spans="1:368" hidden="1">
      <c r="A20" s="3" t="str">
        <v>주간근무
외곽3
(5명근무시)</v>
      </c>
      <c r="B20" s="2" t="str">
        <v>-</v>
      </c>
      <c r="C20" s="2" t="str">
        <v>-</v>
      </c>
      <c r="D20" s="2" t="str">
        <v>-</v>
      </c>
      <c r="E20" s="2" t="str">
        <v>-</v>
      </c>
      <c r="F20" s="2" t="str">
        <v>-</v>
      </c>
      <c r="G20" s="2" t="str">
        <v>이기수</v>
      </c>
      <c r="H20" s="2" t="str">
        <v>-</v>
      </c>
      <c r="I20" s="2" t="str">
        <v>-</v>
      </c>
      <c r="J20" s="2" t="str">
        <v>정윤준</v>
      </c>
      <c r="K20" s="2" t="str">
        <v>-</v>
      </c>
      <c r="L20" s="2" t="str">
        <v>-</v>
      </c>
      <c r="M20" s="2" t="str">
        <v>허지웅</v>
      </c>
      <c r="N20" s="2" t="str">
        <v>-</v>
      </c>
      <c r="O20" s="2" t="str">
        <v>-</v>
      </c>
      <c r="P20" s="2" t="e">
        <v>#VALUE!</v>
      </c>
      <c r="Q20" s="2" t="str">
        <v>-</v>
      </c>
      <c r="R20" s="2" t="str">
        <v>-</v>
      </c>
      <c r="S20" s="2" t="str">
        <v>-</v>
      </c>
      <c r="T20" s="2" t="str">
        <v>-</v>
      </c>
      <c r="U20" s="2" t="str">
        <v>-</v>
      </c>
      <c r="V20" s="2" t="str">
        <v>장혁진</v>
      </c>
      <c r="W20" s="2" t="str">
        <v>-</v>
      </c>
      <c r="X20" s="2" t="str">
        <v>-</v>
      </c>
      <c r="Y20" s="2" t="str">
        <v>-</v>
      </c>
      <c r="Z20" s="2" t="str">
        <v>-</v>
      </c>
      <c r="AA20" s="2" t="str">
        <v>-</v>
      </c>
      <c r="AB20" s="2" t="str">
        <v>이기수</v>
      </c>
      <c r="AC20" s="2" t="str">
        <v>-</v>
      </c>
      <c r="AD20" s="2" t="str">
        <v>-</v>
      </c>
      <c r="AE20" s="2" t="str">
        <v>정윤준</v>
      </c>
      <c r="AF20" s="2" t="str">
        <v>-</v>
      </c>
      <c r="AG20" s="2" t="str">
        <v>-</v>
      </c>
      <c r="AH20" s="2" t="str">
        <v>허지웅</v>
      </c>
      <c r="AI20" s="2" t="str">
        <v>-</v>
      </c>
      <c r="AJ20" s="2" t="str">
        <v>-</v>
      </c>
      <c r="AK20" s="2" t="e">
        <v>#VALUE!</v>
      </c>
      <c r="AL20" s="2" t="str">
        <v>-</v>
      </c>
      <c r="AM20" s="2" t="str">
        <v>-</v>
      </c>
      <c r="AN20" s="2" t="str">
        <v>-</v>
      </c>
      <c r="AO20" s="2" t="str">
        <v>-</v>
      </c>
      <c r="AP20" s="2" t="str">
        <v>-</v>
      </c>
      <c r="AQ20" s="2" t="str">
        <v>장혁진</v>
      </c>
      <c r="AR20" s="2" t="str">
        <v>-</v>
      </c>
      <c r="AS20" s="2" t="str">
        <v>-</v>
      </c>
      <c r="AT20" s="2" t="str">
        <v>-</v>
      </c>
      <c r="AU20" s="2" t="str">
        <v>-</v>
      </c>
      <c r="AV20" s="2" t="str">
        <v>-</v>
      </c>
      <c r="AW20" s="2" t="str">
        <v>-</v>
      </c>
      <c r="AX20" s="2" t="str">
        <v>-</v>
      </c>
      <c r="AY20" s="2" t="str">
        <v>-</v>
      </c>
      <c r="AZ20" s="2" t="str">
        <v>이기수</v>
      </c>
      <c r="BA20" s="2" t="str">
        <v>-</v>
      </c>
      <c r="BB20" s="2" t="str">
        <v>-</v>
      </c>
      <c r="BC20" s="2" t="str">
        <v>정윤준</v>
      </c>
      <c r="BD20" s="2" t="str">
        <v>-</v>
      </c>
      <c r="BE20" s="2" t="str">
        <v>-</v>
      </c>
      <c r="BF20" s="2" t="str">
        <v>허지웅</v>
      </c>
      <c r="BG20" s="2" t="str">
        <v>-</v>
      </c>
      <c r="BH20" s="2" t="str">
        <v>-</v>
      </c>
      <c r="BI20" s="2" t="str">
        <v>-</v>
      </c>
      <c r="BJ20" s="2" t="str">
        <v>-</v>
      </c>
      <c r="BK20" s="2" t="str">
        <v>-</v>
      </c>
      <c r="BL20" s="2" t="e">
        <v>#VALUE!</v>
      </c>
      <c r="BM20" s="2" t="str">
        <v>-</v>
      </c>
      <c r="BN20" s="2" t="str">
        <v>-</v>
      </c>
      <c r="BO20" s="2" t="str">
        <v>-</v>
      </c>
      <c r="BP20" s="2" t="str">
        <v>-</v>
      </c>
      <c r="BQ20" s="2" t="str">
        <v>-</v>
      </c>
      <c r="BR20" s="2" t="str">
        <v>장혁진</v>
      </c>
      <c r="BS20" s="2" t="str">
        <v>-</v>
      </c>
      <c r="BT20" s="2" t="str">
        <v>-</v>
      </c>
      <c r="BU20" s="2" t="str">
        <v>이기수</v>
      </c>
      <c r="BV20" s="2" t="str">
        <v>-</v>
      </c>
      <c r="BW20" s="2" t="str">
        <v>-</v>
      </c>
      <c r="BX20" s="2" t="str">
        <v>정윤준</v>
      </c>
      <c r="BY20" s="2" t="str">
        <v>-</v>
      </c>
      <c r="BZ20" s="2" t="str">
        <v>-</v>
      </c>
      <c r="CA20" s="2" t="str">
        <v>허지웅</v>
      </c>
      <c r="CB20" s="2" t="str">
        <v>-</v>
      </c>
      <c r="CC20" s="2" t="str">
        <v>-</v>
      </c>
      <c r="CD20" s="2" t="str">
        <v>-</v>
      </c>
      <c r="CE20" s="2" t="str">
        <v>-</v>
      </c>
      <c r="CF20" s="2" t="str">
        <v>-</v>
      </c>
      <c r="CG20" s="2" t="e">
        <v>#VALUE!</v>
      </c>
      <c r="CH20" s="2" t="str">
        <v>-</v>
      </c>
      <c r="CI20" s="2" t="str">
        <v>-</v>
      </c>
      <c r="CJ20" s="2" t="str">
        <v>-</v>
      </c>
      <c r="CK20" s="2" t="str">
        <v>-</v>
      </c>
      <c r="CL20" s="2" t="str">
        <v>-</v>
      </c>
      <c r="CM20" s="2" t="str">
        <v>장혁진</v>
      </c>
      <c r="CN20" s="2" t="str">
        <v>-</v>
      </c>
      <c r="CO20" s="2" t="str">
        <v>-</v>
      </c>
      <c r="CP20" s="2" t="str">
        <v>이기수</v>
      </c>
      <c r="CQ20" s="2" t="str">
        <v>-</v>
      </c>
      <c r="CR20" s="2" t="str">
        <v>-</v>
      </c>
      <c r="CS20" s="2" t="str">
        <v>정윤준</v>
      </c>
      <c r="CT20" s="2" t="str">
        <v>-</v>
      </c>
      <c r="CU20" s="2" t="str">
        <v>-</v>
      </c>
      <c r="CV20" s="2" t="str">
        <v>허지웅</v>
      </c>
      <c r="CW20" s="2" t="str">
        <v>-</v>
      </c>
      <c r="CX20" s="2" t="str">
        <v>-</v>
      </c>
      <c r="CY20" s="2" t="str">
        <v>-</v>
      </c>
      <c r="CZ20" s="2" t="str">
        <v>-</v>
      </c>
      <c r="DA20" s="2" t="str">
        <v>-</v>
      </c>
      <c r="DB20" s="2" t="e">
        <v>#VALUE!</v>
      </c>
      <c r="DC20" s="2" t="str">
        <v>-</v>
      </c>
      <c r="DD20" s="2" t="str">
        <v>-</v>
      </c>
      <c r="DE20" s="2" t="str">
        <v>-</v>
      </c>
      <c r="DF20" s="2" t="str">
        <v>-</v>
      </c>
      <c r="DG20" s="2" t="str">
        <v>-</v>
      </c>
      <c r="DH20" s="2" t="str">
        <v>장혁진</v>
      </c>
      <c r="DI20" s="2" t="str">
        <v>-</v>
      </c>
      <c r="DJ20" s="2" t="str">
        <v>-</v>
      </c>
      <c r="DK20" s="2" t="str">
        <v>이기수</v>
      </c>
      <c r="DL20" s="2" t="str">
        <v>-</v>
      </c>
      <c r="DM20" s="2" t="str">
        <v>-</v>
      </c>
      <c r="DN20" s="2" t="str">
        <v>정윤준</v>
      </c>
      <c r="DO20" s="2" t="str">
        <v>-</v>
      </c>
      <c r="DP20" s="2" t="str">
        <v>-</v>
      </c>
      <c r="DQ20" s="2" t="str">
        <v>허지웅</v>
      </c>
      <c r="DR20" s="2" t="str">
        <v>-</v>
      </c>
      <c r="DS20" s="2" t="str">
        <v>-</v>
      </c>
      <c r="DT20" s="2" t="str">
        <v>-</v>
      </c>
      <c r="DU20" s="2" t="str">
        <v>-</v>
      </c>
      <c r="DV20" s="2" t="str">
        <v>-</v>
      </c>
      <c r="DW20" s="2" t="e">
        <v>#VALUE!</v>
      </c>
      <c r="DX20" s="2" t="str">
        <v>-</v>
      </c>
      <c r="DY20" s="2" t="str">
        <v>-</v>
      </c>
      <c r="DZ20" s="2" t="str">
        <v>-</v>
      </c>
      <c r="EA20" s="2" t="str">
        <v>-</v>
      </c>
      <c r="EB20" s="2" t="str">
        <v>-</v>
      </c>
      <c r="EC20" s="2" t="str">
        <v>장혁진</v>
      </c>
      <c r="ED20" s="2" t="str">
        <v>-</v>
      </c>
      <c r="EE20" s="2" t="str">
        <v>-</v>
      </c>
      <c r="EF20" s="2" t="str">
        <v>이기수</v>
      </c>
      <c r="EG20" s="2" t="str">
        <v>-</v>
      </c>
      <c r="EH20" s="2" t="str">
        <v>-</v>
      </c>
      <c r="EI20" s="2" t="str">
        <v>정윤준</v>
      </c>
      <c r="EJ20" s="2" t="str">
        <v>-</v>
      </c>
      <c r="EK20" s="2" t="str">
        <v>-</v>
      </c>
      <c r="EL20" s="2" t="str">
        <v>허지웅</v>
      </c>
      <c r="EM20" s="2" t="str">
        <v>-</v>
      </c>
      <c r="EN20" s="2" t="str">
        <v>-</v>
      </c>
      <c r="EO20" s="2" t="str">
        <v>-</v>
      </c>
      <c r="EP20" s="2" t="str">
        <v>-</v>
      </c>
      <c r="EQ20" s="2" t="str">
        <v>-</v>
      </c>
      <c r="ER20" s="2" t="e">
        <v>#VALUE!</v>
      </c>
      <c r="ES20" s="2" t="str">
        <v>-</v>
      </c>
      <c r="ET20" s="2" t="str">
        <v>-</v>
      </c>
      <c r="EU20" s="2" t="str">
        <v>-</v>
      </c>
      <c r="EV20" s="2" t="str">
        <v>-</v>
      </c>
      <c r="EW20" s="2" t="str">
        <v>-</v>
      </c>
      <c r="EX20" s="2" t="str">
        <v>장혁진</v>
      </c>
      <c r="EY20" s="2" t="str">
        <v>-</v>
      </c>
      <c r="EZ20" s="2" t="str">
        <v>-</v>
      </c>
      <c r="FA20" s="2" t="str">
        <v>이기수</v>
      </c>
      <c r="FB20" s="2" t="str">
        <v>-</v>
      </c>
      <c r="FC20" s="2" t="str">
        <v>-</v>
      </c>
      <c r="FD20" s="2" t="str">
        <v>정윤준</v>
      </c>
      <c r="FE20" s="2" t="str">
        <v>-</v>
      </c>
      <c r="FF20" s="2" t="str">
        <v>-</v>
      </c>
      <c r="FG20" s="2" t="str">
        <v>허지웅</v>
      </c>
      <c r="FH20" s="2" t="str">
        <v>-</v>
      </c>
      <c r="FI20" s="2" t="str">
        <v>-</v>
      </c>
      <c r="FJ20" s="2" t="str">
        <v>-</v>
      </c>
      <c r="FK20" s="2" t="str">
        <v>-</v>
      </c>
      <c r="FL20" s="2" t="str">
        <v>-</v>
      </c>
      <c r="FM20" s="2" t="e">
        <v>#VALUE!</v>
      </c>
      <c r="FN20" s="2" t="str">
        <v>-</v>
      </c>
      <c r="FO20" s="2" t="str">
        <v>-</v>
      </c>
      <c r="FP20" s="2" t="str">
        <v>-</v>
      </c>
      <c r="FQ20" s="2" t="str">
        <v>-</v>
      </c>
      <c r="FR20" s="2" t="str">
        <v>-</v>
      </c>
      <c r="FS20" s="2" t="str">
        <v>장혁진</v>
      </c>
      <c r="FT20" s="2" t="str">
        <v>-</v>
      </c>
      <c r="FU20" s="2" t="str">
        <v>-</v>
      </c>
      <c r="FV20" s="2" t="str">
        <v>이기수</v>
      </c>
      <c r="FW20" s="2" t="str">
        <v>-</v>
      </c>
      <c r="FX20" s="2" t="str">
        <v>-</v>
      </c>
      <c r="FY20" s="2" t="str">
        <v>정윤준</v>
      </c>
      <c r="FZ20" s="2" t="str">
        <v>-</v>
      </c>
      <c r="GA20" s="2" t="str">
        <v>-</v>
      </c>
      <c r="GB20" s="2" t="str">
        <v>허지웅</v>
      </c>
      <c r="GC20" s="2" t="str">
        <v>-</v>
      </c>
      <c r="GD20" s="2" t="str">
        <v>-</v>
      </c>
      <c r="GE20" s="2" t="str">
        <v>-</v>
      </c>
      <c r="GF20" s="2" t="str">
        <v>-</v>
      </c>
      <c r="GG20" s="2" t="str">
        <v>-</v>
      </c>
      <c r="GH20" s="2" t="e">
        <v>#VALUE!</v>
      </c>
      <c r="GI20" s="2" t="str">
        <v>-</v>
      </c>
      <c r="GJ20" s="2" t="str">
        <v>-</v>
      </c>
      <c r="GK20" s="2" t="str">
        <v>-</v>
      </c>
      <c r="GL20" s="2" t="str">
        <v>-</v>
      </c>
      <c r="GM20" s="2" t="str">
        <v>-</v>
      </c>
      <c r="GN20" s="2" t="str">
        <v>장혁진</v>
      </c>
      <c r="GO20" s="2" t="str">
        <v>-</v>
      </c>
      <c r="GP20" s="2" t="str">
        <v>-</v>
      </c>
      <c r="GQ20" s="2" t="str">
        <v>-</v>
      </c>
      <c r="GR20" s="2" t="str">
        <v>-</v>
      </c>
      <c r="GS20" s="2" t="str">
        <v>-</v>
      </c>
      <c r="GT20" s="2" t="str">
        <v>이기수</v>
      </c>
      <c r="GU20" s="2" t="str">
        <v>-</v>
      </c>
      <c r="GV20" s="2" t="str">
        <v>-</v>
      </c>
      <c r="GW20" s="2" t="str">
        <v>정윤준</v>
      </c>
      <c r="GX20" s="2" t="str">
        <v>-</v>
      </c>
      <c r="GY20" s="2" t="str">
        <v>-</v>
      </c>
      <c r="GZ20" s="2" t="str">
        <v>-</v>
      </c>
      <c r="HA20" s="2" t="str">
        <v>-</v>
      </c>
      <c r="HB20" s="2" t="str">
        <v>-</v>
      </c>
      <c r="HC20" s="2" t="str">
        <v>허지웅</v>
      </c>
      <c r="HD20" s="2" t="str">
        <v>-</v>
      </c>
      <c r="HE20" s="2" t="str">
        <v>-</v>
      </c>
      <c r="HF20" s="2" t="str">
        <v>-</v>
      </c>
      <c r="HG20" s="2" t="str">
        <v>-</v>
      </c>
      <c r="HH20" s="2" t="str">
        <v>-</v>
      </c>
      <c r="HI20" s="2" t="e">
        <v>#VALUE!</v>
      </c>
      <c r="HJ20" s="2" t="str">
        <v>-</v>
      </c>
      <c r="HK20" s="2" t="str">
        <v>-</v>
      </c>
      <c r="HL20" s="2" t="str">
        <v>장혁진</v>
      </c>
      <c r="HM20" s="2" t="str">
        <v>-</v>
      </c>
      <c r="HN20" s="2" t="str">
        <v>-</v>
      </c>
      <c r="HO20" s="2" t="str">
        <v>이기수</v>
      </c>
      <c r="HP20" s="2" t="str">
        <v>-</v>
      </c>
      <c r="HQ20" s="2" t="str">
        <v>-</v>
      </c>
      <c r="HR20" s="2" t="str">
        <v>정윤준</v>
      </c>
      <c r="HS20" s="2" t="str">
        <v>-</v>
      </c>
      <c r="HT20" s="2" t="str">
        <v>-</v>
      </c>
      <c r="HU20" s="2" t="str">
        <v>-</v>
      </c>
      <c r="HV20" s="2" t="str">
        <v>-</v>
      </c>
      <c r="HW20" s="2" t="str">
        <v>-</v>
      </c>
      <c r="HX20" s="2" t="str">
        <v>허지웅</v>
      </c>
      <c r="HY20" s="2" t="str">
        <v>-</v>
      </c>
      <c r="HZ20" s="2" t="str">
        <v>-</v>
      </c>
      <c r="IA20" s="2" t="str">
        <v>-</v>
      </c>
      <c r="IB20" s="2" t="str">
        <v>-</v>
      </c>
      <c r="IC20" s="2" t="str">
        <v>-</v>
      </c>
      <c r="ID20" s="2" t="e">
        <v>#VALUE!</v>
      </c>
      <c r="IE20" s="2" t="str">
        <v>-</v>
      </c>
      <c r="IF20" s="2" t="str">
        <v>-</v>
      </c>
      <c r="IG20" s="2" t="str">
        <v>장혁진</v>
      </c>
      <c r="IH20" s="2" t="str">
        <v>-</v>
      </c>
      <c r="II20" s="2" t="str">
        <v>-</v>
      </c>
      <c r="IJ20" s="2" t="str">
        <v>이기수</v>
      </c>
      <c r="IK20" s="2" t="str">
        <v>-</v>
      </c>
      <c r="IL20" s="2" t="str">
        <v>-</v>
      </c>
      <c r="IM20" s="2" t="str">
        <v>정윤준</v>
      </c>
      <c r="IN20" s="2" t="str">
        <v>-</v>
      </c>
      <c r="IO20" s="2" t="str">
        <v>-</v>
      </c>
      <c r="IP20" s="2" t="str">
        <v>-</v>
      </c>
      <c r="IQ20" s="2" t="str">
        <v>-</v>
      </c>
      <c r="IR20" s="2" t="str">
        <v>-</v>
      </c>
      <c r="IS20" s="2" t="str">
        <v>허지웅</v>
      </c>
      <c r="IT20" s="2" t="str">
        <v>-</v>
      </c>
      <c r="IU20" s="2" t="str">
        <v>-</v>
      </c>
      <c r="IV20" s="2" t="str">
        <v>-</v>
      </c>
      <c r="IW20" s="2" t="str">
        <v>-</v>
      </c>
      <c r="IX20" s="2" t="str">
        <v>-</v>
      </c>
      <c r="IY20" s="2" t="e">
        <v>#VALUE!</v>
      </c>
      <c r="IZ20" s="2" t="str">
        <v>-</v>
      </c>
      <c r="JA20" s="2" t="str">
        <v>-</v>
      </c>
      <c r="JB20" s="2" t="str">
        <v>장혁진</v>
      </c>
      <c r="JC20" s="2" t="str">
        <v>-</v>
      </c>
      <c r="JD20" s="2" t="str">
        <v>-</v>
      </c>
      <c r="JE20" s="2" t="str">
        <v>이기수</v>
      </c>
      <c r="JF20" s="2" t="str">
        <v>-</v>
      </c>
      <c r="JG20" s="2" t="str">
        <v>-</v>
      </c>
      <c r="JH20" s="2" t="str">
        <v>-</v>
      </c>
      <c r="JI20" s="2" t="str">
        <v>-</v>
      </c>
      <c r="JJ20" s="2" t="str">
        <v>-</v>
      </c>
      <c r="JK20" s="2" t="str">
        <v>-</v>
      </c>
      <c r="JL20" s="2" t="str">
        <v>-</v>
      </c>
      <c r="JM20" s="2" t="str">
        <v>-</v>
      </c>
      <c r="JN20" s="2" t="str">
        <v>정윤준</v>
      </c>
      <c r="JO20" s="2" t="str">
        <v>-</v>
      </c>
      <c r="JP20" s="2" t="str">
        <v>-</v>
      </c>
      <c r="JQ20" s="2" t="str">
        <v>-</v>
      </c>
      <c r="JR20" s="2" t="str">
        <v>-</v>
      </c>
      <c r="JS20" s="2" t="str">
        <v>-</v>
      </c>
      <c r="JT20" s="2" t="str">
        <v>허지웅</v>
      </c>
      <c r="JU20" s="2" t="str">
        <v>-</v>
      </c>
      <c r="JV20" s="2" t="str">
        <v>-</v>
      </c>
      <c r="JW20" s="2" t="str">
        <v>-</v>
      </c>
      <c r="JX20" s="2" t="str">
        <v>-</v>
      </c>
      <c r="JY20" s="2" t="str">
        <v>-</v>
      </c>
      <c r="JZ20" s="2" t="e">
        <v>#VALUE!</v>
      </c>
      <c r="KA20" s="2" t="str">
        <v>-</v>
      </c>
      <c r="KB20" s="2" t="str">
        <v>-</v>
      </c>
      <c r="KC20" s="2" t="str">
        <v>장혁진</v>
      </c>
      <c r="KD20" s="2" t="str">
        <v>-</v>
      </c>
      <c r="KE20" s="2" t="str">
        <v>-</v>
      </c>
      <c r="KF20" s="2" t="str">
        <v>-</v>
      </c>
      <c r="KG20" s="2" t="str">
        <v>-</v>
      </c>
      <c r="KH20" s="2" t="str">
        <v>-</v>
      </c>
      <c r="KI20" s="2" t="str">
        <v>이기수</v>
      </c>
      <c r="KJ20" s="2" t="str">
        <v>-</v>
      </c>
      <c r="KK20" s="2" t="str">
        <v>-</v>
      </c>
      <c r="KL20" s="2" t="str">
        <v>-</v>
      </c>
      <c r="KM20" s="2" t="str">
        <v>-</v>
      </c>
      <c r="KN20" s="2" t="str">
        <v>-</v>
      </c>
      <c r="KO20" s="2" t="str">
        <v>정윤준</v>
      </c>
      <c r="KP20" s="2" t="str">
        <v>-</v>
      </c>
      <c r="KQ20" s="2" t="str">
        <v>-</v>
      </c>
      <c r="KR20" s="2" t="str">
        <v>허지웅</v>
      </c>
      <c r="KS20" s="2" t="str">
        <v>-</v>
      </c>
      <c r="KT20" s="2" t="str">
        <v>-</v>
      </c>
      <c r="KU20" s="2" t="e">
        <v>#VALUE!</v>
      </c>
      <c r="KV20" s="2" t="str">
        <v>-</v>
      </c>
      <c r="KW20" s="2" t="str">
        <v>-</v>
      </c>
      <c r="KX20" s="2" t="str">
        <v>장혁진</v>
      </c>
      <c r="KY20" s="2" t="str">
        <v>-</v>
      </c>
      <c r="KZ20" s="2" t="str">
        <v>-</v>
      </c>
      <c r="LA20" s="2" t="str">
        <v>-</v>
      </c>
      <c r="LB20" s="2" t="str">
        <v>-</v>
      </c>
      <c r="LC20" s="2" t="str">
        <v>-</v>
      </c>
      <c r="LD20" s="2" t="str">
        <v>이기수</v>
      </c>
      <c r="LE20" s="2" t="str">
        <v>-</v>
      </c>
      <c r="LF20" s="2" t="str">
        <v>-</v>
      </c>
      <c r="LG20" s="2" t="str">
        <v>-</v>
      </c>
      <c r="LH20" s="2" t="str">
        <v>-</v>
      </c>
      <c r="LI20" s="2" t="str">
        <v>-</v>
      </c>
      <c r="LJ20" s="2" t="str">
        <v>정윤준</v>
      </c>
      <c r="LK20" s="2" t="str">
        <v>-</v>
      </c>
      <c r="LL20" s="2" t="str">
        <v>-</v>
      </c>
      <c r="LM20" s="2" t="str">
        <v>허지웅</v>
      </c>
      <c r="LN20" s="2" t="str">
        <v>-</v>
      </c>
      <c r="LO20" s="2" t="str">
        <v>-</v>
      </c>
      <c r="LP20" s="2" t="e">
        <v>#VALUE!</v>
      </c>
      <c r="LQ20" s="2" t="str">
        <v>-</v>
      </c>
      <c r="LR20" s="2" t="str">
        <v>-</v>
      </c>
      <c r="LS20" s="2" t="str">
        <v>장혁진</v>
      </c>
      <c r="LT20" s="2" t="str">
        <v>-</v>
      </c>
      <c r="LU20" s="2" t="str">
        <v>-</v>
      </c>
      <c r="LV20" s="2" t="str">
        <v>-</v>
      </c>
      <c r="LW20" s="2" t="str">
        <v>-</v>
      </c>
      <c r="LX20" s="2" t="str">
        <v>-</v>
      </c>
      <c r="LY20" s="2" t="str">
        <v>이기수</v>
      </c>
      <c r="LZ20" s="2" t="str">
        <v>-</v>
      </c>
      <c r="MA20" s="2" t="str">
        <v>-</v>
      </c>
      <c r="MB20" s="2" t="str">
        <v>-</v>
      </c>
      <c r="MC20" s="2" t="str">
        <v>-</v>
      </c>
      <c r="MD20" s="2" t="str">
        <v>-</v>
      </c>
      <c r="ME20" s="2" t="str">
        <v>정윤준</v>
      </c>
      <c r="MF20" s="2" t="str">
        <v>-</v>
      </c>
      <c r="MG20" s="2" t="str">
        <v>-</v>
      </c>
      <c r="MH20" s="2" t="str">
        <v>허지웅</v>
      </c>
      <c r="MI20" s="2" t="str">
        <v>-</v>
      </c>
      <c r="MJ20" s="2" t="str">
        <v>-</v>
      </c>
      <c r="MK20" s="2" t="e">
        <v>#VALUE!</v>
      </c>
      <c r="ML20" s="2" t="str">
        <v>-</v>
      </c>
      <c r="MM20" s="2" t="str">
        <v>-</v>
      </c>
      <c r="MN20" s="2" t="str">
        <v>장혁진</v>
      </c>
      <c r="MO20" s="2" t="str">
        <v>-</v>
      </c>
      <c r="MP20" s="2" t="str">
        <v>-</v>
      </c>
      <c r="MQ20" s="2" t="str">
        <v>-</v>
      </c>
      <c r="MR20" s="2" t="str">
        <v>-</v>
      </c>
      <c r="MS20" s="2" t="str">
        <v>-</v>
      </c>
      <c r="MT20" s="2" t="str">
        <v>이기수</v>
      </c>
      <c r="MU20" s="2" t="str">
        <v>-</v>
      </c>
      <c r="MV20" s="2" t="str">
        <v>-</v>
      </c>
      <c r="MW20" s="2" t="str">
        <v>-</v>
      </c>
      <c r="MX20" s="2" t="str">
        <v>-</v>
      </c>
      <c r="MY20" s="2" t="str">
        <v>-</v>
      </c>
      <c r="MZ20" s="2" t="str">
        <v>정윤준</v>
      </c>
      <c r="NA20" s="2" t="str">
        <v>-</v>
      </c>
      <c r="NB20" s="2" t="str">
        <v>-</v>
      </c>
      <c r="NC20" s="2" t="str">
        <v>허지웅</v>
      </c>
      <c r="ND20" s="2" t="e">
        <v>#N/A</v>
      </c>
    </row>
    <row r="21" spans="1:368" hidden="1">
      <c r="A21" s="3" t="str">
        <v>야간
여부</v>
      </c>
      <c r="B21" s="2">
        <v>1</v>
      </c>
      <c r="C21" s="2" t="str">
        <v/>
      </c>
      <c r="D21" s="2" t="str">
        <v/>
      </c>
      <c r="E21" s="2">
        <v>1</v>
      </c>
      <c r="F21" s="2" t="str">
        <v/>
      </c>
      <c r="G21" s="2" t="str">
        <v/>
      </c>
      <c r="H21" s="2">
        <v>1</v>
      </c>
      <c r="I21" s="2" t="str">
        <v/>
      </c>
      <c r="J21" s="2" t="str">
        <v/>
      </c>
      <c r="K21" s="2">
        <v>1</v>
      </c>
      <c r="L21" s="2" t="str">
        <v/>
      </c>
      <c r="M21" s="2" t="str">
        <v/>
      </c>
      <c r="N21" s="2">
        <v>1</v>
      </c>
      <c r="O21" s="2" t="str">
        <v/>
      </c>
      <c r="P21" s="2" t="str">
        <v/>
      </c>
      <c r="Q21" s="2">
        <v>1</v>
      </c>
      <c r="R21" s="2" t="str">
        <v/>
      </c>
      <c r="S21" s="2" t="str">
        <v/>
      </c>
      <c r="T21" s="2">
        <v>1</v>
      </c>
      <c r="U21" s="2" t="str">
        <v/>
      </c>
      <c r="V21" s="2" t="str">
        <v/>
      </c>
      <c r="W21" s="2">
        <v>1</v>
      </c>
      <c r="X21" s="2" t="str">
        <v/>
      </c>
      <c r="Y21" s="2" t="str">
        <v/>
      </c>
      <c r="Z21" s="2">
        <v>1</v>
      </c>
      <c r="AA21" s="2" t="str">
        <v/>
      </c>
      <c r="AB21" s="2" t="str">
        <v/>
      </c>
      <c r="AC21" s="2">
        <v>1</v>
      </c>
      <c r="AD21" s="2" t="str">
        <v/>
      </c>
      <c r="AE21" s="2" t="str">
        <v/>
      </c>
      <c r="AF21" s="2">
        <v>1</v>
      </c>
      <c r="AG21" s="2" t="str">
        <v/>
      </c>
      <c r="AH21" s="2" t="str">
        <v/>
      </c>
      <c r="AI21" s="2">
        <v>1</v>
      </c>
      <c r="AJ21" s="2" t="str">
        <v/>
      </c>
      <c r="AK21" s="2" t="str">
        <v/>
      </c>
      <c r="AL21" s="2">
        <v>1</v>
      </c>
      <c r="AM21" s="2" t="str">
        <v/>
      </c>
      <c r="AN21" s="2" t="str">
        <v/>
      </c>
      <c r="AO21" s="2">
        <v>1</v>
      </c>
      <c r="AP21" s="2" t="str">
        <v/>
      </c>
      <c r="AQ21" s="2" t="str">
        <v/>
      </c>
      <c r="AR21" s="2">
        <v>1</v>
      </c>
      <c r="AS21" s="2" t="str">
        <v/>
      </c>
      <c r="AT21" s="2" t="str">
        <v/>
      </c>
      <c r="AU21" s="2">
        <v>1</v>
      </c>
      <c r="AV21" s="2" t="str">
        <v/>
      </c>
      <c r="AW21" s="2" t="str">
        <v/>
      </c>
      <c r="AX21" s="2">
        <v>1</v>
      </c>
      <c r="AY21" s="2" t="str">
        <v/>
      </c>
      <c r="AZ21" s="2" t="str">
        <v/>
      </c>
      <c r="BA21" s="2">
        <v>1</v>
      </c>
      <c r="BB21" s="2" t="str">
        <v/>
      </c>
      <c r="BC21" s="2" t="str">
        <v/>
      </c>
      <c r="BD21" s="2">
        <v>1</v>
      </c>
      <c r="BE21" s="2" t="str">
        <v/>
      </c>
      <c r="BF21" s="2" t="str">
        <v/>
      </c>
      <c r="BG21" s="2">
        <v>1</v>
      </c>
      <c r="BH21" s="2" t="str">
        <v/>
      </c>
      <c r="BI21" s="2" t="str">
        <v/>
      </c>
      <c r="BJ21" s="2">
        <v>1</v>
      </c>
      <c r="BK21" s="2" t="str">
        <v/>
      </c>
      <c r="BL21" s="2" t="str">
        <v/>
      </c>
      <c r="BM21" s="2">
        <v>1</v>
      </c>
      <c r="BN21" s="2" t="str">
        <v/>
      </c>
      <c r="BO21" s="2" t="str">
        <v/>
      </c>
      <c r="BP21" s="2">
        <v>1</v>
      </c>
      <c r="BQ21" s="2" t="str">
        <v/>
      </c>
      <c r="BR21" s="2" t="str">
        <v/>
      </c>
      <c r="BS21" s="2">
        <v>1</v>
      </c>
      <c r="BT21" s="2" t="str">
        <v/>
      </c>
      <c r="BU21" s="2" t="str">
        <v/>
      </c>
      <c r="BV21" s="2">
        <v>1</v>
      </c>
      <c r="BW21" s="2" t="str">
        <v/>
      </c>
      <c r="BX21" s="2" t="str">
        <v/>
      </c>
      <c r="BY21" s="2">
        <v>1</v>
      </c>
      <c r="BZ21" s="2" t="str">
        <v/>
      </c>
      <c r="CA21" s="2" t="str">
        <v/>
      </c>
      <c r="CB21" s="2">
        <v>1</v>
      </c>
      <c r="CC21" s="2" t="str">
        <v/>
      </c>
      <c r="CD21" s="2" t="str">
        <v/>
      </c>
      <c r="CE21" s="2">
        <v>1</v>
      </c>
      <c r="CF21" s="2" t="str">
        <v/>
      </c>
      <c r="CG21" s="2" t="str">
        <v/>
      </c>
      <c r="CH21" s="2">
        <v>1</v>
      </c>
      <c r="CI21" s="2" t="str">
        <v/>
      </c>
      <c r="CJ21" s="2" t="str">
        <v/>
      </c>
      <c r="CK21" s="2">
        <v>1</v>
      </c>
      <c r="CL21" s="2" t="str">
        <v/>
      </c>
      <c r="CM21" s="2" t="str">
        <v/>
      </c>
      <c r="CN21" s="2">
        <v>1</v>
      </c>
      <c r="CO21" s="2" t="str">
        <v/>
      </c>
      <c r="CP21" s="2" t="str">
        <v/>
      </c>
      <c r="CQ21" s="2">
        <v>1</v>
      </c>
      <c r="CR21" s="2" t="str">
        <v/>
      </c>
      <c r="CS21" s="2" t="str">
        <v/>
      </c>
      <c r="CT21" s="2">
        <v>1</v>
      </c>
      <c r="CU21" s="2" t="str">
        <v/>
      </c>
      <c r="CV21" s="2" t="str">
        <v/>
      </c>
      <c r="CW21" s="2">
        <v>1</v>
      </c>
      <c r="CX21" s="2" t="str">
        <v/>
      </c>
      <c r="CY21" s="2" t="str">
        <v/>
      </c>
      <c r="CZ21" s="2">
        <v>1</v>
      </c>
      <c r="DA21" s="2" t="str">
        <v/>
      </c>
      <c r="DB21" s="2" t="str">
        <v/>
      </c>
      <c r="DC21" s="2">
        <v>1</v>
      </c>
      <c r="DD21" s="2" t="str">
        <v/>
      </c>
      <c r="DE21" s="2" t="str">
        <v/>
      </c>
      <c r="DF21" s="2">
        <v>1</v>
      </c>
      <c r="DG21" s="2" t="str">
        <v/>
      </c>
      <c r="DH21" s="2" t="str">
        <v/>
      </c>
      <c r="DI21" s="2">
        <v>1</v>
      </c>
      <c r="DJ21" s="2" t="str">
        <v/>
      </c>
      <c r="DK21" s="2" t="str">
        <v/>
      </c>
      <c r="DL21" s="2">
        <v>1</v>
      </c>
      <c r="DM21" s="2" t="str">
        <v/>
      </c>
      <c r="DN21" s="2" t="str">
        <v/>
      </c>
      <c r="DO21" s="2">
        <v>1</v>
      </c>
      <c r="DP21" s="2" t="str">
        <v/>
      </c>
      <c r="DQ21" s="2" t="str">
        <v/>
      </c>
      <c r="DR21" s="2">
        <v>1</v>
      </c>
      <c r="DS21" s="2" t="str">
        <v/>
      </c>
      <c r="DT21" s="2" t="str">
        <v/>
      </c>
      <c r="DU21" s="2">
        <v>1</v>
      </c>
      <c r="DV21" s="2" t="str">
        <v/>
      </c>
      <c r="DW21" s="2" t="str">
        <v/>
      </c>
      <c r="DX21" s="2">
        <v>1</v>
      </c>
      <c r="DY21" s="2" t="str">
        <v/>
      </c>
      <c r="DZ21" s="2" t="str">
        <v/>
      </c>
      <c r="EA21" s="2">
        <v>1</v>
      </c>
      <c r="EB21" s="2" t="str">
        <v/>
      </c>
      <c r="EC21" s="2" t="str">
        <v/>
      </c>
      <c r="ED21" s="2">
        <v>1</v>
      </c>
      <c r="EE21" s="2" t="str">
        <v/>
      </c>
      <c r="EF21" s="2" t="str">
        <v/>
      </c>
      <c r="EG21" s="2">
        <v>1</v>
      </c>
      <c r="EH21" s="2" t="str">
        <v/>
      </c>
      <c r="EI21" s="2" t="str">
        <v/>
      </c>
      <c r="EJ21" s="2">
        <v>1</v>
      </c>
      <c r="EK21" s="2" t="str">
        <v/>
      </c>
      <c r="EL21" s="2" t="str">
        <v/>
      </c>
      <c r="EM21" s="2">
        <v>1</v>
      </c>
      <c r="EN21" s="2" t="str">
        <v/>
      </c>
      <c r="EO21" s="2" t="str">
        <v/>
      </c>
      <c r="EP21" s="2">
        <v>1</v>
      </c>
      <c r="EQ21" s="2" t="str">
        <v/>
      </c>
      <c r="ER21" s="2" t="str">
        <v/>
      </c>
      <c r="ES21" s="2">
        <v>1</v>
      </c>
      <c r="ET21" s="2" t="str">
        <v/>
      </c>
      <c r="EU21" s="2" t="str">
        <v/>
      </c>
      <c r="EV21" s="2">
        <v>1</v>
      </c>
      <c r="EW21" s="2" t="str">
        <v/>
      </c>
      <c r="EX21" s="2" t="str">
        <v/>
      </c>
      <c r="EY21" s="2">
        <v>1</v>
      </c>
      <c r="EZ21" s="2" t="str">
        <v/>
      </c>
      <c r="FA21" s="2" t="str">
        <v/>
      </c>
      <c r="FB21" s="2">
        <v>1</v>
      </c>
      <c r="FC21" s="2" t="str">
        <v/>
      </c>
      <c r="FD21" s="2" t="str">
        <v/>
      </c>
      <c r="FE21" s="2">
        <v>1</v>
      </c>
      <c r="FF21" s="2" t="str">
        <v/>
      </c>
      <c r="FG21" s="2" t="str">
        <v/>
      </c>
      <c r="FH21" s="2">
        <v>1</v>
      </c>
      <c r="FI21" s="2" t="str">
        <v/>
      </c>
      <c r="FJ21" s="2" t="str">
        <v/>
      </c>
      <c r="FK21" s="2">
        <v>1</v>
      </c>
      <c r="FL21" s="2" t="str">
        <v/>
      </c>
      <c r="FM21" s="2" t="str">
        <v/>
      </c>
      <c r="FN21" s="2">
        <v>1</v>
      </c>
      <c r="FO21" s="2" t="str">
        <v/>
      </c>
      <c r="FP21" s="2" t="str">
        <v/>
      </c>
      <c r="FQ21" s="2">
        <v>1</v>
      </c>
      <c r="FR21" s="2" t="str">
        <v/>
      </c>
      <c r="FS21" s="2" t="str">
        <v/>
      </c>
      <c r="FT21" s="2">
        <v>1</v>
      </c>
      <c r="FU21" s="2" t="str">
        <v/>
      </c>
      <c r="FV21" s="2" t="str">
        <v/>
      </c>
      <c r="FW21" s="2">
        <v>1</v>
      </c>
      <c r="FX21" s="2" t="str">
        <v/>
      </c>
      <c r="FY21" s="2" t="str">
        <v/>
      </c>
      <c r="FZ21" s="2">
        <v>1</v>
      </c>
      <c r="GA21" s="2" t="str">
        <v/>
      </c>
      <c r="GB21" s="2" t="str">
        <v/>
      </c>
      <c r="GC21" s="2">
        <v>1</v>
      </c>
      <c r="GD21" s="2" t="str">
        <v/>
      </c>
      <c r="GE21" s="2" t="str">
        <v/>
      </c>
      <c r="GF21" s="2">
        <v>1</v>
      </c>
      <c r="GG21" s="2" t="str">
        <v/>
      </c>
      <c r="GH21" s="2" t="str">
        <v/>
      </c>
      <c r="GI21" s="2">
        <v>1</v>
      </c>
      <c r="GJ21" s="2" t="str">
        <v/>
      </c>
      <c r="GK21" s="2" t="str">
        <v/>
      </c>
      <c r="GL21" s="2">
        <v>1</v>
      </c>
      <c r="GM21" s="2" t="str">
        <v/>
      </c>
      <c r="GN21" s="2" t="str">
        <v/>
      </c>
      <c r="GO21" s="2">
        <v>1</v>
      </c>
      <c r="GP21" s="2" t="str">
        <v/>
      </c>
      <c r="GQ21" s="2" t="str">
        <v/>
      </c>
      <c r="GR21" s="2">
        <v>1</v>
      </c>
      <c r="GS21" s="2" t="str">
        <v/>
      </c>
      <c r="GT21" s="2" t="str">
        <v/>
      </c>
      <c r="GU21" s="2">
        <v>1</v>
      </c>
      <c r="GV21" s="2" t="str">
        <v/>
      </c>
      <c r="GW21" s="2" t="str">
        <v/>
      </c>
      <c r="GX21" s="2">
        <v>1</v>
      </c>
      <c r="GY21" s="2" t="str">
        <v/>
      </c>
      <c r="GZ21" s="2" t="str">
        <v/>
      </c>
      <c r="HA21" s="2">
        <v>1</v>
      </c>
      <c r="HB21" s="2" t="str">
        <v/>
      </c>
      <c r="HC21" s="2" t="str">
        <v/>
      </c>
      <c r="HD21" s="2">
        <v>1</v>
      </c>
      <c r="HE21" s="2" t="str">
        <v/>
      </c>
      <c r="HF21" s="2" t="str">
        <v/>
      </c>
      <c r="HG21" s="2">
        <v>1</v>
      </c>
      <c r="HH21" s="2" t="str">
        <v/>
      </c>
      <c r="HI21" s="2" t="str">
        <v/>
      </c>
      <c r="HJ21" s="2">
        <v>1</v>
      </c>
      <c r="HK21" s="2" t="str">
        <v/>
      </c>
      <c r="HL21" s="2" t="str">
        <v/>
      </c>
      <c r="HM21" s="2">
        <v>1</v>
      </c>
      <c r="HN21" s="2" t="str">
        <v/>
      </c>
      <c r="HO21" s="2" t="str">
        <v/>
      </c>
      <c r="HP21" s="2">
        <v>1</v>
      </c>
      <c r="HQ21" s="2" t="str">
        <v/>
      </c>
      <c r="HR21" s="2" t="str">
        <v/>
      </c>
      <c r="HS21" s="2">
        <v>1</v>
      </c>
      <c r="HT21" s="2" t="str">
        <v/>
      </c>
      <c r="HU21" s="2" t="str">
        <v/>
      </c>
      <c r="HV21" s="2">
        <v>1</v>
      </c>
      <c r="HW21" s="2" t="str">
        <v/>
      </c>
      <c r="HX21" s="2" t="str">
        <v/>
      </c>
      <c r="HY21" s="2">
        <v>1</v>
      </c>
      <c r="HZ21" s="2" t="str">
        <v/>
      </c>
      <c r="IA21" s="2" t="str">
        <v/>
      </c>
      <c r="IB21" s="2">
        <v>1</v>
      </c>
      <c r="IC21" s="2" t="str">
        <v/>
      </c>
      <c r="ID21" s="2" t="str">
        <v/>
      </c>
      <c r="IE21" s="2">
        <v>1</v>
      </c>
      <c r="IF21" s="2" t="str">
        <v/>
      </c>
      <c r="IG21" s="2" t="str">
        <v/>
      </c>
      <c r="IH21" s="2">
        <v>1</v>
      </c>
      <c r="II21" s="2" t="str">
        <v/>
      </c>
      <c r="IJ21" s="2" t="str">
        <v/>
      </c>
      <c r="IK21" s="2">
        <v>1</v>
      </c>
      <c r="IL21" s="2" t="str">
        <v/>
      </c>
      <c r="IM21" s="2" t="str">
        <v/>
      </c>
      <c r="IN21" s="2">
        <v>1</v>
      </c>
      <c r="IO21" s="2" t="str">
        <v/>
      </c>
      <c r="IP21" s="2" t="str">
        <v/>
      </c>
      <c r="IQ21" s="2">
        <v>1</v>
      </c>
      <c r="IR21" s="2" t="str">
        <v/>
      </c>
      <c r="IS21" s="2" t="str">
        <v/>
      </c>
      <c r="IT21" s="2">
        <v>1</v>
      </c>
      <c r="IU21" s="2" t="str">
        <v/>
      </c>
      <c r="IV21" s="2" t="str">
        <v/>
      </c>
      <c r="IW21" s="2">
        <v>1</v>
      </c>
      <c r="IX21" s="2" t="str">
        <v/>
      </c>
      <c r="IY21" s="2" t="str">
        <v/>
      </c>
      <c r="IZ21" s="2">
        <v>1</v>
      </c>
      <c r="JA21" s="2" t="str">
        <v/>
      </c>
      <c r="JB21" s="2" t="str">
        <v/>
      </c>
      <c r="JC21" s="2">
        <v>1</v>
      </c>
      <c r="JD21" s="2" t="str">
        <v/>
      </c>
      <c r="JE21" s="2" t="str">
        <v/>
      </c>
      <c r="JF21" s="2">
        <v>1</v>
      </c>
      <c r="JG21" s="2" t="str">
        <v/>
      </c>
      <c r="JH21" s="2" t="str">
        <v/>
      </c>
      <c r="JI21" s="2">
        <v>1</v>
      </c>
      <c r="JJ21" s="2" t="str">
        <v/>
      </c>
      <c r="JK21" s="2" t="str">
        <v/>
      </c>
      <c r="JL21" s="2">
        <v>1</v>
      </c>
      <c r="JM21" s="2" t="str">
        <v/>
      </c>
      <c r="JN21" s="2" t="str">
        <v/>
      </c>
      <c r="JO21" s="2">
        <v>1</v>
      </c>
      <c r="JP21" s="2" t="str">
        <v/>
      </c>
      <c r="JQ21" s="2" t="str">
        <v/>
      </c>
      <c r="JR21" s="2">
        <v>1</v>
      </c>
      <c r="JS21" s="2" t="str">
        <v/>
      </c>
      <c r="JT21" s="2" t="str">
        <v/>
      </c>
      <c r="JU21" s="2">
        <v>1</v>
      </c>
      <c r="JV21" s="2" t="str">
        <v/>
      </c>
      <c r="JW21" s="2" t="str">
        <v/>
      </c>
      <c r="JX21" s="2">
        <v>1</v>
      </c>
      <c r="JY21" s="2" t="str">
        <v/>
      </c>
      <c r="JZ21" s="2" t="str">
        <v/>
      </c>
      <c r="KA21" s="2">
        <v>1</v>
      </c>
      <c r="KB21" s="2" t="str">
        <v/>
      </c>
      <c r="KC21" s="2" t="str">
        <v/>
      </c>
      <c r="KD21" s="2">
        <v>1</v>
      </c>
      <c r="KE21" s="2" t="str">
        <v/>
      </c>
      <c r="KF21" s="2" t="str">
        <v/>
      </c>
      <c r="KG21" s="2">
        <v>1</v>
      </c>
      <c r="KH21" s="2" t="str">
        <v/>
      </c>
      <c r="KI21" s="2" t="str">
        <v/>
      </c>
      <c r="KJ21" s="2">
        <v>1</v>
      </c>
      <c r="KK21" s="2" t="str">
        <v/>
      </c>
      <c r="KL21" s="2" t="str">
        <v/>
      </c>
      <c r="KM21" s="2">
        <v>1</v>
      </c>
      <c r="KN21" s="2" t="str">
        <v/>
      </c>
      <c r="KO21" s="2" t="str">
        <v/>
      </c>
      <c r="KP21" s="2">
        <v>1</v>
      </c>
      <c r="KQ21" s="2" t="str">
        <v/>
      </c>
      <c r="KR21" s="2" t="str">
        <v/>
      </c>
      <c r="KS21" s="2">
        <v>1</v>
      </c>
      <c r="KT21" s="2" t="str">
        <v/>
      </c>
      <c r="KU21" s="2" t="str">
        <v/>
      </c>
      <c r="KV21" s="2">
        <v>1</v>
      </c>
      <c r="KW21" s="2" t="str">
        <v/>
      </c>
      <c r="KX21" s="2" t="str">
        <v/>
      </c>
      <c r="KY21" s="2">
        <v>1</v>
      </c>
      <c r="KZ21" s="2" t="str">
        <v/>
      </c>
      <c r="LA21" s="2" t="str">
        <v/>
      </c>
      <c r="LB21" s="2">
        <v>1</v>
      </c>
      <c r="LC21" s="2" t="str">
        <v/>
      </c>
      <c r="LD21" s="2" t="str">
        <v/>
      </c>
      <c r="LE21" s="2">
        <v>1</v>
      </c>
      <c r="LF21" s="2" t="str">
        <v/>
      </c>
      <c r="LG21" s="2" t="str">
        <v/>
      </c>
      <c r="LH21" s="2">
        <v>1</v>
      </c>
      <c r="LI21" s="2" t="str">
        <v/>
      </c>
      <c r="LJ21" s="2" t="str">
        <v/>
      </c>
      <c r="LK21" s="2">
        <v>1</v>
      </c>
      <c r="LL21" s="2" t="str">
        <v/>
      </c>
      <c r="LM21" s="2" t="str">
        <v/>
      </c>
      <c r="LN21" s="2">
        <v>1</v>
      </c>
      <c r="LO21" s="2" t="str">
        <v/>
      </c>
      <c r="LP21" s="2" t="str">
        <v/>
      </c>
      <c r="LQ21" s="2">
        <v>1</v>
      </c>
      <c r="LR21" s="2" t="str">
        <v/>
      </c>
      <c r="LS21" s="2" t="str">
        <v/>
      </c>
      <c r="LT21" s="2">
        <v>1</v>
      </c>
      <c r="LU21" s="2" t="str">
        <v/>
      </c>
      <c r="LV21" s="2" t="str">
        <v/>
      </c>
      <c r="LW21" s="2">
        <v>1</v>
      </c>
      <c r="LX21" s="2" t="str">
        <v/>
      </c>
      <c r="LY21" s="2" t="str">
        <v/>
      </c>
      <c r="LZ21" s="2">
        <v>1</v>
      </c>
      <c r="MA21" s="2" t="str">
        <v/>
      </c>
      <c r="MB21" s="2" t="str">
        <v/>
      </c>
      <c r="MC21" s="2">
        <v>1</v>
      </c>
      <c r="MD21" s="2" t="str">
        <v/>
      </c>
      <c r="ME21" s="2" t="str">
        <v/>
      </c>
      <c r="MF21" s="2">
        <v>1</v>
      </c>
      <c r="MG21" s="2" t="str">
        <v/>
      </c>
      <c r="MH21" s="2" t="str">
        <v/>
      </c>
      <c r="MI21" s="2">
        <v>1</v>
      </c>
      <c r="MJ21" s="2" t="str">
        <v/>
      </c>
      <c r="MK21" s="2" t="str">
        <v/>
      </c>
      <c r="ML21" s="2">
        <v>1</v>
      </c>
      <c r="MM21" s="2" t="str">
        <v/>
      </c>
      <c r="MN21" s="2" t="str">
        <v/>
      </c>
      <c r="MO21" s="2">
        <v>1</v>
      </c>
      <c r="MP21" s="2" t="str">
        <v/>
      </c>
      <c r="MQ21" s="2" t="str">
        <v/>
      </c>
      <c r="MR21" s="2">
        <v>1</v>
      </c>
      <c r="MS21" s="2" t="str">
        <v/>
      </c>
      <c r="MT21" s="2" t="str">
        <v/>
      </c>
      <c r="MU21" s="2">
        <v>1</v>
      </c>
      <c r="MV21" s="2" t="str">
        <v/>
      </c>
      <c r="MW21" s="2" t="str">
        <v/>
      </c>
      <c r="MX21" s="2">
        <v>1</v>
      </c>
      <c r="MY21" s="2" t="str">
        <v/>
      </c>
      <c r="MZ21" s="2" t="str">
        <v/>
      </c>
      <c r="NA21" s="2">
        <v>1</v>
      </c>
      <c r="NB21" s="2" t="str">
        <v/>
      </c>
      <c r="NC21" s="2" t="str">
        <v/>
      </c>
      <c r="ND21" s="2" t="e">
        <v>#N/A</v>
      </c>
    </row>
    <row r="22" spans="1:368" hidden="1">
      <c r="A22" s="3" t="str">
        <v>야간
개수</v>
      </c>
      <c r="B22" s="2">
        <v>1</v>
      </c>
      <c r="C22" s="2" t="str">
        <v/>
      </c>
      <c r="D22" s="2" t="str">
        <v/>
      </c>
      <c r="E22" s="2">
        <v>2</v>
      </c>
      <c r="F22" s="2" t="str">
        <v/>
      </c>
      <c r="G22" s="2" t="str">
        <v/>
      </c>
      <c r="H22" s="2">
        <v>3</v>
      </c>
      <c r="I22" s="2" t="str">
        <v/>
      </c>
      <c r="J22" s="2" t="str">
        <v/>
      </c>
      <c r="K22" s="2">
        <v>4</v>
      </c>
      <c r="L22" s="2" t="str">
        <v/>
      </c>
      <c r="M22" s="2" t="str">
        <v/>
      </c>
      <c r="N22" s="2">
        <v>5</v>
      </c>
      <c r="O22" s="2" t="str">
        <v/>
      </c>
      <c r="P22" s="2" t="str">
        <v/>
      </c>
      <c r="Q22" s="2">
        <v>6</v>
      </c>
      <c r="R22" s="2" t="str">
        <v/>
      </c>
      <c r="S22" s="2" t="str">
        <v/>
      </c>
      <c r="T22" s="2">
        <v>7</v>
      </c>
      <c r="U22" s="2" t="str">
        <v/>
      </c>
      <c r="V22" s="2" t="str">
        <v/>
      </c>
      <c r="W22" s="2">
        <v>8</v>
      </c>
      <c r="X22" s="2" t="str">
        <v/>
      </c>
      <c r="Y22" s="2" t="str">
        <v/>
      </c>
      <c r="Z22" s="2">
        <v>9</v>
      </c>
      <c r="AA22" s="2" t="str">
        <v/>
      </c>
      <c r="AB22" s="2" t="str">
        <v/>
      </c>
      <c r="AC22" s="2">
        <v>10</v>
      </c>
      <c r="AD22" s="2" t="str">
        <v/>
      </c>
      <c r="AE22" s="2" t="str">
        <v/>
      </c>
      <c r="AF22" s="2">
        <v>11</v>
      </c>
      <c r="AG22" s="2" t="str">
        <v/>
      </c>
      <c r="AH22" s="2" t="str">
        <v/>
      </c>
      <c r="AI22" s="2">
        <v>12</v>
      </c>
      <c r="AJ22" s="2" t="str">
        <v/>
      </c>
      <c r="AK22" s="2" t="str">
        <v/>
      </c>
      <c r="AL22" s="2">
        <v>13</v>
      </c>
      <c r="AM22" s="2" t="str">
        <v/>
      </c>
      <c r="AN22" s="2" t="str">
        <v/>
      </c>
      <c r="AO22" s="2">
        <v>14</v>
      </c>
      <c r="AP22" s="2" t="str">
        <v/>
      </c>
      <c r="AQ22" s="2" t="str">
        <v/>
      </c>
      <c r="AR22" s="2">
        <v>15</v>
      </c>
      <c r="AS22" s="2" t="str">
        <v/>
      </c>
      <c r="AT22" s="2" t="str">
        <v/>
      </c>
      <c r="AU22" s="2">
        <v>16</v>
      </c>
      <c r="AV22" s="2" t="str">
        <v/>
      </c>
      <c r="AW22" s="2" t="str">
        <v/>
      </c>
      <c r="AX22" s="2">
        <v>17</v>
      </c>
      <c r="AY22" s="2" t="str">
        <v/>
      </c>
      <c r="AZ22" s="2" t="str">
        <v/>
      </c>
      <c r="BA22" s="2">
        <v>18</v>
      </c>
      <c r="BB22" s="2" t="str">
        <v/>
      </c>
      <c r="BC22" s="2" t="str">
        <v/>
      </c>
      <c r="BD22" s="2">
        <v>19</v>
      </c>
      <c r="BE22" s="2" t="str">
        <v/>
      </c>
      <c r="BF22" s="2" t="str">
        <v/>
      </c>
      <c r="BG22" s="2">
        <v>20</v>
      </c>
      <c r="BH22" s="2" t="str">
        <v/>
      </c>
      <c r="BI22" s="2" t="str">
        <v/>
      </c>
      <c r="BJ22" s="2">
        <v>21</v>
      </c>
      <c r="BK22" s="2" t="str">
        <v/>
      </c>
      <c r="BL22" s="2" t="str">
        <v/>
      </c>
      <c r="BM22" s="2">
        <v>22</v>
      </c>
      <c r="BN22" s="2" t="str">
        <v/>
      </c>
      <c r="BO22" s="2" t="str">
        <v/>
      </c>
      <c r="BP22" s="2">
        <v>23</v>
      </c>
      <c r="BQ22" s="2" t="str">
        <v/>
      </c>
      <c r="BR22" s="2" t="str">
        <v/>
      </c>
      <c r="BS22" s="2">
        <v>24</v>
      </c>
      <c r="BT22" s="2" t="str">
        <v/>
      </c>
      <c r="BU22" s="2" t="str">
        <v/>
      </c>
      <c r="BV22" s="2">
        <v>25</v>
      </c>
      <c r="BW22" s="2" t="str">
        <v/>
      </c>
      <c r="BX22" s="2" t="str">
        <v/>
      </c>
      <c r="BY22" s="2">
        <v>26</v>
      </c>
      <c r="BZ22" s="2" t="str">
        <v/>
      </c>
      <c r="CA22" s="2" t="str">
        <v/>
      </c>
      <c r="CB22" s="2">
        <v>27</v>
      </c>
      <c r="CC22" s="2" t="str">
        <v/>
      </c>
      <c r="CD22" s="2" t="str">
        <v/>
      </c>
      <c r="CE22" s="2">
        <v>28</v>
      </c>
      <c r="CF22" s="2" t="str">
        <v/>
      </c>
      <c r="CG22" s="2" t="str">
        <v/>
      </c>
      <c r="CH22" s="2">
        <v>29</v>
      </c>
      <c r="CI22" s="2" t="str">
        <v/>
      </c>
      <c r="CJ22" s="2" t="str">
        <v/>
      </c>
      <c r="CK22" s="2">
        <v>30</v>
      </c>
      <c r="CL22" s="2" t="str">
        <v/>
      </c>
      <c r="CM22" s="2" t="str">
        <v/>
      </c>
      <c r="CN22" s="2">
        <v>31</v>
      </c>
      <c r="CO22" s="2" t="str">
        <v/>
      </c>
      <c r="CP22" s="2" t="str">
        <v/>
      </c>
      <c r="CQ22" s="2">
        <v>32</v>
      </c>
      <c r="CR22" s="2" t="str">
        <v/>
      </c>
      <c r="CS22" s="2" t="str">
        <v/>
      </c>
      <c r="CT22" s="2">
        <v>33</v>
      </c>
      <c r="CU22" s="2" t="str">
        <v/>
      </c>
      <c r="CV22" s="2" t="str">
        <v/>
      </c>
      <c r="CW22" s="2">
        <v>34</v>
      </c>
      <c r="CX22" s="2" t="str">
        <v/>
      </c>
      <c r="CY22" s="2" t="str">
        <v/>
      </c>
      <c r="CZ22" s="2">
        <v>35</v>
      </c>
      <c r="DA22" s="2" t="str">
        <v/>
      </c>
      <c r="DB22" s="2" t="str">
        <v/>
      </c>
      <c r="DC22" s="2">
        <v>36</v>
      </c>
      <c r="DD22" s="2" t="str">
        <v/>
      </c>
      <c r="DE22" s="2" t="str">
        <v/>
      </c>
      <c r="DF22" s="2">
        <v>37</v>
      </c>
      <c r="DG22" s="2" t="str">
        <v/>
      </c>
      <c r="DH22" s="2" t="str">
        <v/>
      </c>
      <c r="DI22" s="2">
        <v>38</v>
      </c>
      <c r="DJ22" s="2" t="str">
        <v/>
      </c>
      <c r="DK22" s="2" t="str">
        <v/>
      </c>
      <c r="DL22" s="2">
        <v>39</v>
      </c>
      <c r="DM22" s="2" t="str">
        <v/>
      </c>
      <c r="DN22" s="2" t="str">
        <v/>
      </c>
      <c r="DO22" s="2">
        <v>40</v>
      </c>
      <c r="DP22" s="2" t="str">
        <v/>
      </c>
      <c r="DQ22" s="2" t="str">
        <v/>
      </c>
      <c r="DR22" s="2">
        <v>41</v>
      </c>
      <c r="DS22" s="2" t="str">
        <v/>
      </c>
      <c r="DT22" s="2" t="str">
        <v/>
      </c>
      <c r="DU22" s="2">
        <v>42</v>
      </c>
      <c r="DV22" s="2" t="str">
        <v/>
      </c>
      <c r="DW22" s="2" t="str">
        <v/>
      </c>
      <c r="DX22" s="2">
        <v>43</v>
      </c>
      <c r="DY22" s="2" t="str">
        <v/>
      </c>
      <c r="DZ22" s="2" t="str">
        <v/>
      </c>
      <c r="EA22" s="2">
        <v>44</v>
      </c>
      <c r="EB22" s="2" t="str">
        <v/>
      </c>
      <c r="EC22" s="2" t="str">
        <v/>
      </c>
      <c r="ED22" s="2">
        <v>45</v>
      </c>
      <c r="EE22" s="2" t="str">
        <v/>
      </c>
      <c r="EF22" s="2" t="str">
        <v/>
      </c>
      <c r="EG22" s="2">
        <v>46</v>
      </c>
      <c r="EH22" s="2" t="str">
        <v/>
      </c>
      <c r="EI22" s="2" t="str">
        <v/>
      </c>
      <c r="EJ22" s="2">
        <v>47</v>
      </c>
      <c r="EK22" s="2" t="str">
        <v/>
      </c>
      <c r="EL22" s="2" t="str">
        <v/>
      </c>
      <c r="EM22" s="2">
        <v>48</v>
      </c>
      <c r="EN22" s="2" t="str">
        <v/>
      </c>
      <c r="EO22" s="2" t="str">
        <v/>
      </c>
      <c r="EP22" s="2">
        <v>49</v>
      </c>
      <c r="EQ22" s="2" t="str">
        <v/>
      </c>
      <c r="ER22" s="2" t="str">
        <v/>
      </c>
      <c r="ES22" s="2">
        <v>50</v>
      </c>
      <c r="ET22" s="2" t="str">
        <v/>
      </c>
      <c r="EU22" s="2" t="str">
        <v/>
      </c>
      <c r="EV22" s="2">
        <v>51</v>
      </c>
      <c r="EW22" s="2" t="str">
        <v/>
      </c>
      <c r="EX22" s="2" t="str">
        <v/>
      </c>
      <c r="EY22" s="2">
        <v>52</v>
      </c>
      <c r="EZ22" s="2" t="str">
        <v/>
      </c>
      <c r="FA22" s="2" t="str">
        <v/>
      </c>
      <c r="FB22" s="2">
        <v>53</v>
      </c>
      <c r="FC22" s="2" t="str">
        <v/>
      </c>
      <c r="FD22" s="2" t="str">
        <v/>
      </c>
      <c r="FE22" s="2">
        <v>54</v>
      </c>
      <c r="FF22" s="2" t="str">
        <v/>
      </c>
      <c r="FG22" s="2" t="str">
        <v/>
      </c>
      <c r="FH22" s="2">
        <v>55</v>
      </c>
      <c r="FI22" s="2" t="str">
        <v/>
      </c>
      <c r="FJ22" s="2" t="str">
        <v/>
      </c>
      <c r="FK22" s="2">
        <v>56</v>
      </c>
      <c r="FL22" s="2" t="str">
        <v/>
      </c>
      <c r="FM22" s="2" t="str">
        <v/>
      </c>
      <c r="FN22" s="2">
        <v>57</v>
      </c>
      <c r="FO22" s="2" t="str">
        <v/>
      </c>
      <c r="FP22" s="2" t="str">
        <v/>
      </c>
      <c r="FQ22" s="2">
        <v>58</v>
      </c>
      <c r="FR22" s="2" t="str">
        <v/>
      </c>
      <c r="FS22" s="2" t="str">
        <v/>
      </c>
      <c r="FT22" s="2">
        <v>59</v>
      </c>
      <c r="FU22" s="2" t="str">
        <v/>
      </c>
      <c r="FV22" s="2" t="str">
        <v/>
      </c>
      <c r="FW22" s="2">
        <v>60</v>
      </c>
      <c r="FX22" s="2" t="str">
        <v/>
      </c>
      <c r="FY22" s="2" t="str">
        <v/>
      </c>
      <c r="FZ22" s="2">
        <v>61</v>
      </c>
      <c r="GA22" s="2" t="str">
        <v/>
      </c>
      <c r="GB22" s="2" t="str">
        <v/>
      </c>
      <c r="GC22" s="2">
        <v>62</v>
      </c>
      <c r="GD22" s="2" t="str">
        <v/>
      </c>
      <c r="GE22" s="2" t="str">
        <v/>
      </c>
      <c r="GF22" s="2">
        <v>63</v>
      </c>
      <c r="GG22" s="2" t="str">
        <v/>
      </c>
      <c r="GH22" s="2" t="str">
        <v/>
      </c>
      <c r="GI22" s="2">
        <v>64</v>
      </c>
      <c r="GJ22" s="2" t="str">
        <v/>
      </c>
      <c r="GK22" s="2" t="str">
        <v/>
      </c>
      <c r="GL22" s="2">
        <v>65</v>
      </c>
      <c r="GM22" s="2" t="str">
        <v/>
      </c>
      <c r="GN22" s="2" t="str">
        <v/>
      </c>
      <c r="GO22" s="2">
        <v>66</v>
      </c>
      <c r="GP22" s="2" t="str">
        <v/>
      </c>
      <c r="GQ22" s="2" t="str">
        <v/>
      </c>
      <c r="GR22" s="2">
        <v>67</v>
      </c>
      <c r="GS22" s="2" t="str">
        <v/>
      </c>
      <c r="GT22" s="2" t="str">
        <v/>
      </c>
      <c r="GU22" s="2">
        <v>68</v>
      </c>
      <c r="GV22" s="2" t="str">
        <v/>
      </c>
      <c r="GW22" s="2" t="str">
        <v/>
      </c>
      <c r="GX22" s="2">
        <v>69</v>
      </c>
      <c r="GY22" s="2" t="str">
        <v/>
      </c>
      <c r="GZ22" s="2" t="str">
        <v/>
      </c>
      <c r="HA22" s="2">
        <v>70</v>
      </c>
      <c r="HB22" s="2" t="str">
        <v/>
      </c>
      <c r="HC22" s="2" t="str">
        <v/>
      </c>
      <c r="HD22" s="2">
        <v>71</v>
      </c>
      <c r="HE22" s="2" t="str">
        <v/>
      </c>
      <c r="HF22" s="2" t="str">
        <v/>
      </c>
      <c r="HG22" s="2">
        <v>72</v>
      </c>
      <c r="HH22" s="2" t="str">
        <v/>
      </c>
      <c r="HI22" s="2" t="str">
        <v/>
      </c>
      <c r="HJ22" s="2">
        <v>73</v>
      </c>
      <c r="HK22" s="2" t="str">
        <v/>
      </c>
      <c r="HL22" s="2" t="str">
        <v/>
      </c>
      <c r="HM22" s="2">
        <v>74</v>
      </c>
      <c r="HN22" s="2" t="str">
        <v/>
      </c>
      <c r="HO22" s="2" t="str">
        <v/>
      </c>
      <c r="HP22" s="2">
        <v>75</v>
      </c>
      <c r="HQ22" s="2" t="str">
        <v/>
      </c>
      <c r="HR22" s="2" t="str">
        <v/>
      </c>
      <c r="HS22" s="2">
        <v>76</v>
      </c>
      <c r="HT22" s="2" t="str">
        <v/>
      </c>
      <c r="HU22" s="2" t="str">
        <v/>
      </c>
      <c r="HV22" s="2">
        <v>77</v>
      </c>
      <c r="HW22" s="2" t="str">
        <v/>
      </c>
      <c r="HX22" s="2" t="str">
        <v/>
      </c>
      <c r="HY22" s="2">
        <v>78</v>
      </c>
      <c r="HZ22" s="2" t="str">
        <v/>
      </c>
      <c r="IA22" s="2" t="str">
        <v/>
      </c>
      <c r="IB22" s="2">
        <v>79</v>
      </c>
      <c r="IC22" s="2" t="str">
        <v/>
      </c>
      <c r="ID22" s="2" t="str">
        <v/>
      </c>
      <c r="IE22" s="2">
        <v>80</v>
      </c>
      <c r="IF22" s="2" t="str">
        <v/>
      </c>
      <c r="IG22" s="2" t="str">
        <v/>
      </c>
      <c r="IH22" s="2">
        <v>81</v>
      </c>
      <c r="II22" s="2" t="str">
        <v/>
      </c>
      <c r="IJ22" s="2" t="str">
        <v/>
      </c>
      <c r="IK22" s="2">
        <v>82</v>
      </c>
      <c r="IL22" s="2" t="str">
        <v/>
      </c>
      <c r="IM22" s="2" t="str">
        <v/>
      </c>
      <c r="IN22" s="2">
        <v>83</v>
      </c>
      <c r="IO22" s="2" t="str">
        <v/>
      </c>
      <c r="IP22" s="2" t="str">
        <v/>
      </c>
      <c r="IQ22" s="2">
        <v>84</v>
      </c>
      <c r="IR22" s="2" t="str">
        <v/>
      </c>
      <c r="IS22" s="2" t="str">
        <v/>
      </c>
      <c r="IT22" s="2">
        <v>85</v>
      </c>
      <c r="IU22" s="2" t="str">
        <v/>
      </c>
      <c r="IV22" s="2" t="str">
        <v/>
      </c>
      <c r="IW22" s="2">
        <v>86</v>
      </c>
      <c r="IX22" s="2" t="str">
        <v/>
      </c>
      <c r="IY22" s="2" t="str">
        <v/>
      </c>
      <c r="IZ22" s="2">
        <v>87</v>
      </c>
      <c r="JA22" s="2" t="str">
        <v/>
      </c>
      <c r="JB22" s="2" t="str">
        <v/>
      </c>
      <c r="JC22" s="2">
        <v>88</v>
      </c>
      <c r="JD22" s="2" t="str">
        <v/>
      </c>
      <c r="JE22" s="2" t="str">
        <v/>
      </c>
      <c r="JF22" s="2">
        <v>89</v>
      </c>
      <c r="JG22" s="2" t="str">
        <v/>
      </c>
      <c r="JH22" s="2" t="str">
        <v/>
      </c>
      <c r="JI22" s="2">
        <v>90</v>
      </c>
      <c r="JJ22" s="2" t="str">
        <v/>
      </c>
      <c r="JK22" s="2" t="str">
        <v/>
      </c>
      <c r="JL22" s="2">
        <v>91</v>
      </c>
      <c r="JM22" s="2" t="str">
        <v/>
      </c>
      <c r="JN22" s="2" t="str">
        <v/>
      </c>
      <c r="JO22" s="2">
        <v>92</v>
      </c>
      <c r="JP22" s="2" t="str">
        <v/>
      </c>
      <c r="JQ22" s="2" t="str">
        <v/>
      </c>
      <c r="JR22" s="2">
        <v>93</v>
      </c>
      <c r="JS22" s="2" t="str">
        <v/>
      </c>
      <c r="JT22" s="2" t="str">
        <v/>
      </c>
      <c r="JU22" s="2">
        <v>94</v>
      </c>
      <c r="JV22" s="2" t="str">
        <v/>
      </c>
      <c r="JW22" s="2" t="str">
        <v/>
      </c>
      <c r="JX22" s="2">
        <v>95</v>
      </c>
      <c r="JY22" s="2" t="str">
        <v/>
      </c>
      <c r="JZ22" s="2" t="str">
        <v/>
      </c>
      <c r="KA22" s="2">
        <v>96</v>
      </c>
      <c r="KB22" s="2" t="str">
        <v/>
      </c>
      <c r="KC22" s="2" t="str">
        <v/>
      </c>
      <c r="KD22" s="2">
        <v>97</v>
      </c>
      <c r="KE22" s="2" t="str">
        <v/>
      </c>
      <c r="KF22" s="2" t="str">
        <v/>
      </c>
      <c r="KG22" s="2">
        <v>98</v>
      </c>
      <c r="KH22" s="2" t="str">
        <v/>
      </c>
      <c r="KI22" s="2" t="str">
        <v/>
      </c>
      <c r="KJ22" s="2">
        <v>99</v>
      </c>
      <c r="KK22" s="2" t="str">
        <v/>
      </c>
      <c r="KL22" s="2" t="str">
        <v/>
      </c>
      <c r="KM22" s="2">
        <v>100</v>
      </c>
      <c r="KN22" s="2" t="str">
        <v/>
      </c>
      <c r="KO22" s="2" t="str">
        <v/>
      </c>
      <c r="KP22" s="2">
        <v>101</v>
      </c>
      <c r="KQ22" s="2" t="str">
        <v/>
      </c>
      <c r="KR22" s="2" t="str">
        <v/>
      </c>
      <c r="KS22" s="2">
        <v>102</v>
      </c>
      <c r="KT22" s="2" t="str">
        <v/>
      </c>
      <c r="KU22" s="2" t="str">
        <v/>
      </c>
      <c r="KV22" s="2">
        <v>103</v>
      </c>
      <c r="KW22" s="2" t="str">
        <v/>
      </c>
      <c r="KX22" s="2" t="str">
        <v/>
      </c>
      <c r="KY22" s="2">
        <v>104</v>
      </c>
      <c r="KZ22" s="2" t="str">
        <v/>
      </c>
      <c r="LA22" s="2" t="str">
        <v/>
      </c>
      <c r="LB22" s="2">
        <v>105</v>
      </c>
      <c r="LC22" s="2" t="str">
        <v/>
      </c>
      <c r="LD22" s="2" t="str">
        <v/>
      </c>
      <c r="LE22" s="2">
        <v>106</v>
      </c>
      <c r="LF22" s="2" t="str">
        <v/>
      </c>
      <c r="LG22" s="2" t="str">
        <v/>
      </c>
      <c r="LH22" s="2">
        <v>107</v>
      </c>
      <c r="LI22" s="2" t="str">
        <v/>
      </c>
      <c r="LJ22" s="2" t="str">
        <v/>
      </c>
      <c r="LK22" s="2">
        <v>108</v>
      </c>
      <c r="LL22" s="2" t="str">
        <v/>
      </c>
      <c r="LM22" s="2" t="str">
        <v/>
      </c>
      <c r="LN22" s="2">
        <v>109</v>
      </c>
      <c r="LO22" s="2" t="str">
        <v/>
      </c>
      <c r="LP22" s="2" t="str">
        <v/>
      </c>
      <c r="LQ22" s="2">
        <v>110</v>
      </c>
      <c r="LR22" s="2" t="str">
        <v/>
      </c>
      <c r="LS22" s="2" t="str">
        <v/>
      </c>
      <c r="LT22" s="2">
        <v>111</v>
      </c>
      <c r="LU22" s="2" t="str">
        <v/>
      </c>
      <c r="LV22" s="2" t="str">
        <v/>
      </c>
      <c r="LW22" s="2">
        <v>112</v>
      </c>
      <c r="LX22" s="2" t="str">
        <v/>
      </c>
      <c r="LY22" s="2" t="str">
        <v/>
      </c>
      <c r="LZ22" s="2">
        <v>113</v>
      </c>
      <c r="MA22" s="2" t="str">
        <v/>
      </c>
      <c r="MB22" s="2" t="str">
        <v/>
      </c>
      <c r="MC22" s="2">
        <v>114</v>
      </c>
      <c r="MD22" s="2" t="str">
        <v/>
      </c>
      <c r="ME22" s="2" t="str">
        <v/>
      </c>
      <c r="MF22" s="2">
        <v>115</v>
      </c>
      <c r="MG22" s="2" t="str">
        <v/>
      </c>
      <c r="MH22" s="2" t="str">
        <v/>
      </c>
      <c r="MI22" s="2">
        <v>116</v>
      </c>
      <c r="MJ22" s="2" t="str">
        <v/>
      </c>
      <c r="MK22" s="2" t="str">
        <v/>
      </c>
      <c r="ML22" s="2">
        <v>117</v>
      </c>
      <c r="MM22" s="2" t="str">
        <v/>
      </c>
      <c r="MN22" s="2" t="str">
        <v/>
      </c>
      <c r="MO22" s="2">
        <v>118</v>
      </c>
      <c r="MP22" s="2" t="str">
        <v/>
      </c>
      <c r="MQ22" s="2" t="str">
        <v/>
      </c>
      <c r="MR22" s="2">
        <v>119</v>
      </c>
      <c r="MS22" s="2" t="str">
        <v/>
      </c>
      <c r="MT22" s="2" t="str">
        <v/>
      </c>
      <c r="MU22" s="2">
        <v>120</v>
      </c>
      <c r="MV22" s="2" t="str">
        <v/>
      </c>
      <c r="MW22" s="2" t="str">
        <v/>
      </c>
      <c r="MX22" s="2">
        <v>121</v>
      </c>
      <c r="MY22" s="2" t="str">
        <v/>
      </c>
      <c r="MZ22" s="2" t="str">
        <v/>
      </c>
      <c r="NA22" s="2">
        <v>122</v>
      </c>
      <c r="NB22" s="2" t="str">
        <v/>
      </c>
      <c r="NC22" s="2" t="str">
        <v/>
      </c>
      <c r="ND22" s="2" t="e">
        <v>#N/A</v>
      </c>
    </row>
    <row r="23" spans="1:368" hidden="1">
      <c r="A23" s="3" t="str">
        <v>야간_변환1
지원동</v>
      </c>
      <c r="B23" s="2">
        <v>3</v>
      </c>
      <c r="C23" s="2" t="str">
        <v/>
      </c>
      <c r="D23" s="2" t="str">
        <v/>
      </c>
      <c r="E23" s="2">
        <v>2</v>
      </c>
      <c r="F23" s="2" t="str">
        <v/>
      </c>
      <c r="G23" s="2" t="str">
        <v/>
      </c>
      <c r="H23" s="2">
        <v>1</v>
      </c>
      <c r="I23" s="2" t="str">
        <v/>
      </c>
      <c r="J23" s="2" t="str">
        <v/>
      </c>
      <c r="K23" s="2">
        <v>4</v>
      </c>
      <c r="L23" s="2" t="str">
        <v/>
      </c>
      <c r="M23" s="2" t="str">
        <v/>
      </c>
      <c r="N23" s="2">
        <v>3</v>
      </c>
      <c r="O23" s="2" t="str">
        <v/>
      </c>
      <c r="P23" s="2" t="str">
        <v/>
      </c>
      <c r="Q23" s="2">
        <v>2</v>
      </c>
      <c r="R23" s="2" t="str">
        <v/>
      </c>
      <c r="S23" s="2" t="str">
        <v/>
      </c>
      <c r="T23" s="2">
        <v>1</v>
      </c>
      <c r="U23" s="2" t="str">
        <v/>
      </c>
      <c r="V23" s="2" t="str">
        <v/>
      </c>
      <c r="W23" s="2">
        <v>4</v>
      </c>
      <c r="X23" s="2" t="str">
        <v/>
      </c>
      <c r="Y23" s="2" t="str">
        <v/>
      </c>
      <c r="Z23" s="2">
        <v>3</v>
      </c>
      <c r="AA23" s="2" t="str">
        <v/>
      </c>
      <c r="AB23" s="2" t="str">
        <v/>
      </c>
      <c r="AC23" s="2">
        <v>2</v>
      </c>
      <c r="AD23" s="2" t="str">
        <v/>
      </c>
      <c r="AE23" s="2" t="str">
        <v/>
      </c>
      <c r="AF23" s="2">
        <v>1</v>
      </c>
      <c r="AG23" s="2" t="str">
        <v/>
      </c>
      <c r="AH23" s="2" t="str">
        <v/>
      </c>
      <c r="AI23" s="2">
        <v>4</v>
      </c>
      <c r="AJ23" s="2" t="str">
        <v/>
      </c>
      <c r="AK23" s="2" t="str">
        <v/>
      </c>
      <c r="AL23" s="2">
        <v>3</v>
      </c>
      <c r="AM23" s="2" t="str">
        <v/>
      </c>
      <c r="AN23" s="2" t="str">
        <v/>
      </c>
      <c r="AO23" s="2">
        <v>2</v>
      </c>
      <c r="AP23" s="2" t="str">
        <v/>
      </c>
      <c r="AQ23" s="2" t="str">
        <v/>
      </c>
      <c r="AR23" s="2">
        <v>1</v>
      </c>
      <c r="AS23" s="2" t="str">
        <v/>
      </c>
      <c r="AT23" s="2" t="str">
        <v/>
      </c>
      <c r="AU23" s="2">
        <v>4</v>
      </c>
      <c r="AV23" s="2" t="str">
        <v/>
      </c>
      <c r="AW23" s="2" t="str">
        <v/>
      </c>
      <c r="AX23" s="2">
        <v>3</v>
      </c>
      <c r="AY23" s="2" t="str">
        <v/>
      </c>
      <c r="AZ23" s="2" t="str">
        <v/>
      </c>
      <c r="BA23" s="2">
        <v>2</v>
      </c>
      <c r="BB23" s="2" t="str">
        <v/>
      </c>
      <c r="BC23" s="2" t="str">
        <v/>
      </c>
      <c r="BD23" s="2">
        <v>1</v>
      </c>
      <c r="BE23" s="2" t="str">
        <v/>
      </c>
      <c r="BF23" s="2" t="str">
        <v/>
      </c>
      <c r="BG23" s="2">
        <v>4</v>
      </c>
      <c r="BH23" s="2" t="str">
        <v/>
      </c>
      <c r="BI23" s="2" t="str">
        <v/>
      </c>
      <c r="BJ23" s="2">
        <v>3</v>
      </c>
      <c r="BK23" s="2" t="str">
        <v/>
      </c>
      <c r="BL23" s="2" t="str">
        <v/>
      </c>
      <c r="BM23" s="2">
        <v>2</v>
      </c>
      <c r="BN23" s="2" t="str">
        <v/>
      </c>
      <c r="BO23" s="2" t="str">
        <v/>
      </c>
      <c r="BP23" s="2">
        <v>1</v>
      </c>
      <c r="BQ23" s="2" t="str">
        <v/>
      </c>
      <c r="BR23" s="2" t="str">
        <v/>
      </c>
      <c r="BS23" s="2">
        <v>4</v>
      </c>
      <c r="BT23" s="2" t="str">
        <v/>
      </c>
      <c r="BU23" s="2" t="str">
        <v/>
      </c>
      <c r="BV23" s="2">
        <v>3</v>
      </c>
      <c r="BW23" s="2" t="str">
        <v/>
      </c>
      <c r="BX23" s="2" t="str">
        <v/>
      </c>
      <c r="BY23" s="2">
        <v>2</v>
      </c>
      <c r="BZ23" s="2" t="str">
        <v/>
      </c>
      <c r="CA23" s="2" t="str">
        <v/>
      </c>
      <c r="CB23" s="2">
        <v>1</v>
      </c>
      <c r="CC23" s="2" t="str">
        <v/>
      </c>
      <c r="CD23" s="2" t="str">
        <v/>
      </c>
      <c r="CE23" s="2">
        <v>4</v>
      </c>
      <c r="CF23" s="2" t="str">
        <v/>
      </c>
      <c r="CG23" s="2" t="str">
        <v/>
      </c>
      <c r="CH23" s="2">
        <v>3</v>
      </c>
      <c r="CI23" s="2" t="str">
        <v/>
      </c>
      <c r="CJ23" s="2" t="str">
        <v/>
      </c>
      <c r="CK23" s="2">
        <v>2</v>
      </c>
      <c r="CL23" s="2" t="str">
        <v/>
      </c>
      <c r="CM23" s="2" t="str">
        <v/>
      </c>
      <c r="CN23" s="2">
        <v>1</v>
      </c>
      <c r="CO23" s="2" t="str">
        <v/>
      </c>
      <c r="CP23" s="2" t="str">
        <v/>
      </c>
      <c r="CQ23" s="2">
        <v>4</v>
      </c>
      <c r="CR23" s="2" t="str">
        <v/>
      </c>
      <c r="CS23" s="2" t="str">
        <v/>
      </c>
      <c r="CT23" s="2">
        <v>3</v>
      </c>
      <c r="CU23" s="2" t="str">
        <v/>
      </c>
      <c r="CV23" s="2" t="str">
        <v/>
      </c>
      <c r="CW23" s="2">
        <v>2</v>
      </c>
      <c r="CX23" s="2" t="str">
        <v/>
      </c>
      <c r="CY23" s="2" t="str">
        <v/>
      </c>
      <c r="CZ23" s="2">
        <v>1</v>
      </c>
      <c r="DA23" s="2" t="str">
        <v/>
      </c>
      <c r="DB23" s="2" t="str">
        <v/>
      </c>
      <c r="DC23" s="2">
        <v>4</v>
      </c>
      <c r="DD23" s="2" t="str">
        <v/>
      </c>
      <c r="DE23" s="2" t="str">
        <v/>
      </c>
      <c r="DF23" s="2">
        <v>3</v>
      </c>
      <c r="DG23" s="2" t="str">
        <v/>
      </c>
      <c r="DH23" s="2" t="str">
        <v/>
      </c>
      <c r="DI23" s="2">
        <v>2</v>
      </c>
      <c r="DJ23" s="2" t="str">
        <v/>
      </c>
      <c r="DK23" s="2" t="str">
        <v/>
      </c>
      <c r="DL23" s="2">
        <v>1</v>
      </c>
      <c r="DM23" s="2" t="str">
        <v/>
      </c>
      <c r="DN23" s="2" t="str">
        <v/>
      </c>
      <c r="DO23" s="2">
        <v>4</v>
      </c>
      <c r="DP23" s="2" t="str">
        <v/>
      </c>
      <c r="DQ23" s="2" t="str">
        <v/>
      </c>
      <c r="DR23" s="2">
        <v>3</v>
      </c>
      <c r="DS23" s="2" t="str">
        <v/>
      </c>
      <c r="DT23" s="2" t="str">
        <v/>
      </c>
      <c r="DU23" s="2">
        <v>2</v>
      </c>
      <c r="DV23" s="2" t="str">
        <v/>
      </c>
      <c r="DW23" s="2" t="str">
        <v/>
      </c>
      <c r="DX23" s="2">
        <v>1</v>
      </c>
      <c r="DY23" s="2" t="str">
        <v/>
      </c>
      <c r="DZ23" s="2" t="str">
        <v/>
      </c>
      <c r="EA23" s="2">
        <v>4</v>
      </c>
      <c r="EB23" s="2" t="str">
        <v/>
      </c>
      <c r="EC23" s="2" t="str">
        <v/>
      </c>
      <c r="ED23" s="2">
        <v>3</v>
      </c>
      <c r="EE23" s="2" t="str">
        <v/>
      </c>
      <c r="EF23" s="2" t="str">
        <v/>
      </c>
      <c r="EG23" s="2">
        <v>2</v>
      </c>
      <c r="EH23" s="2" t="str">
        <v/>
      </c>
      <c r="EI23" s="2" t="str">
        <v/>
      </c>
      <c r="EJ23" s="2">
        <v>1</v>
      </c>
      <c r="EK23" s="2" t="str">
        <v/>
      </c>
      <c r="EL23" s="2" t="str">
        <v/>
      </c>
      <c r="EM23" s="2">
        <v>4</v>
      </c>
      <c r="EN23" s="2" t="str">
        <v/>
      </c>
      <c r="EO23" s="2" t="str">
        <v/>
      </c>
      <c r="EP23" s="2">
        <v>3</v>
      </c>
      <c r="EQ23" s="2" t="str">
        <v/>
      </c>
      <c r="ER23" s="2" t="str">
        <v/>
      </c>
      <c r="ES23" s="2">
        <v>2</v>
      </c>
      <c r="ET23" s="2" t="str">
        <v/>
      </c>
      <c r="EU23" s="2" t="str">
        <v/>
      </c>
      <c r="EV23" s="2">
        <v>1</v>
      </c>
      <c r="EW23" s="2" t="str">
        <v/>
      </c>
      <c r="EX23" s="2" t="str">
        <v/>
      </c>
      <c r="EY23" s="2">
        <v>4</v>
      </c>
      <c r="EZ23" s="2" t="str">
        <v/>
      </c>
      <c r="FA23" s="2" t="str">
        <v/>
      </c>
      <c r="FB23" s="2">
        <v>3</v>
      </c>
      <c r="FC23" s="2" t="str">
        <v/>
      </c>
      <c r="FD23" s="2" t="str">
        <v/>
      </c>
      <c r="FE23" s="2">
        <v>2</v>
      </c>
      <c r="FF23" s="2" t="str">
        <v/>
      </c>
      <c r="FG23" s="2" t="str">
        <v/>
      </c>
      <c r="FH23" s="2">
        <v>1</v>
      </c>
      <c r="FI23" s="2" t="str">
        <v/>
      </c>
      <c r="FJ23" s="2" t="str">
        <v/>
      </c>
      <c r="FK23" s="2">
        <v>4</v>
      </c>
      <c r="FL23" s="2" t="str">
        <v/>
      </c>
      <c r="FM23" s="2" t="str">
        <v/>
      </c>
      <c r="FN23" s="2">
        <v>3</v>
      </c>
      <c r="FO23" s="2" t="str">
        <v/>
      </c>
      <c r="FP23" s="2" t="str">
        <v/>
      </c>
      <c r="FQ23" s="2">
        <v>2</v>
      </c>
      <c r="FR23" s="2" t="str">
        <v/>
      </c>
      <c r="FS23" s="2" t="str">
        <v/>
      </c>
      <c r="FT23" s="2">
        <v>1</v>
      </c>
      <c r="FU23" s="2" t="str">
        <v/>
      </c>
      <c r="FV23" s="2" t="str">
        <v/>
      </c>
      <c r="FW23" s="2">
        <v>4</v>
      </c>
      <c r="FX23" s="2" t="str">
        <v/>
      </c>
      <c r="FY23" s="2" t="str">
        <v/>
      </c>
      <c r="FZ23" s="2">
        <v>3</v>
      </c>
      <c r="GA23" s="2" t="str">
        <v/>
      </c>
      <c r="GB23" s="2" t="str">
        <v/>
      </c>
      <c r="GC23" s="2">
        <v>2</v>
      </c>
      <c r="GD23" s="2" t="str">
        <v/>
      </c>
      <c r="GE23" s="2" t="str">
        <v/>
      </c>
      <c r="GF23" s="2">
        <v>1</v>
      </c>
      <c r="GG23" s="2" t="str">
        <v/>
      </c>
      <c r="GH23" s="2" t="str">
        <v/>
      </c>
      <c r="GI23" s="2">
        <v>4</v>
      </c>
      <c r="GJ23" s="2" t="str">
        <v/>
      </c>
      <c r="GK23" s="2" t="str">
        <v/>
      </c>
      <c r="GL23" s="2">
        <v>3</v>
      </c>
      <c r="GM23" s="2" t="str">
        <v/>
      </c>
      <c r="GN23" s="2" t="str">
        <v/>
      </c>
      <c r="GO23" s="2">
        <v>2</v>
      </c>
      <c r="GP23" s="2" t="str">
        <v/>
      </c>
      <c r="GQ23" s="2" t="str">
        <v/>
      </c>
      <c r="GR23" s="2">
        <v>1</v>
      </c>
      <c r="GS23" s="2" t="str">
        <v/>
      </c>
      <c r="GT23" s="2" t="str">
        <v/>
      </c>
      <c r="GU23" s="2">
        <v>4</v>
      </c>
      <c r="GV23" s="2" t="str">
        <v/>
      </c>
      <c r="GW23" s="2" t="str">
        <v/>
      </c>
      <c r="GX23" s="2">
        <v>3</v>
      </c>
      <c r="GY23" s="2" t="str">
        <v/>
      </c>
      <c r="GZ23" s="2" t="str">
        <v/>
      </c>
      <c r="HA23" s="2">
        <v>2</v>
      </c>
      <c r="HB23" s="2" t="str">
        <v/>
      </c>
      <c r="HC23" s="2" t="str">
        <v/>
      </c>
      <c r="HD23" s="2">
        <v>1</v>
      </c>
      <c r="HE23" s="2" t="str">
        <v/>
      </c>
      <c r="HF23" s="2" t="str">
        <v/>
      </c>
      <c r="HG23" s="2">
        <v>4</v>
      </c>
      <c r="HH23" s="2" t="str">
        <v/>
      </c>
      <c r="HI23" s="2" t="str">
        <v/>
      </c>
      <c r="HJ23" s="2">
        <v>3</v>
      </c>
      <c r="HK23" s="2" t="str">
        <v/>
      </c>
      <c r="HL23" s="2" t="str">
        <v/>
      </c>
      <c r="HM23" s="2">
        <v>2</v>
      </c>
      <c r="HN23" s="2" t="str">
        <v/>
      </c>
      <c r="HO23" s="2" t="str">
        <v/>
      </c>
      <c r="HP23" s="2">
        <v>1</v>
      </c>
      <c r="HQ23" s="2" t="str">
        <v/>
      </c>
      <c r="HR23" s="2" t="str">
        <v/>
      </c>
      <c r="HS23" s="2">
        <v>4</v>
      </c>
      <c r="HT23" s="2" t="str">
        <v/>
      </c>
      <c r="HU23" s="2" t="str">
        <v/>
      </c>
      <c r="HV23" s="2">
        <v>3</v>
      </c>
      <c r="HW23" s="2" t="str">
        <v/>
      </c>
      <c r="HX23" s="2" t="str">
        <v/>
      </c>
      <c r="HY23" s="2">
        <v>2</v>
      </c>
      <c r="HZ23" s="2" t="str">
        <v/>
      </c>
      <c r="IA23" s="2" t="str">
        <v/>
      </c>
      <c r="IB23" s="2">
        <v>1</v>
      </c>
      <c r="IC23" s="2" t="str">
        <v/>
      </c>
      <c r="ID23" s="2" t="str">
        <v/>
      </c>
      <c r="IE23" s="2">
        <v>4</v>
      </c>
      <c r="IF23" s="2" t="str">
        <v/>
      </c>
      <c r="IG23" s="2" t="str">
        <v/>
      </c>
      <c r="IH23" s="2">
        <v>3</v>
      </c>
      <c r="II23" s="2" t="str">
        <v/>
      </c>
      <c r="IJ23" s="2" t="str">
        <v/>
      </c>
      <c r="IK23" s="2">
        <v>2</v>
      </c>
      <c r="IL23" s="2" t="str">
        <v/>
      </c>
      <c r="IM23" s="2" t="str">
        <v/>
      </c>
      <c r="IN23" s="2">
        <v>1</v>
      </c>
      <c r="IO23" s="2" t="str">
        <v/>
      </c>
      <c r="IP23" s="2" t="str">
        <v/>
      </c>
      <c r="IQ23" s="2">
        <v>4</v>
      </c>
      <c r="IR23" s="2" t="str">
        <v/>
      </c>
      <c r="IS23" s="2" t="str">
        <v/>
      </c>
      <c r="IT23" s="2">
        <v>3</v>
      </c>
      <c r="IU23" s="2" t="str">
        <v/>
      </c>
      <c r="IV23" s="2" t="str">
        <v/>
      </c>
      <c r="IW23" s="2">
        <v>2</v>
      </c>
      <c r="IX23" s="2" t="str">
        <v/>
      </c>
      <c r="IY23" s="2" t="str">
        <v/>
      </c>
      <c r="IZ23" s="2">
        <v>1</v>
      </c>
      <c r="JA23" s="2" t="str">
        <v/>
      </c>
      <c r="JB23" s="2" t="str">
        <v/>
      </c>
      <c r="JC23" s="2">
        <v>4</v>
      </c>
      <c r="JD23" s="2" t="str">
        <v/>
      </c>
      <c r="JE23" s="2" t="str">
        <v/>
      </c>
      <c r="JF23" s="2">
        <v>3</v>
      </c>
      <c r="JG23" s="2" t="str">
        <v/>
      </c>
      <c r="JH23" s="2" t="str">
        <v/>
      </c>
      <c r="JI23" s="2">
        <v>2</v>
      </c>
      <c r="JJ23" s="2" t="str">
        <v/>
      </c>
      <c r="JK23" s="2" t="str">
        <v/>
      </c>
      <c r="JL23" s="2">
        <v>1</v>
      </c>
      <c r="JM23" s="2" t="str">
        <v/>
      </c>
      <c r="JN23" s="2" t="str">
        <v/>
      </c>
      <c r="JO23" s="2">
        <v>4</v>
      </c>
      <c r="JP23" s="2" t="str">
        <v/>
      </c>
      <c r="JQ23" s="2" t="str">
        <v/>
      </c>
      <c r="JR23" s="2">
        <v>3</v>
      </c>
      <c r="JS23" s="2" t="str">
        <v/>
      </c>
      <c r="JT23" s="2" t="str">
        <v/>
      </c>
      <c r="JU23" s="2">
        <v>2</v>
      </c>
      <c r="JV23" s="2" t="str">
        <v/>
      </c>
      <c r="JW23" s="2" t="str">
        <v/>
      </c>
      <c r="JX23" s="2">
        <v>1</v>
      </c>
      <c r="JY23" s="2" t="str">
        <v/>
      </c>
      <c r="JZ23" s="2" t="str">
        <v/>
      </c>
      <c r="KA23" s="2">
        <v>4</v>
      </c>
      <c r="KB23" s="2" t="str">
        <v/>
      </c>
      <c r="KC23" s="2" t="str">
        <v/>
      </c>
      <c r="KD23" s="2">
        <v>3</v>
      </c>
      <c r="KE23" s="2" t="str">
        <v/>
      </c>
      <c r="KF23" s="2" t="str">
        <v/>
      </c>
      <c r="KG23" s="2">
        <v>2</v>
      </c>
      <c r="KH23" s="2" t="str">
        <v/>
      </c>
      <c r="KI23" s="2" t="str">
        <v/>
      </c>
      <c r="KJ23" s="2">
        <v>1</v>
      </c>
      <c r="KK23" s="2" t="str">
        <v/>
      </c>
      <c r="KL23" s="2" t="str">
        <v/>
      </c>
      <c r="KM23" s="2">
        <v>4</v>
      </c>
      <c r="KN23" s="2" t="str">
        <v/>
      </c>
      <c r="KO23" s="2" t="str">
        <v/>
      </c>
      <c r="KP23" s="2">
        <v>3</v>
      </c>
      <c r="KQ23" s="2" t="str">
        <v/>
      </c>
      <c r="KR23" s="2" t="str">
        <v/>
      </c>
      <c r="KS23" s="2">
        <v>2</v>
      </c>
      <c r="KT23" s="2" t="str">
        <v/>
      </c>
      <c r="KU23" s="2" t="str">
        <v/>
      </c>
      <c r="KV23" s="2">
        <v>1</v>
      </c>
      <c r="KW23" s="2" t="str">
        <v/>
      </c>
      <c r="KX23" s="2" t="str">
        <v/>
      </c>
      <c r="KY23" s="2">
        <v>4</v>
      </c>
      <c r="KZ23" s="2" t="str">
        <v/>
      </c>
      <c r="LA23" s="2" t="str">
        <v/>
      </c>
      <c r="LB23" s="2">
        <v>3</v>
      </c>
      <c r="LC23" s="2" t="str">
        <v/>
      </c>
      <c r="LD23" s="2" t="str">
        <v/>
      </c>
      <c r="LE23" s="2">
        <v>2</v>
      </c>
      <c r="LF23" s="2" t="str">
        <v/>
      </c>
      <c r="LG23" s="2" t="str">
        <v/>
      </c>
      <c r="LH23" s="2">
        <v>1</v>
      </c>
      <c r="LI23" s="2" t="str">
        <v/>
      </c>
      <c r="LJ23" s="2" t="str">
        <v/>
      </c>
      <c r="LK23" s="2">
        <v>4</v>
      </c>
      <c r="LL23" s="2" t="str">
        <v/>
      </c>
      <c r="LM23" s="2" t="str">
        <v/>
      </c>
      <c r="LN23" s="2">
        <v>3</v>
      </c>
      <c r="LO23" s="2" t="str">
        <v/>
      </c>
      <c r="LP23" s="2" t="str">
        <v/>
      </c>
      <c r="LQ23" s="2">
        <v>2</v>
      </c>
      <c r="LR23" s="2" t="str">
        <v/>
      </c>
      <c r="LS23" s="2" t="str">
        <v/>
      </c>
      <c r="LT23" s="2">
        <v>1</v>
      </c>
      <c r="LU23" s="2" t="str">
        <v/>
      </c>
      <c r="LV23" s="2" t="str">
        <v/>
      </c>
      <c r="LW23" s="2">
        <v>4</v>
      </c>
      <c r="LX23" s="2" t="str">
        <v/>
      </c>
      <c r="LY23" s="2" t="str">
        <v/>
      </c>
      <c r="LZ23" s="2">
        <v>3</v>
      </c>
      <c r="MA23" s="2" t="str">
        <v/>
      </c>
      <c r="MB23" s="2" t="str">
        <v/>
      </c>
      <c r="MC23" s="2">
        <v>2</v>
      </c>
      <c r="MD23" s="2" t="str">
        <v/>
      </c>
      <c r="ME23" s="2" t="str">
        <v/>
      </c>
      <c r="MF23" s="2">
        <v>1</v>
      </c>
      <c r="MG23" s="2" t="str">
        <v/>
      </c>
      <c r="MH23" s="2" t="str">
        <v/>
      </c>
      <c r="MI23" s="2">
        <v>4</v>
      </c>
      <c r="MJ23" s="2" t="str">
        <v/>
      </c>
      <c r="MK23" s="2" t="str">
        <v/>
      </c>
      <c r="ML23" s="2">
        <v>3</v>
      </c>
      <c r="MM23" s="2" t="str">
        <v/>
      </c>
      <c r="MN23" s="2" t="str">
        <v/>
      </c>
      <c r="MO23" s="2">
        <v>2</v>
      </c>
      <c r="MP23" s="2" t="str">
        <v/>
      </c>
      <c r="MQ23" s="2" t="str">
        <v/>
      </c>
      <c r="MR23" s="2">
        <v>1</v>
      </c>
      <c r="MS23" s="2" t="str">
        <v/>
      </c>
      <c r="MT23" s="2" t="str">
        <v/>
      </c>
      <c r="MU23" s="2">
        <v>4</v>
      </c>
      <c r="MV23" s="2" t="str">
        <v/>
      </c>
      <c r="MW23" s="2" t="str">
        <v/>
      </c>
      <c r="MX23" s="2">
        <v>3</v>
      </c>
      <c r="MY23" s="2" t="str">
        <v/>
      </c>
      <c r="MZ23" s="2" t="str">
        <v/>
      </c>
      <c r="NA23" s="2">
        <v>2</v>
      </c>
      <c r="NB23" s="2" t="str">
        <v/>
      </c>
      <c r="NC23" s="2" t="str">
        <v/>
      </c>
      <c r="ND23" s="2" t="e">
        <v>#N/A</v>
      </c>
    </row>
    <row r="24" spans="1:368" hidden="1">
      <c r="A24" s="3" t="str">
        <v>야간_변환1
글로벌</v>
      </c>
      <c r="B24" s="2">
        <v>4</v>
      </c>
      <c r="C24" s="2" t="str">
        <v/>
      </c>
      <c r="D24" s="2" t="str">
        <v/>
      </c>
      <c r="E24" s="2">
        <v>3</v>
      </c>
      <c r="F24" s="2" t="str">
        <v/>
      </c>
      <c r="G24" s="2" t="str">
        <v/>
      </c>
      <c r="H24" s="2">
        <v>2</v>
      </c>
      <c r="I24" s="2" t="str">
        <v/>
      </c>
      <c r="J24" s="2" t="str">
        <v/>
      </c>
      <c r="K24" s="2">
        <v>1</v>
      </c>
      <c r="L24" s="2" t="str">
        <v/>
      </c>
      <c r="M24" s="2" t="str">
        <v/>
      </c>
      <c r="N24" s="2">
        <v>4</v>
      </c>
      <c r="O24" s="2" t="str">
        <v/>
      </c>
      <c r="P24" s="2" t="str">
        <v/>
      </c>
      <c r="Q24" s="2">
        <v>3</v>
      </c>
      <c r="R24" s="2" t="str">
        <v/>
      </c>
      <c r="S24" s="2" t="str">
        <v/>
      </c>
      <c r="T24" s="2">
        <v>2</v>
      </c>
      <c r="U24" s="2" t="str">
        <v/>
      </c>
      <c r="V24" s="2" t="str">
        <v/>
      </c>
      <c r="W24" s="2">
        <v>1</v>
      </c>
      <c r="X24" s="2" t="str">
        <v/>
      </c>
      <c r="Y24" s="2" t="str">
        <v/>
      </c>
      <c r="Z24" s="2">
        <v>4</v>
      </c>
      <c r="AA24" s="2" t="str">
        <v/>
      </c>
      <c r="AB24" s="2" t="str">
        <v/>
      </c>
      <c r="AC24" s="2">
        <v>3</v>
      </c>
      <c r="AD24" s="2" t="str">
        <v/>
      </c>
      <c r="AE24" s="2" t="str">
        <v/>
      </c>
      <c r="AF24" s="2">
        <v>2</v>
      </c>
      <c r="AG24" s="2" t="str">
        <v/>
      </c>
      <c r="AH24" s="2" t="str">
        <v/>
      </c>
      <c r="AI24" s="2">
        <v>1</v>
      </c>
      <c r="AJ24" s="2" t="str">
        <v/>
      </c>
      <c r="AK24" s="2" t="str">
        <v/>
      </c>
      <c r="AL24" s="2">
        <v>4</v>
      </c>
      <c r="AM24" s="2" t="str">
        <v/>
      </c>
      <c r="AN24" s="2" t="str">
        <v/>
      </c>
      <c r="AO24" s="2">
        <v>3</v>
      </c>
      <c r="AP24" s="2" t="str">
        <v/>
      </c>
      <c r="AQ24" s="2" t="str">
        <v/>
      </c>
      <c r="AR24" s="2">
        <v>2</v>
      </c>
      <c r="AS24" s="2" t="str">
        <v/>
      </c>
      <c r="AT24" s="2" t="str">
        <v/>
      </c>
      <c r="AU24" s="2">
        <v>1</v>
      </c>
      <c r="AV24" s="2" t="str">
        <v/>
      </c>
      <c r="AW24" s="2" t="str">
        <v/>
      </c>
      <c r="AX24" s="2">
        <v>4</v>
      </c>
      <c r="AY24" s="2" t="str">
        <v/>
      </c>
      <c r="AZ24" s="2" t="str">
        <v/>
      </c>
      <c r="BA24" s="2">
        <v>3</v>
      </c>
      <c r="BB24" s="2" t="str">
        <v/>
      </c>
      <c r="BC24" s="2" t="str">
        <v/>
      </c>
      <c r="BD24" s="2">
        <v>2</v>
      </c>
      <c r="BE24" s="2" t="str">
        <v/>
      </c>
      <c r="BF24" s="2" t="str">
        <v/>
      </c>
      <c r="BG24" s="2">
        <v>1</v>
      </c>
      <c r="BH24" s="2" t="str">
        <v/>
      </c>
      <c r="BI24" s="2" t="str">
        <v/>
      </c>
      <c r="BJ24" s="2">
        <v>4</v>
      </c>
      <c r="BK24" s="2" t="str">
        <v/>
      </c>
      <c r="BL24" s="2" t="str">
        <v/>
      </c>
      <c r="BM24" s="2">
        <v>3</v>
      </c>
      <c r="BN24" s="2" t="str">
        <v/>
      </c>
      <c r="BO24" s="2" t="str">
        <v/>
      </c>
      <c r="BP24" s="2">
        <v>2</v>
      </c>
      <c r="BQ24" s="2" t="str">
        <v/>
      </c>
      <c r="BR24" s="2" t="str">
        <v/>
      </c>
      <c r="BS24" s="2">
        <v>1</v>
      </c>
      <c r="BT24" s="2" t="str">
        <v/>
      </c>
      <c r="BU24" s="2" t="str">
        <v/>
      </c>
      <c r="BV24" s="2">
        <v>4</v>
      </c>
      <c r="BW24" s="2" t="str">
        <v/>
      </c>
      <c r="BX24" s="2" t="str">
        <v/>
      </c>
      <c r="BY24" s="2">
        <v>3</v>
      </c>
      <c r="BZ24" s="2" t="str">
        <v/>
      </c>
      <c r="CA24" s="2" t="str">
        <v/>
      </c>
      <c r="CB24" s="2">
        <v>2</v>
      </c>
      <c r="CC24" s="2" t="str">
        <v/>
      </c>
      <c r="CD24" s="2" t="str">
        <v/>
      </c>
      <c r="CE24" s="2">
        <v>1</v>
      </c>
      <c r="CF24" s="2" t="str">
        <v/>
      </c>
      <c r="CG24" s="2" t="str">
        <v/>
      </c>
      <c r="CH24" s="2">
        <v>4</v>
      </c>
      <c r="CI24" s="2" t="str">
        <v/>
      </c>
      <c r="CJ24" s="2" t="str">
        <v/>
      </c>
      <c r="CK24" s="2">
        <v>3</v>
      </c>
      <c r="CL24" s="2" t="str">
        <v/>
      </c>
      <c r="CM24" s="2" t="str">
        <v/>
      </c>
      <c r="CN24" s="2">
        <v>2</v>
      </c>
      <c r="CO24" s="2" t="str">
        <v/>
      </c>
      <c r="CP24" s="2" t="str">
        <v/>
      </c>
      <c r="CQ24" s="2">
        <v>1</v>
      </c>
      <c r="CR24" s="2" t="str">
        <v/>
      </c>
      <c r="CS24" s="2" t="str">
        <v/>
      </c>
      <c r="CT24" s="2">
        <v>4</v>
      </c>
      <c r="CU24" s="2" t="str">
        <v/>
      </c>
      <c r="CV24" s="2" t="str">
        <v/>
      </c>
      <c r="CW24" s="2">
        <v>3</v>
      </c>
      <c r="CX24" s="2" t="str">
        <v/>
      </c>
      <c r="CY24" s="2" t="str">
        <v/>
      </c>
      <c r="CZ24" s="2">
        <v>2</v>
      </c>
      <c r="DA24" s="2" t="str">
        <v/>
      </c>
      <c r="DB24" s="2" t="str">
        <v/>
      </c>
      <c r="DC24" s="2">
        <v>1</v>
      </c>
      <c r="DD24" s="2" t="str">
        <v/>
      </c>
      <c r="DE24" s="2" t="str">
        <v/>
      </c>
      <c r="DF24" s="2">
        <v>4</v>
      </c>
      <c r="DG24" s="2" t="str">
        <v/>
      </c>
      <c r="DH24" s="2" t="str">
        <v/>
      </c>
      <c r="DI24" s="2">
        <v>3</v>
      </c>
      <c r="DJ24" s="2" t="str">
        <v/>
      </c>
      <c r="DK24" s="2" t="str">
        <v/>
      </c>
      <c r="DL24" s="2">
        <v>2</v>
      </c>
      <c r="DM24" s="2" t="str">
        <v/>
      </c>
      <c r="DN24" s="2" t="str">
        <v/>
      </c>
      <c r="DO24" s="2">
        <v>1</v>
      </c>
      <c r="DP24" s="2" t="str">
        <v/>
      </c>
      <c r="DQ24" s="2" t="str">
        <v/>
      </c>
      <c r="DR24" s="2">
        <v>4</v>
      </c>
      <c r="DS24" s="2" t="str">
        <v/>
      </c>
      <c r="DT24" s="2" t="str">
        <v/>
      </c>
      <c r="DU24" s="2">
        <v>3</v>
      </c>
      <c r="DV24" s="2" t="str">
        <v/>
      </c>
      <c r="DW24" s="2" t="str">
        <v/>
      </c>
      <c r="DX24" s="2">
        <v>2</v>
      </c>
      <c r="DY24" s="2" t="str">
        <v/>
      </c>
      <c r="DZ24" s="2" t="str">
        <v/>
      </c>
      <c r="EA24" s="2">
        <v>1</v>
      </c>
      <c r="EB24" s="2" t="str">
        <v/>
      </c>
      <c r="EC24" s="2" t="str">
        <v/>
      </c>
      <c r="ED24" s="2">
        <v>4</v>
      </c>
      <c r="EE24" s="2" t="str">
        <v/>
      </c>
      <c r="EF24" s="2" t="str">
        <v/>
      </c>
      <c r="EG24" s="2">
        <v>3</v>
      </c>
      <c r="EH24" s="2" t="str">
        <v/>
      </c>
      <c r="EI24" s="2" t="str">
        <v/>
      </c>
      <c r="EJ24" s="2">
        <v>2</v>
      </c>
      <c r="EK24" s="2" t="str">
        <v/>
      </c>
      <c r="EL24" s="2" t="str">
        <v/>
      </c>
      <c r="EM24" s="2">
        <v>1</v>
      </c>
      <c r="EN24" s="2" t="str">
        <v/>
      </c>
      <c r="EO24" s="2" t="str">
        <v/>
      </c>
      <c r="EP24" s="2">
        <v>4</v>
      </c>
      <c r="EQ24" s="2" t="str">
        <v/>
      </c>
      <c r="ER24" s="2" t="str">
        <v/>
      </c>
      <c r="ES24" s="2">
        <v>3</v>
      </c>
      <c r="ET24" s="2" t="str">
        <v/>
      </c>
      <c r="EU24" s="2" t="str">
        <v/>
      </c>
      <c r="EV24" s="2">
        <v>2</v>
      </c>
      <c r="EW24" s="2" t="str">
        <v/>
      </c>
      <c r="EX24" s="2" t="str">
        <v/>
      </c>
      <c r="EY24" s="2">
        <v>1</v>
      </c>
      <c r="EZ24" s="2" t="str">
        <v/>
      </c>
      <c r="FA24" s="2" t="str">
        <v/>
      </c>
      <c r="FB24" s="2">
        <v>4</v>
      </c>
      <c r="FC24" s="2" t="str">
        <v/>
      </c>
      <c r="FD24" s="2" t="str">
        <v/>
      </c>
      <c r="FE24" s="2">
        <v>3</v>
      </c>
      <c r="FF24" s="2" t="str">
        <v/>
      </c>
      <c r="FG24" s="2" t="str">
        <v/>
      </c>
      <c r="FH24" s="2">
        <v>2</v>
      </c>
      <c r="FI24" s="2" t="str">
        <v/>
      </c>
      <c r="FJ24" s="2" t="str">
        <v/>
      </c>
      <c r="FK24" s="2">
        <v>1</v>
      </c>
      <c r="FL24" s="2" t="str">
        <v/>
      </c>
      <c r="FM24" s="2" t="str">
        <v/>
      </c>
      <c r="FN24" s="2">
        <v>4</v>
      </c>
      <c r="FO24" s="2" t="str">
        <v/>
      </c>
      <c r="FP24" s="2" t="str">
        <v/>
      </c>
      <c r="FQ24" s="2">
        <v>3</v>
      </c>
      <c r="FR24" s="2" t="str">
        <v/>
      </c>
      <c r="FS24" s="2" t="str">
        <v/>
      </c>
      <c r="FT24" s="2">
        <v>2</v>
      </c>
      <c r="FU24" s="2" t="str">
        <v/>
      </c>
      <c r="FV24" s="2" t="str">
        <v/>
      </c>
      <c r="FW24" s="2">
        <v>1</v>
      </c>
      <c r="FX24" s="2" t="str">
        <v/>
      </c>
      <c r="FY24" s="2" t="str">
        <v/>
      </c>
      <c r="FZ24" s="2">
        <v>4</v>
      </c>
      <c r="GA24" s="2" t="str">
        <v/>
      </c>
      <c r="GB24" s="2" t="str">
        <v/>
      </c>
      <c r="GC24" s="2">
        <v>3</v>
      </c>
      <c r="GD24" s="2" t="str">
        <v/>
      </c>
      <c r="GE24" s="2" t="str">
        <v/>
      </c>
      <c r="GF24" s="2">
        <v>2</v>
      </c>
      <c r="GG24" s="2" t="str">
        <v/>
      </c>
      <c r="GH24" s="2" t="str">
        <v/>
      </c>
      <c r="GI24" s="2">
        <v>1</v>
      </c>
      <c r="GJ24" s="2" t="str">
        <v/>
      </c>
      <c r="GK24" s="2" t="str">
        <v/>
      </c>
      <c r="GL24" s="2">
        <v>4</v>
      </c>
      <c r="GM24" s="2" t="str">
        <v/>
      </c>
      <c r="GN24" s="2" t="str">
        <v/>
      </c>
      <c r="GO24" s="2">
        <v>3</v>
      </c>
      <c r="GP24" s="2" t="str">
        <v/>
      </c>
      <c r="GQ24" s="2" t="str">
        <v/>
      </c>
      <c r="GR24" s="2">
        <v>2</v>
      </c>
      <c r="GS24" s="2" t="str">
        <v/>
      </c>
      <c r="GT24" s="2" t="str">
        <v/>
      </c>
      <c r="GU24" s="2">
        <v>1</v>
      </c>
      <c r="GV24" s="2" t="str">
        <v/>
      </c>
      <c r="GW24" s="2" t="str">
        <v/>
      </c>
      <c r="GX24" s="2">
        <v>4</v>
      </c>
      <c r="GY24" s="2" t="str">
        <v/>
      </c>
      <c r="GZ24" s="2" t="str">
        <v/>
      </c>
      <c r="HA24" s="2">
        <v>3</v>
      </c>
      <c r="HB24" s="2" t="str">
        <v/>
      </c>
      <c r="HC24" s="2" t="str">
        <v/>
      </c>
      <c r="HD24" s="2">
        <v>2</v>
      </c>
      <c r="HE24" s="2" t="str">
        <v/>
      </c>
      <c r="HF24" s="2" t="str">
        <v/>
      </c>
      <c r="HG24" s="2">
        <v>1</v>
      </c>
      <c r="HH24" s="2" t="str">
        <v/>
      </c>
      <c r="HI24" s="2" t="str">
        <v/>
      </c>
      <c r="HJ24" s="2">
        <v>4</v>
      </c>
      <c r="HK24" s="2" t="str">
        <v/>
      </c>
      <c r="HL24" s="2" t="str">
        <v/>
      </c>
      <c r="HM24" s="2">
        <v>3</v>
      </c>
      <c r="HN24" s="2" t="str">
        <v/>
      </c>
      <c r="HO24" s="2" t="str">
        <v/>
      </c>
      <c r="HP24" s="2">
        <v>2</v>
      </c>
      <c r="HQ24" s="2" t="str">
        <v/>
      </c>
      <c r="HR24" s="2" t="str">
        <v/>
      </c>
      <c r="HS24" s="2">
        <v>1</v>
      </c>
      <c r="HT24" s="2" t="str">
        <v/>
      </c>
      <c r="HU24" s="2" t="str">
        <v/>
      </c>
      <c r="HV24" s="2">
        <v>4</v>
      </c>
      <c r="HW24" s="2" t="str">
        <v/>
      </c>
      <c r="HX24" s="2" t="str">
        <v/>
      </c>
      <c r="HY24" s="2">
        <v>3</v>
      </c>
      <c r="HZ24" s="2" t="str">
        <v/>
      </c>
      <c r="IA24" s="2" t="str">
        <v/>
      </c>
      <c r="IB24" s="2">
        <v>2</v>
      </c>
      <c r="IC24" s="2" t="str">
        <v/>
      </c>
      <c r="ID24" s="2" t="str">
        <v/>
      </c>
      <c r="IE24" s="2">
        <v>1</v>
      </c>
      <c r="IF24" s="2" t="str">
        <v/>
      </c>
      <c r="IG24" s="2" t="str">
        <v/>
      </c>
      <c r="IH24" s="2">
        <v>4</v>
      </c>
      <c r="II24" s="2" t="str">
        <v/>
      </c>
      <c r="IJ24" s="2" t="str">
        <v/>
      </c>
      <c r="IK24" s="2">
        <v>3</v>
      </c>
      <c r="IL24" s="2" t="str">
        <v/>
      </c>
      <c r="IM24" s="2" t="str">
        <v/>
      </c>
      <c r="IN24" s="2">
        <v>2</v>
      </c>
      <c r="IO24" s="2" t="str">
        <v/>
      </c>
      <c r="IP24" s="2" t="str">
        <v/>
      </c>
      <c r="IQ24" s="2">
        <v>1</v>
      </c>
      <c r="IR24" s="2" t="str">
        <v/>
      </c>
      <c r="IS24" s="2" t="str">
        <v/>
      </c>
      <c r="IT24" s="2">
        <v>4</v>
      </c>
      <c r="IU24" s="2" t="str">
        <v/>
      </c>
      <c r="IV24" s="2" t="str">
        <v/>
      </c>
      <c r="IW24" s="2">
        <v>3</v>
      </c>
      <c r="IX24" s="2" t="str">
        <v/>
      </c>
      <c r="IY24" s="2" t="str">
        <v/>
      </c>
      <c r="IZ24" s="2">
        <v>2</v>
      </c>
      <c r="JA24" s="2" t="str">
        <v/>
      </c>
      <c r="JB24" s="2" t="str">
        <v/>
      </c>
      <c r="JC24" s="2">
        <v>1</v>
      </c>
      <c r="JD24" s="2" t="str">
        <v/>
      </c>
      <c r="JE24" s="2" t="str">
        <v/>
      </c>
      <c r="JF24" s="2">
        <v>4</v>
      </c>
      <c r="JG24" s="2" t="str">
        <v/>
      </c>
      <c r="JH24" s="2" t="str">
        <v/>
      </c>
      <c r="JI24" s="2">
        <v>3</v>
      </c>
      <c r="JJ24" s="2" t="str">
        <v/>
      </c>
      <c r="JK24" s="2" t="str">
        <v/>
      </c>
      <c r="JL24" s="2">
        <v>2</v>
      </c>
      <c r="JM24" s="2" t="str">
        <v/>
      </c>
      <c r="JN24" s="2" t="str">
        <v/>
      </c>
      <c r="JO24" s="2">
        <v>1</v>
      </c>
      <c r="JP24" s="2" t="str">
        <v/>
      </c>
      <c r="JQ24" s="2" t="str">
        <v/>
      </c>
      <c r="JR24" s="2">
        <v>4</v>
      </c>
      <c r="JS24" s="2" t="str">
        <v/>
      </c>
      <c r="JT24" s="2" t="str">
        <v/>
      </c>
      <c r="JU24" s="2">
        <v>3</v>
      </c>
      <c r="JV24" s="2" t="str">
        <v/>
      </c>
      <c r="JW24" s="2" t="str">
        <v/>
      </c>
      <c r="JX24" s="2">
        <v>2</v>
      </c>
      <c r="JY24" s="2" t="str">
        <v/>
      </c>
      <c r="JZ24" s="2" t="str">
        <v/>
      </c>
      <c r="KA24" s="2">
        <v>1</v>
      </c>
      <c r="KB24" s="2" t="str">
        <v/>
      </c>
      <c r="KC24" s="2" t="str">
        <v/>
      </c>
      <c r="KD24" s="2">
        <v>4</v>
      </c>
      <c r="KE24" s="2" t="str">
        <v/>
      </c>
      <c r="KF24" s="2" t="str">
        <v/>
      </c>
      <c r="KG24" s="2">
        <v>3</v>
      </c>
      <c r="KH24" s="2" t="str">
        <v/>
      </c>
      <c r="KI24" s="2" t="str">
        <v/>
      </c>
      <c r="KJ24" s="2">
        <v>2</v>
      </c>
      <c r="KK24" s="2" t="str">
        <v/>
      </c>
      <c r="KL24" s="2" t="str">
        <v/>
      </c>
      <c r="KM24" s="2">
        <v>1</v>
      </c>
      <c r="KN24" s="2" t="str">
        <v/>
      </c>
      <c r="KO24" s="2" t="str">
        <v/>
      </c>
      <c r="KP24" s="2">
        <v>4</v>
      </c>
      <c r="KQ24" s="2" t="str">
        <v/>
      </c>
      <c r="KR24" s="2" t="str">
        <v/>
      </c>
      <c r="KS24" s="2">
        <v>3</v>
      </c>
      <c r="KT24" s="2" t="str">
        <v/>
      </c>
      <c r="KU24" s="2" t="str">
        <v/>
      </c>
      <c r="KV24" s="2">
        <v>2</v>
      </c>
      <c r="KW24" s="2" t="str">
        <v/>
      </c>
      <c r="KX24" s="2" t="str">
        <v/>
      </c>
      <c r="KY24" s="2">
        <v>1</v>
      </c>
      <c r="KZ24" s="2" t="str">
        <v/>
      </c>
      <c r="LA24" s="2" t="str">
        <v/>
      </c>
      <c r="LB24" s="2">
        <v>4</v>
      </c>
      <c r="LC24" s="2" t="str">
        <v/>
      </c>
      <c r="LD24" s="2" t="str">
        <v/>
      </c>
      <c r="LE24" s="2">
        <v>3</v>
      </c>
      <c r="LF24" s="2" t="str">
        <v/>
      </c>
      <c r="LG24" s="2" t="str">
        <v/>
      </c>
      <c r="LH24" s="2">
        <v>2</v>
      </c>
      <c r="LI24" s="2" t="str">
        <v/>
      </c>
      <c r="LJ24" s="2" t="str">
        <v/>
      </c>
      <c r="LK24" s="2">
        <v>1</v>
      </c>
      <c r="LL24" s="2" t="str">
        <v/>
      </c>
      <c r="LM24" s="2" t="str">
        <v/>
      </c>
      <c r="LN24" s="2">
        <v>4</v>
      </c>
      <c r="LO24" s="2" t="str">
        <v/>
      </c>
      <c r="LP24" s="2" t="str">
        <v/>
      </c>
      <c r="LQ24" s="2">
        <v>3</v>
      </c>
      <c r="LR24" s="2" t="str">
        <v/>
      </c>
      <c r="LS24" s="2" t="str">
        <v/>
      </c>
      <c r="LT24" s="2">
        <v>2</v>
      </c>
      <c r="LU24" s="2" t="str">
        <v/>
      </c>
      <c r="LV24" s="2" t="str">
        <v/>
      </c>
      <c r="LW24" s="2">
        <v>1</v>
      </c>
      <c r="LX24" s="2" t="str">
        <v/>
      </c>
      <c r="LY24" s="2" t="str">
        <v/>
      </c>
      <c r="LZ24" s="2">
        <v>4</v>
      </c>
      <c r="MA24" s="2" t="str">
        <v/>
      </c>
      <c r="MB24" s="2" t="str">
        <v/>
      </c>
      <c r="MC24" s="2">
        <v>3</v>
      </c>
      <c r="MD24" s="2" t="str">
        <v/>
      </c>
      <c r="ME24" s="2" t="str">
        <v/>
      </c>
      <c r="MF24" s="2">
        <v>2</v>
      </c>
      <c r="MG24" s="2" t="str">
        <v/>
      </c>
      <c r="MH24" s="2" t="str">
        <v/>
      </c>
      <c r="MI24" s="2">
        <v>1</v>
      </c>
      <c r="MJ24" s="2" t="str">
        <v/>
      </c>
      <c r="MK24" s="2" t="str">
        <v/>
      </c>
      <c r="ML24" s="2">
        <v>4</v>
      </c>
      <c r="MM24" s="2" t="str">
        <v/>
      </c>
      <c r="MN24" s="2" t="str">
        <v/>
      </c>
      <c r="MO24" s="2">
        <v>3</v>
      </c>
      <c r="MP24" s="2" t="str">
        <v/>
      </c>
      <c r="MQ24" s="2" t="str">
        <v/>
      </c>
      <c r="MR24" s="2">
        <v>2</v>
      </c>
      <c r="MS24" s="2" t="str">
        <v/>
      </c>
      <c r="MT24" s="2" t="str">
        <v/>
      </c>
      <c r="MU24" s="2">
        <v>1</v>
      </c>
      <c r="MV24" s="2" t="str">
        <v/>
      </c>
      <c r="MW24" s="2" t="str">
        <v/>
      </c>
      <c r="MX24" s="2">
        <v>4</v>
      </c>
      <c r="MY24" s="2" t="str">
        <v/>
      </c>
      <c r="MZ24" s="2" t="str">
        <v/>
      </c>
      <c r="NA24" s="2">
        <v>3</v>
      </c>
      <c r="NB24" s="2" t="str">
        <v/>
      </c>
      <c r="NC24" s="2" t="str">
        <v/>
      </c>
      <c r="ND24" s="2" t="e">
        <v>#N/A</v>
      </c>
    </row>
    <row r="25" spans="1:368" hidden="1">
      <c r="A25" s="3" t="str">
        <v>야간_변환1
외곽1</v>
      </c>
      <c r="B25" s="2">
        <v>1</v>
      </c>
      <c r="C25" s="2" t="str">
        <v/>
      </c>
      <c r="D25" s="2" t="str">
        <v/>
      </c>
      <c r="E25" s="2">
        <v>4</v>
      </c>
      <c r="F25" s="2" t="str">
        <v/>
      </c>
      <c r="G25" s="2" t="str">
        <v/>
      </c>
      <c r="H25" s="2">
        <v>3</v>
      </c>
      <c r="I25" s="2" t="str">
        <v/>
      </c>
      <c r="J25" s="2" t="str">
        <v/>
      </c>
      <c r="K25" s="2">
        <v>2</v>
      </c>
      <c r="L25" s="2" t="str">
        <v/>
      </c>
      <c r="M25" s="2" t="str">
        <v/>
      </c>
      <c r="N25" s="2">
        <v>1</v>
      </c>
      <c r="O25" s="2" t="str">
        <v/>
      </c>
      <c r="P25" s="2" t="str">
        <v/>
      </c>
      <c r="Q25" s="2">
        <v>4</v>
      </c>
      <c r="R25" s="2" t="str">
        <v/>
      </c>
      <c r="S25" s="2" t="str">
        <v/>
      </c>
      <c r="T25" s="2">
        <v>3</v>
      </c>
      <c r="U25" s="2" t="str">
        <v/>
      </c>
      <c r="V25" s="2" t="str">
        <v/>
      </c>
      <c r="W25" s="2">
        <v>2</v>
      </c>
      <c r="X25" s="2" t="str">
        <v/>
      </c>
      <c r="Y25" s="2" t="str">
        <v/>
      </c>
      <c r="Z25" s="2">
        <v>1</v>
      </c>
      <c r="AA25" s="2" t="str">
        <v/>
      </c>
      <c r="AB25" s="2" t="str">
        <v/>
      </c>
      <c r="AC25" s="2">
        <v>4</v>
      </c>
      <c r="AD25" s="2" t="str">
        <v/>
      </c>
      <c r="AE25" s="2" t="str">
        <v/>
      </c>
      <c r="AF25" s="2">
        <v>3</v>
      </c>
      <c r="AG25" s="2" t="str">
        <v/>
      </c>
      <c r="AH25" s="2" t="str">
        <v/>
      </c>
      <c r="AI25" s="2">
        <v>2</v>
      </c>
      <c r="AJ25" s="2" t="str">
        <v/>
      </c>
      <c r="AK25" s="2" t="str">
        <v/>
      </c>
      <c r="AL25" s="2">
        <v>1</v>
      </c>
      <c r="AM25" s="2" t="str">
        <v/>
      </c>
      <c r="AN25" s="2" t="str">
        <v/>
      </c>
      <c r="AO25" s="2">
        <v>4</v>
      </c>
      <c r="AP25" s="2" t="str">
        <v/>
      </c>
      <c r="AQ25" s="2" t="str">
        <v/>
      </c>
      <c r="AR25" s="2">
        <v>3</v>
      </c>
      <c r="AS25" s="2" t="str">
        <v/>
      </c>
      <c r="AT25" s="2" t="str">
        <v/>
      </c>
      <c r="AU25" s="2">
        <v>2</v>
      </c>
      <c r="AV25" s="2" t="str">
        <v/>
      </c>
      <c r="AW25" s="2" t="str">
        <v/>
      </c>
      <c r="AX25" s="2">
        <v>1</v>
      </c>
      <c r="AY25" s="2" t="str">
        <v/>
      </c>
      <c r="AZ25" s="2" t="str">
        <v/>
      </c>
      <c r="BA25" s="2">
        <v>4</v>
      </c>
      <c r="BB25" s="2" t="str">
        <v/>
      </c>
      <c r="BC25" s="2" t="str">
        <v/>
      </c>
      <c r="BD25" s="2">
        <v>3</v>
      </c>
      <c r="BE25" s="2" t="str">
        <v/>
      </c>
      <c r="BF25" s="2" t="str">
        <v/>
      </c>
      <c r="BG25" s="2">
        <v>2</v>
      </c>
      <c r="BH25" s="2" t="str">
        <v/>
      </c>
      <c r="BI25" s="2" t="str">
        <v/>
      </c>
      <c r="BJ25" s="2">
        <v>1</v>
      </c>
      <c r="BK25" s="2" t="str">
        <v/>
      </c>
      <c r="BL25" s="2" t="str">
        <v/>
      </c>
      <c r="BM25" s="2">
        <v>4</v>
      </c>
      <c r="BN25" s="2" t="str">
        <v/>
      </c>
      <c r="BO25" s="2" t="str">
        <v/>
      </c>
      <c r="BP25" s="2">
        <v>3</v>
      </c>
      <c r="BQ25" s="2" t="str">
        <v/>
      </c>
      <c r="BR25" s="2" t="str">
        <v/>
      </c>
      <c r="BS25" s="2">
        <v>2</v>
      </c>
      <c r="BT25" s="2" t="str">
        <v/>
      </c>
      <c r="BU25" s="2" t="str">
        <v/>
      </c>
      <c r="BV25" s="2">
        <v>1</v>
      </c>
      <c r="BW25" s="2" t="str">
        <v/>
      </c>
      <c r="BX25" s="2" t="str">
        <v/>
      </c>
      <c r="BY25" s="2">
        <v>4</v>
      </c>
      <c r="BZ25" s="2" t="str">
        <v/>
      </c>
      <c r="CA25" s="2" t="str">
        <v/>
      </c>
      <c r="CB25" s="2">
        <v>3</v>
      </c>
      <c r="CC25" s="2" t="str">
        <v/>
      </c>
      <c r="CD25" s="2" t="str">
        <v/>
      </c>
      <c r="CE25" s="2">
        <v>2</v>
      </c>
      <c r="CF25" s="2" t="str">
        <v/>
      </c>
      <c r="CG25" s="2" t="str">
        <v/>
      </c>
      <c r="CH25" s="2">
        <v>1</v>
      </c>
      <c r="CI25" s="2" t="str">
        <v/>
      </c>
      <c r="CJ25" s="2" t="str">
        <v/>
      </c>
      <c r="CK25" s="2">
        <v>4</v>
      </c>
      <c r="CL25" s="2" t="str">
        <v/>
      </c>
      <c r="CM25" s="2" t="str">
        <v/>
      </c>
      <c r="CN25" s="2">
        <v>3</v>
      </c>
      <c r="CO25" s="2" t="str">
        <v/>
      </c>
      <c r="CP25" s="2" t="str">
        <v/>
      </c>
      <c r="CQ25" s="2">
        <v>2</v>
      </c>
      <c r="CR25" s="2" t="str">
        <v/>
      </c>
      <c r="CS25" s="2" t="str">
        <v/>
      </c>
      <c r="CT25" s="2">
        <v>1</v>
      </c>
      <c r="CU25" s="2" t="str">
        <v/>
      </c>
      <c r="CV25" s="2" t="str">
        <v/>
      </c>
      <c r="CW25" s="2">
        <v>4</v>
      </c>
      <c r="CX25" s="2" t="str">
        <v/>
      </c>
      <c r="CY25" s="2" t="str">
        <v/>
      </c>
      <c r="CZ25" s="2">
        <v>3</v>
      </c>
      <c r="DA25" s="2" t="str">
        <v/>
      </c>
      <c r="DB25" s="2" t="str">
        <v/>
      </c>
      <c r="DC25" s="2">
        <v>2</v>
      </c>
      <c r="DD25" s="2" t="str">
        <v/>
      </c>
      <c r="DE25" s="2" t="str">
        <v/>
      </c>
      <c r="DF25" s="2">
        <v>1</v>
      </c>
      <c r="DG25" s="2" t="str">
        <v/>
      </c>
      <c r="DH25" s="2" t="str">
        <v/>
      </c>
      <c r="DI25" s="2">
        <v>4</v>
      </c>
      <c r="DJ25" s="2" t="str">
        <v/>
      </c>
      <c r="DK25" s="2" t="str">
        <v/>
      </c>
      <c r="DL25" s="2">
        <v>3</v>
      </c>
      <c r="DM25" s="2" t="str">
        <v/>
      </c>
      <c r="DN25" s="2" t="str">
        <v/>
      </c>
      <c r="DO25" s="2">
        <v>2</v>
      </c>
      <c r="DP25" s="2" t="str">
        <v/>
      </c>
      <c r="DQ25" s="2" t="str">
        <v/>
      </c>
      <c r="DR25" s="2">
        <v>1</v>
      </c>
      <c r="DS25" s="2" t="str">
        <v/>
      </c>
      <c r="DT25" s="2" t="str">
        <v/>
      </c>
      <c r="DU25" s="2">
        <v>4</v>
      </c>
      <c r="DV25" s="2" t="str">
        <v/>
      </c>
      <c r="DW25" s="2" t="str">
        <v/>
      </c>
      <c r="DX25" s="2">
        <v>3</v>
      </c>
      <c r="DY25" s="2" t="str">
        <v/>
      </c>
      <c r="DZ25" s="2" t="str">
        <v/>
      </c>
      <c r="EA25" s="2">
        <v>2</v>
      </c>
      <c r="EB25" s="2" t="str">
        <v/>
      </c>
      <c r="EC25" s="2" t="str">
        <v/>
      </c>
      <c r="ED25" s="2">
        <v>1</v>
      </c>
      <c r="EE25" s="2" t="str">
        <v/>
      </c>
      <c r="EF25" s="2" t="str">
        <v/>
      </c>
      <c r="EG25" s="2">
        <v>4</v>
      </c>
      <c r="EH25" s="2" t="str">
        <v/>
      </c>
      <c r="EI25" s="2" t="str">
        <v/>
      </c>
      <c r="EJ25" s="2">
        <v>3</v>
      </c>
      <c r="EK25" s="2" t="str">
        <v/>
      </c>
      <c r="EL25" s="2" t="str">
        <v/>
      </c>
      <c r="EM25" s="2">
        <v>2</v>
      </c>
      <c r="EN25" s="2" t="str">
        <v/>
      </c>
      <c r="EO25" s="2" t="str">
        <v/>
      </c>
      <c r="EP25" s="2">
        <v>1</v>
      </c>
      <c r="EQ25" s="2" t="str">
        <v/>
      </c>
      <c r="ER25" s="2" t="str">
        <v/>
      </c>
      <c r="ES25" s="2">
        <v>4</v>
      </c>
      <c r="ET25" s="2" t="str">
        <v/>
      </c>
      <c r="EU25" s="2" t="str">
        <v/>
      </c>
      <c r="EV25" s="2">
        <v>3</v>
      </c>
      <c r="EW25" s="2" t="str">
        <v/>
      </c>
      <c r="EX25" s="2" t="str">
        <v/>
      </c>
      <c r="EY25" s="2">
        <v>2</v>
      </c>
      <c r="EZ25" s="2" t="str">
        <v/>
      </c>
      <c r="FA25" s="2" t="str">
        <v/>
      </c>
      <c r="FB25" s="2">
        <v>1</v>
      </c>
      <c r="FC25" s="2" t="str">
        <v/>
      </c>
      <c r="FD25" s="2" t="str">
        <v/>
      </c>
      <c r="FE25" s="2">
        <v>4</v>
      </c>
      <c r="FF25" s="2" t="str">
        <v/>
      </c>
      <c r="FG25" s="2" t="str">
        <v/>
      </c>
      <c r="FH25" s="2">
        <v>3</v>
      </c>
      <c r="FI25" s="2" t="str">
        <v/>
      </c>
      <c r="FJ25" s="2" t="str">
        <v/>
      </c>
      <c r="FK25" s="2">
        <v>2</v>
      </c>
      <c r="FL25" s="2" t="str">
        <v/>
      </c>
      <c r="FM25" s="2" t="str">
        <v/>
      </c>
      <c r="FN25" s="2">
        <v>1</v>
      </c>
      <c r="FO25" s="2" t="str">
        <v/>
      </c>
      <c r="FP25" s="2" t="str">
        <v/>
      </c>
      <c r="FQ25" s="2">
        <v>4</v>
      </c>
      <c r="FR25" s="2" t="str">
        <v/>
      </c>
      <c r="FS25" s="2" t="str">
        <v/>
      </c>
      <c r="FT25" s="2">
        <v>3</v>
      </c>
      <c r="FU25" s="2" t="str">
        <v/>
      </c>
      <c r="FV25" s="2" t="str">
        <v/>
      </c>
      <c r="FW25" s="2">
        <v>2</v>
      </c>
      <c r="FX25" s="2" t="str">
        <v/>
      </c>
      <c r="FY25" s="2" t="str">
        <v/>
      </c>
      <c r="FZ25" s="2">
        <v>1</v>
      </c>
      <c r="GA25" s="2" t="str">
        <v/>
      </c>
      <c r="GB25" s="2" t="str">
        <v/>
      </c>
      <c r="GC25" s="2">
        <v>4</v>
      </c>
      <c r="GD25" s="2" t="str">
        <v/>
      </c>
      <c r="GE25" s="2" t="str">
        <v/>
      </c>
      <c r="GF25" s="2">
        <v>3</v>
      </c>
      <c r="GG25" s="2" t="str">
        <v/>
      </c>
      <c r="GH25" s="2" t="str">
        <v/>
      </c>
      <c r="GI25" s="2">
        <v>2</v>
      </c>
      <c r="GJ25" s="2" t="str">
        <v/>
      </c>
      <c r="GK25" s="2" t="str">
        <v/>
      </c>
      <c r="GL25" s="2">
        <v>1</v>
      </c>
      <c r="GM25" s="2" t="str">
        <v/>
      </c>
      <c r="GN25" s="2" t="str">
        <v/>
      </c>
      <c r="GO25" s="2">
        <v>4</v>
      </c>
      <c r="GP25" s="2" t="str">
        <v/>
      </c>
      <c r="GQ25" s="2" t="str">
        <v/>
      </c>
      <c r="GR25" s="2">
        <v>3</v>
      </c>
      <c r="GS25" s="2" t="str">
        <v/>
      </c>
      <c r="GT25" s="2" t="str">
        <v/>
      </c>
      <c r="GU25" s="2">
        <v>2</v>
      </c>
      <c r="GV25" s="2" t="str">
        <v/>
      </c>
      <c r="GW25" s="2" t="str">
        <v/>
      </c>
      <c r="GX25" s="2">
        <v>1</v>
      </c>
      <c r="GY25" s="2" t="str">
        <v/>
      </c>
      <c r="GZ25" s="2" t="str">
        <v/>
      </c>
      <c r="HA25" s="2">
        <v>4</v>
      </c>
      <c r="HB25" s="2" t="str">
        <v/>
      </c>
      <c r="HC25" s="2" t="str">
        <v/>
      </c>
      <c r="HD25" s="2">
        <v>3</v>
      </c>
      <c r="HE25" s="2" t="str">
        <v/>
      </c>
      <c r="HF25" s="2" t="str">
        <v/>
      </c>
      <c r="HG25" s="2">
        <v>2</v>
      </c>
      <c r="HH25" s="2" t="str">
        <v/>
      </c>
      <c r="HI25" s="2" t="str">
        <v/>
      </c>
      <c r="HJ25" s="2">
        <v>1</v>
      </c>
      <c r="HK25" s="2" t="str">
        <v/>
      </c>
      <c r="HL25" s="2" t="str">
        <v/>
      </c>
      <c r="HM25" s="2">
        <v>4</v>
      </c>
      <c r="HN25" s="2" t="str">
        <v/>
      </c>
      <c r="HO25" s="2" t="str">
        <v/>
      </c>
      <c r="HP25" s="2">
        <v>3</v>
      </c>
      <c r="HQ25" s="2" t="str">
        <v/>
      </c>
      <c r="HR25" s="2" t="str">
        <v/>
      </c>
      <c r="HS25" s="2">
        <v>2</v>
      </c>
      <c r="HT25" s="2" t="str">
        <v/>
      </c>
      <c r="HU25" s="2" t="str">
        <v/>
      </c>
      <c r="HV25" s="2">
        <v>1</v>
      </c>
      <c r="HW25" s="2" t="str">
        <v/>
      </c>
      <c r="HX25" s="2" t="str">
        <v/>
      </c>
      <c r="HY25" s="2">
        <v>4</v>
      </c>
      <c r="HZ25" s="2" t="str">
        <v/>
      </c>
      <c r="IA25" s="2" t="str">
        <v/>
      </c>
      <c r="IB25" s="2">
        <v>3</v>
      </c>
      <c r="IC25" s="2" t="str">
        <v/>
      </c>
      <c r="ID25" s="2" t="str">
        <v/>
      </c>
      <c r="IE25" s="2">
        <v>2</v>
      </c>
      <c r="IF25" s="2" t="str">
        <v/>
      </c>
      <c r="IG25" s="2" t="str">
        <v/>
      </c>
      <c r="IH25" s="2">
        <v>1</v>
      </c>
      <c r="II25" s="2" t="str">
        <v/>
      </c>
      <c r="IJ25" s="2" t="str">
        <v/>
      </c>
      <c r="IK25" s="2">
        <v>4</v>
      </c>
      <c r="IL25" s="2" t="str">
        <v/>
      </c>
      <c r="IM25" s="2" t="str">
        <v/>
      </c>
      <c r="IN25" s="2">
        <v>3</v>
      </c>
      <c r="IO25" s="2" t="str">
        <v/>
      </c>
      <c r="IP25" s="2" t="str">
        <v/>
      </c>
      <c r="IQ25" s="2">
        <v>2</v>
      </c>
      <c r="IR25" s="2" t="str">
        <v/>
      </c>
      <c r="IS25" s="2" t="str">
        <v/>
      </c>
      <c r="IT25" s="2">
        <v>1</v>
      </c>
      <c r="IU25" s="2" t="str">
        <v/>
      </c>
      <c r="IV25" s="2" t="str">
        <v/>
      </c>
      <c r="IW25" s="2">
        <v>4</v>
      </c>
      <c r="IX25" s="2" t="str">
        <v/>
      </c>
      <c r="IY25" s="2" t="str">
        <v/>
      </c>
      <c r="IZ25" s="2">
        <v>3</v>
      </c>
      <c r="JA25" s="2" t="str">
        <v/>
      </c>
      <c r="JB25" s="2" t="str">
        <v/>
      </c>
      <c r="JC25" s="2">
        <v>2</v>
      </c>
      <c r="JD25" s="2" t="str">
        <v/>
      </c>
      <c r="JE25" s="2" t="str">
        <v/>
      </c>
      <c r="JF25" s="2">
        <v>1</v>
      </c>
      <c r="JG25" s="2" t="str">
        <v/>
      </c>
      <c r="JH25" s="2" t="str">
        <v/>
      </c>
      <c r="JI25" s="2">
        <v>4</v>
      </c>
      <c r="JJ25" s="2" t="str">
        <v/>
      </c>
      <c r="JK25" s="2" t="str">
        <v/>
      </c>
      <c r="JL25" s="2">
        <v>3</v>
      </c>
      <c r="JM25" s="2" t="str">
        <v/>
      </c>
      <c r="JN25" s="2" t="str">
        <v/>
      </c>
      <c r="JO25" s="2">
        <v>2</v>
      </c>
      <c r="JP25" s="2" t="str">
        <v/>
      </c>
      <c r="JQ25" s="2" t="str">
        <v/>
      </c>
      <c r="JR25" s="2">
        <v>1</v>
      </c>
      <c r="JS25" s="2" t="str">
        <v/>
      </c>
      <c r="JT25" s="2" t="str">
        <v/>
      </c>
      <c r="JU25" s="2">
        <v>4</v>
      </c>
      <c r="JV25" s="2" t="str">
        <v/>
      </c>
      <c r="JW25" s="2" t="str">
        <v/>
      </c>
      <c r="JX25" s="2">
        <v>3</v>
      </c>
      <c r="JY25" s="2" t="str">
        <v/>
      </c>
      <c r="JZ25" s="2" t="str">
        <v/>
      </c>
      <c r="KA25" s="2">
        <v>2</v>
      </c>
      <c r="KB25" s="2" t="str">
        <v/>
      </c>
      <c r="KC25" s="2" t="str">
        <v/>
      </c>
      <c r="KD25" s="2">
        <v>1</v>
      </c>
      <c r="KE25" s="2" t="str">
        <v/>
      </c>
      <c r="KF25" s="2" t="str">
        <v/>
      </c>
      <c r="KG25" s="2">
        <v>4</v>
      </c>
      <c r="KH25" s="2" t="str">
        <v/>
      </c>
      <c r="KI25" s="2" t="str">
        <v/>
      </c>
      <c r="KJ25" s="2">
        <v>3</v>
      </c>
      <c r="KK25" s="2" t="str">
        <v/>
      </c>
      <c r="KL25" s="2" t="str">
        <v/>
      </c>
      <c r="KM25" s="2">
        <v>2</v>
      </c>
      <c r="KN25" s="2" t="str">
        <v/>
      </c>
      <c r="KO25" s="2" t="str">
        <v/>
      </c>
      <c r="KP25" s="2">
        <v>1</v>
      </c>
      <c r="KQ25" s="2" t="str">
        <v/>
      </c>
      <c r="KR25" s="2" t="str">
        <v/>
      </c>
      <c r="KS25" s="2">
        <v>4</v>
      </c>
      <c r="KT25" s="2" t="str">
        <v/>
      </c>
      <c r="KU25" s="2" t="str">
        <v/>
      </c>
      <c r="KV25" s="2">
        <v>3</v>
      </c>
      <c r="KW25" s="2" t="str">
        <v/>
      </c>
      <c r="KX25" s="2" t="str">
        <v/>
      </c>
      <c r="KY25" s="2">
        <v>2</v>
      </c>
      <c r="KZ25" s="2" t="str">
        <v/>
      </c>
      <c r="LA25" s="2" t="str">
        <v/>
      </c>
      <c r="LB25" s="2">
        <v>1</v>
      </c>
      <c r="LC25" s="2" t="str">
        <v/>
      </c>
      <c r="LD25" s="2" t="str">
        <v/>
      </c>
      <c r="LE25" s="2">
        <v>4</v>
      </c>
      <c r="LF25" s="2" t="str">
        <v/>
      </c>
      <c r="LG25" s="2" t="str">
        <v/>
      </c>
      <c r="LH25" s="2">
        <v>3</v>
      </c>
      <c r="LI25" s="2" t="str">
        <v/>
      </c>
      <c r="LJ25" s="2" t="str">
        <v/>
      </c>
      <c r="LK25" s="2">
        <v>2</v>
      </c>
      <c r="LL25" s="2" t="str">
        <v/>
      </c>
      <c r="LM25" s="2" t="str">
        <v/>
      </c>
      <c r="LN25" s="2">
        <v>1</v>
      </c>
      <c r="LO25" s="2" t="str">
        <v/>
      </c>
      <c r="LP25" s="2" t="str">
        <v/>
      </c>
      <c r="LQ25" s="2">
        <v>4</v>
      </c>
      <c r="LR25" s="2" t="str">
        <v/>
      </c>
      <c r="LS25" s="2" t="str">
        <v/>
      </c>
      <c r="LT25" s="2">
        <v>3</v>
      </c>
      <c r="LU25" s="2" t="str">
        <v/>
      </c>
      <c r="LV25" s="2" t="str">
        <v/>
      </c>
      <c r="LW25" s="2">
        <v>2</v>
      </c>
      <c r="LX25" s="2" t="str">
        <v/>
      </c>
      <c r="LY25" s="2" t="str">
        <v/>
      </c>
      <c r="LZ25" s="2">
        <v>1</v>
      </c>
      <c r="MA25" s="2" t="str">
        <v/>
      </c>
      <c r="MB25" s="2" t="str">
        <v/>
      </c>
      <c r="MC25" s="2">
        <v>4</v>
      </c>
      <c r="MD25" s="2" t="str">
        <v/>
      </c>
      <c r="ME25" s="2" t="str">
        <v/>
      </c>
      <c r="MF25" s="2">
        <v>3</v>
      </c>
      <c r="MG25" s="2" t="str">
        <v/>
      </c>
      <c r="MH25" s="2" t="str">
        <v/>
      </c>
      <c r="MI25" s="2">
        <v>2</v>
      </c>
      <c r="MJ25" s="2" t="str">
        <v/>
      </c>
      <c r="MK25" s="2" t="str">
        <v/>
      </c>
      <c r="ML25" s="2">
        <v>1</v>
      </c>
      <c r="MM25" s="2" t="str">
        <v/>
      </c>
      <c r="MN25" s="2" t="str">
        <v/>
      </c>
      <c r="MO25" s="2">
        <v>4</v>
      </c>
      <c r="MP25" s="2" t="str">
        <v/>
      </c>
      <c r="MQ25" s="2" t="str">
        <v/>
      </c>
      <c r="MR25" s="2">
        <v>3</v>
      </c>
      <c r="MS25" s="2" t="str">
        <v/>
      </c>
      <c r="MT25" s="2" t="str">
        <v/>
      </c>
      <c r="MU25" s="2">
        <v>2</v>
      </c>
      <c r="MV25" s="2" t="str">
        <v/>
      </c>
      <c r="MW25" s="2" t="str">
        <v/>
      </c>
      <c r="MX25" s="2">
        <v>1</v>
      </c>
      <c r="MY25" s="2" t="str">
        <v/>
      </c>
      <c r="MZ25" s="2" t="str">
        <v/>
      </c>
      <c r="NA25" s="2">
        <v>4</v>
      </c>
      <c r="NB25" s="2" t="str">
        <v/>
      </c>
      <c r="NC25" s="2" t="str">
        <v/>
      </c>
      <c r="ND25" s="2" t="e">
        <v>#N/A</v>
      </c>
    </row>
    <row r="26" spans="1:368" hidden="1">
      <c r="A26" s="3" t="str">
        <v>야간_변환1
외곽2</v>
      </c>
      <c r="B26" s="2">
        <v>2</v>
      </c>
      <c r="C26" s="2" t="str">
        <v/>
      </c>
      <c r="D26" s="2" t="str">
        <v/>
      </c>
      <c r="E26" s="2">
        <v>1</v>
      </c>
      <c r="F26" s="2" t="str">
        <v/>
      </c>
      <c r="G26" s="2" t="str">
        <v/>
      </c>
      <c r="H26" s="2">
        <v>4</v>
      </c>
      <c r="I26" s="2" t="str">
        <v/>
      </c>
      <c r="J26" s="2" t="str">
        <v/>
      </c>
      <c r="K26" s="2">
        <v>3</v>
      </c>
      <c r="L26" s="2" t="str">
        <v/>
      </c>
      <c r="M26" s="2" t="str">
        <v/>
      </c>
      <c r="N26" s="2">
        <v>2</v>
      </c>
      <c r="O26" s="2" t="str">
        <v/>
      </c>
      <c r="P26" s="2" t="str">
        <v/>
      </c>
      <c r="Q26" s="2">
        <v>1</v>
      </c>
      <c r="R26" s="2" t="str">
        <v/>
      </c>
      <c r="S26" s="2" t="str">
        <v/>
      </c>
      <c r="T26" s="2">
        <v>4</v>
      </c>
      <c r="U26" s="2" t="str">
        <v/>
      </c>
      <c r="V26" s="2" t="str">
        <v/>
      </c>
      <c r="W26" s="2">
        <v>3</v>
      </c>
      <c r="X26" s="2" t="str">
        <v/>
      </c>
      <c r="Y26" s="2" t="str">
        <v/>
      </c>
      <c r="Z26" s="2">
        <v>2</v>
      </c>
      <c r="AA26" s="2" t="str">
        <v/>
      </c>
      <c r="AB26" s="2" t="str">
        <v/>
      </c>
      <c r="AC26" s="2">
        <v>1</v>
      </c>
      <c r="AD26" s="2" t="str">
        <v/>
      </c>
      <c r="AE26" s="2" t="str">
        <v/>
      </c>
      <c r="AF26" s="2">
        <v>4</v>
      </c>
      <c r="AG26" s="2" t="str">
        <v/>
      </c>
      <c r="AH26" s="2" t="str">
        <v/>
      </c>
      <c r="AI26" s="2">
        <v>3</v>
      </c>
      <c r="AJ26" s="2" t="str">
        <v/>
      </c>
      <c r="AK26" s="2" t="str">
        <v/>
      </c>
      <c r="AL26" s="2">
        <v>2</v>
      </c>
      <c r="AM26" s="2" t="str">
        <v/>
      </c>
      <c r="AN26" s="2" t="str">
        <v/>
      </c>
      <c r="AO26" s="2">
        <v>1</v>
      </c>
      <c r="AP26" s="2" t="str">
        <v/>
      </c>
      <c r="AQ26" s="2" t="str">
        <v/>
      </c>
      <c r="AR26" s="2">
        <v>4</v>
      </c>
      <c r="AS26" s="2" t="str">
        <v/>
      </c>
      <c r="AT26" s="2" t="str">
        <v/>
      </c>
      <c r="AU26" s="2">
        <v>3</v>
      </c>
      <c r="AV26" s="2" t="str">
        <v/>
      </c>
      <c r="AW26" s="2" t="str">
        <v/>
      </c>
      <c r="AX26" s="2">
        <v>2</v>
      </c>
      <c r="AY26" s="2" t="str">
        <v/>
      </c>
      <c r="AZ26" s="2" t="str">
        <v/>
      </c>
      <c r="BA26" s="2">
        <v>1</v>
      </c>
      <c r="BB26" s="2" t="str">
        <v/>
      </c>
      <c r="BC26" s="2" t="str">
        <v/>
      </c>
      <c r="BD26" s="2">
        <v>4</v>
      </c>
      <c r="BE26" s="2" t="str">
        <v/>
      </c>
      <c r="BF26" s="2" t="str">
        <v/>
      </c>
      <c r="BG26" s="2">
        <v>3</v>
      </c>
      <c r="BH26" s="2" t="str">
        <v/>
      </c>
      <c r="BI26" s="2" t="str">
        <v/>
      </c>
      <c r="BJ26" s="2">
        <v>2</v>
      </c>
      <c r="BK26" s="2" t="str">
        <v/>
      </c>
      <c r="BL26" s="2" t="str">
        <v/>
      </c>
      <c r="BM26" s="2">
        <v>1</v>
      </c>
      <c r="BN26" s="2" t="str">
        <v/>
      </c>
      <c r="BO26" s="2" t="str">
        <v/>
      </c>
      <c r="BP26" s="2">
        <v>4</v>
      </c>
      <c r="BQ26" s="2" t="str">
        <v/>
      </c>
      <c r="BR26" s="2" t="str">
        <v/>
      </c>
      <c r="BS26" s="2">
        <v>3</v>
      </c>
      <c r="BT26" s="2" t="str">
        <v/>
      </c>
      <c r="BU26" s="2" t="str">
        <v/>
      </c>
      <c r="BV26" s="2">
        <v>2</v>
      </c>
      <c r="BW26" s="2" t="str">
        <v/>
      </c>
      <c r="BX26" s="2" t="str">
        <v/>
      </c>
      <c r="BY26" s="2">
        <v>1</v>
      </c>
      <c r="BZ26" s="2" t="str">
        <v/>
      </c>
      <c r="CA26" s="2" t="str">
        <v/>
      </c>
      <c r="CB26" s="2">
        <v>4</v>
      </c>
      <c r="CC26" s="2" t="str">
        <v/>
      </c>
      <c r="CD26" s="2" t="str">
        <v/>
      </c>
      <c r="CE26" s="2">
        <v>3</v>
      </c>
      <c r="CF26" s="2" t="str">
        <v/>
      </c>
      <c r="CG26" s="2" t="str">
        <v/>
      </c>
      <c r="CH26" s="2">
        <v>2</v>
      </c>
      <c r="CI26" s="2" t="str">
        <v/>
      </c>
      <c r="CJ26" s="2" t="str">
        <v/>
      </c>
      <c r="CK26" s="2">
        <v>1</v>
      </c>
      <c r="CL26" s="2" t="str">
        <v/>
      </c>
      <c r="CM26" s="2" t="str">
        <v/>
      </c>
      <c r="CN26" s="2">
        <v>4</v>
      </c>
      <c r="CO26" s="2" t="str">
        <v/>
      </c>
      <c r="CP26" s="2" t="str">
        <v/>
      </c>
      <c r="CQ26" s="2">
        <v>3</v>
      </c>
      <c r="CR26" s="2" t="str">
        <v/>
      </c>
      <c r="CS26" s="2" t="str">
        <v/>
      </c>
      <c r="CT26" s="2">
        <v>2</v>
      </c>
      <c r="CU26" s="2" t="str">
        <v/>
      </c>
      <c r="CV26" s="2" t="str">
        <v/>
      </c>
      <c r="CW26" s="2">
        <v>1</v>
      </c>
      <c r="CX26" s="2" t="str">
        <v/>
      </c>
      <c r="CY26" s="2" t="str">
        <v/>
      </c>
      <c r="CZ26" s="2">
        <v>4</v>
      </c>
      <c r="DA26" s="2" t="str">
        <v/>
      </c>
      <c r="DB26" s="2" t="str">
        <v/>
      </c>
      <c r="DC26" s="2">
        <v>3</v>
      </c>
      <c r="DD26" s="2" t="str">
        <v/>
      </c>
      <c r="DE26" s="2" t="str">
        <v/>
      </c>
      <c r="DF26" s="2">
        <v>2</v>
      </c>
      <c r="DG26" s="2" t="str">
        <v/>
      </c>
      <c r="DH26" s="2" t="str">
        <v/>
      </c>
      <c r="DI26" s="2">
        <v>1</v>
      </c>
      <c r="DJ26" s="2" t="str">
        <v/>
      </c>
      <c r="DK26" s="2" t="str">
        <v/>
      </c>
      <c r="DL26" s="2">
        <v>4</v>
      </c>
      <c r="DM26" s="2" t="str">
        <v/>
      </c>
      <c r="DN26" s="2" t="str">
        <v/>
      </c>
      <c r="DO26" s="2">
        <v>3</v>
      </c>
      <c r="DP26" s="2" t="str">
        <v/>
      </c>
      <c r="DQ26" s="2" t="str">
        <v/>
      </c>
      <c r="DR26" s="2">
        <v>2</v>
      </c>
      <c r="DS26" s="2" t="str">
        <v/>
      </c>
      <c r="DT26" s="2" t="str">
        <v/>
      </c>
      <c r="DU26" s="2">
        <v>1</v>
      </c>
      <c r="DV26" s="2" t="str">
        <v/>
      </c>
      <c r="DW26" s="2" t="str">
        <v/>
      </c>
      <c r="DX26" s="2">
        <v>4</v>
      </c>
      <c r="DY26" s="2" t="str">
        <v/>
      </c>
      <c r="DZ26" s="2" t="str">
        <v/>
      </c>
      <c r="EA26" s="2">
        <v>3</v>
      </c>
      <c r="EB26" s="2" t="str">
        <v/>
      </c>
      <c r="EC26" s="2" t="str">
        <v/>
      </c>
      <c r="ED26" s="2">
        <v>2</v>
      </c>
      <c r="EE26" s="2" t="str">
        <v/>
      </c>
      <c r="EF26" s="2" t="str">
        <v/>
      </c>
      <c r="EG26" s="2">
        <v>1</v>
      </c>
      <c r="EH26" s="2" t="str">
        <v/>
      </c>
      <c r="EI26" s="2" t="str">
        <v/>
      </c>
      <c r="EJ26" s="2">
        <v>4</v>
      </c>
      <c r="EK26" s="2" t="str">
        <v/>
      </c>
      <c r="EL26" s="2" t="str">
        <v/>
      </c>
      <c r="EM26" s="2">
        <v>3</v>
      </c>
      <c r="EN26" s="2" t="str">
        <v/>
      </c>
      <c r="EO26" s="2" t="str">
        <v/>
      </c>
      <c r="EP26" s="2">
        <v>2</v>
      </c>
      <c r="EQ26" s="2" t="str">
        <v/>
      </c>
      <c r="ER26" s="2" t="str">
        <v/>
      </c>
      <c r="ES26" s="2">
        <v>1</v>
      </c>
      <c r="ET26" s="2" t="str">
        <v/>
      </c>
      <c r="EU26" s="2" t="str">
        <v/>
      </c>
      <c r="EV26" s="2">
        <v>4</v>
      </c>
      <c r="EW26" s="2" t="str">
        <v/>
      </c>
      <c r="EX26" s="2" t="str">
        <v/>
      </c>
      <c r="EY26" s="2">
        <v>3</v>
      </c>
      <c r="EZ26" s="2" t="str">
        <v/>
      </c>
      <c r="FA26" s="2" t="str">
        <v/>
      </c>
      <c r="FB26" s="2">
        <v>2</v>
      </c>
      <c r="FC26" s="2" t="str">
        <v/>
      </c>
      <c r="FD26" s="2" t="str">
        <v/>
      </c>
      <c r="FE26" s="2">
        <v>1</v>
      </c>
      <c r="FF26" s="2" t="str">
        <v/>
      </c>
      <c r="FG26" s="2" t="str">
        <v/>
      </c>
      <c r="FH26" s="2">
        <v>4</v>
      </c>
      <c r="FI26" s="2" t="str">
        <v/>
      </c>
      <c r="FJ26" s="2" t="str">
        <v/>
      </c>
      <c r="FK26" s="2">
        <v>3</v>
      </c>
      <c r="FL26" s="2" t="str">
        <v/>
      </c>
      <c r="FM26" s="2" t="str">
        <v/>
      </c>
      <c r="FN26" s="2">
        <v>2</v>
      </c>
      <c r="FO26" s="2" t="str">
        <v/>
      </c>
      <c r="FP26" s="2" t="str">
        <v/>
      </c>
      <c r="FQ26" s="2">
        <v>1</v>
      </c>
      <c r="FR26" s="2" t="str">
        <v/>
      </c>
      <c r="FS26" s="2" t="str">
        <v/>
      </c>
      <c r="FT26" s="2">
        <v>4</v>
      </c>
      <c r="FU26" s="2" t="str">
        <v/>
      </c>
      <c r="FV26" s="2" t="str">
        <v/>
      </c>
      <c r="FW26" s="2">
        <v>3</v>
      </c>
      <c r="FX26" s="2" t="str">
        <v/>
      </c>
      <c r="FY26" s="2" t="str">
        <v/>
      </c>
      <c r="FZ26" s="2">
        <v>2</v>
      </c>
      <c r="GA26" s="2" t="str">
        <v/>
      </c>
      <c r="GB26" s="2" t="str">
        <v/>
      </c>
      <c r="GC26" s="2">
        <v>1</v>
      </c>
      <c r="GD26" s="2" t="str">
        <v/>
      </c>
      <c r="GE26" s="2" t="str">
        <v/>
      </c>
      <c r="GF26" s="2">
        <v>4</v>
      </c>
      <c r="GG26" s="2" t="str">
        <v/>
      </c>
      <c r="GH26" s="2" t="str">
        <v/>
      </c>
      <c r="GI26" s="2">
        <v>3</v>
      </c>
      <c r="GJ26" s="2" t="str">
        <v/>
      </c>
      <c r="GK26" s="2" t="str">
        <v/>
      </c>
      <c r="GL26" s="2">
        <v>2</v>
      </c>
      <c r="GM26" s="2" t="str">
        <v/>
      </c>
      <c r="GN26" s="2" t="str">
        <v/>
      </c>
      <c r="GO26" s="2">
        <v>1</v>
      </c>
      <c r="GP26" s="2" t="str">
        <v/>
      </c>
      <c r="GQ26" s="2" t="str">
        <v/>
      </c>
      <c r="GR26" s="2">
        <v>4</v>
      </c>
      <c r="GS26" s="2" t="str">
        <v/>
      </c>
      <c r="GT26" s="2" t="str">
        <v/>
      </c>
      <c r="GU26" s="2">
        <v>3</v>
      </c>
      <c r="GV26" s="2" t="str">
        <v/>
      </c>
      <c r="GW26" s="2" t="str">
        <v/>
      </c>
      <c r="GX26" s="2">
        <v>2</v>
      </c>
      <c r="GY26" s="2" t="str">
        <v/>
      </c>
      <c r="GZ26" s="2" t="str">
        <v/>
      </c>
      <c r="HA26" s="2">
        <v>1</v>
      </c>
      <c r="HB26" s="2" t="str">
        <v/>
      </c>
      <c r="HC26" s="2" t="str">
        <v/>
      </c>
      <c r="HD26" s="2">
        <v>4</v>
      </c>
      <c r="HE26" s="2" t="str">
        <v/>
      </c>
      <c r="HF26" s="2" t="str">
        <v/>
      </c>
      <c r="HG26" s="2">
        <v>3</v>
      </c>
      <c r="HH26" s="2" t="str">
        <v/>
      </c>
      <c r="HI26" s="2" t="str">
        <v/>
      </c>
      <c r="HJ26" s="2">
        <v>2</v>
      </c>
      <c r="HK26" s="2" t="str">
        <v/>
      </c>
      <c r="HL26" s="2" t="str">
        <v/>
      </c>
      <c r="HM26" s="2">
        <v>1</v>
      </c>
      <c r="HN26" s="2" t="str">
        <v/>
      </c>
      <c r="HO26" s="2" t="str">
        <v/>
      </c>
      <c r="HP26" s="2">
        <v>4</v>
      </c>
      <c r="HQ26" s="2" t="str">
        <v/>
      </c>
      <c r="HR26" s="2" t="str">
        <v/>
      </c>
      <c r="HS26" s="2">
        <v>3</v>
      </c>
      <c r="HT26" s="2" t="str">
        <v/>
      </c>
      <c r="HU26" s="2" t="str">
        <v/>
      </c>
      <c r="HV26" s="2">
        <v>2</v>
      </c>
      <c r="HW26" s="2" t="str">
        <v/>
      </c>
      <c r="HX26" s="2" t="str">
        <v/>
      </c>
      <c r="HY26" s="2">
        <v>1</v>
      </c>
      <c r="HZ26" s="2" t="str">
        <v/>
      </c>
      <c r="IA26" s="2" t="str">
        <v/>
      </c>
      <c r="IB26" s="2">
        <v>4</v>
      </c>
      <c r="IC26" s="2" t="str">
        <v/>
      </c>
      <c r="ID26" s="2" t="str">
        <v/>
      </c>
      <c r="IE26" s="2">
        <v>3</v>
      </c>
      <c r="IF26" s="2" t="str">
        <v/>
      </c>
      <c r="IG26" s="2" t="str">
        <v/>
      </c>
      <c r="IH26" s="2">
        <v>2</v>
      </c>
      <c r="II26" s="2" t="str">
        <v/>
      </c>
      <c r="IJ26" s="2" t="str">
        <v/>
      </c>
      <c r="IK26" s="2">
        <v>1</v>
      </c>
      <c r="IL26" s="2" t="str">
        <v/>
      </c>
      <c r="IM26" s="2" t="str">
        <v/>
      </c>
      <c r="IN26" s="2">
        <v>4</v>
      </c>
      <c r="IO26" s="2" t="str">
        <v/>
      </c>
      <c r="IP26" s="2" t="str">
        <v/>
      </c>
      <c r="IQ26" s="2">
        <v>3</v>
      </c>
      <c r="IR26" s="2" t="str">
        <v/>
      </c>
      <c r="IS26" s="2" t="str">
        <v/>
      </c>
      <c r="IT26" s="2">
        <v>2</v>
      </c>
      <c r="IU26" s="2" t="str">
        <v/>
      </c>
      <c r="IV26" s="2" t="str">
        <v/>
      </c>
      <c r="IW26" s="2">
        <v>1</v>
      </c>
      <c r="IX26" s="2" t="str">
        <v/>
      </c>
      <c r="IY26" s="2" t="str">
        <v/>
      </c>
      <c r="IZ26" s="2">
        <v>4</v>
      </c>
      <c r="JA26" s="2" t="str">
        <v/>
      </c>
      <c r="JB26" s="2" t="str">
        <v/>
      </c>
      <c r="JC26" s="2">
        <v>3</v>
      </c>
      <c r="JD26" s="2" t="str">
        <v/>
      </c>
      <c r="JE26" s="2" t="str">
        <v/>
      </c>
      <c r="JF26" s="2">
        <v>2</v>
      </c>
      <c r="JG26" s="2" t="str">
        <v/>
      </c>
      <c r="JH26" s="2" t="str">
        <v/>
      </c>
      <c r="JI26" s="2">
        <v>1</v>
      </c>
      <c r="JJ26" s="2" t="str">
        <v/>
      </c>
      <c r="JK26" s="2" t="str">
        <v/>
      </c>
      <c r="JL26" s="2">
        <v>4</v>
      </c>
      <c r="JM26" s="2" t="str">
        <v/>
      </c>
      <c r="JN26" s="2" t="str">
        <v/>
      </c>
      <c r="JO26" s="2">
        <v>3</v>
      </c>
      <c r="JP26" s="2" t="str">
        <v/>
      </c>
      <c r="JQ26" s="2" t="str">
        <v/>
      </c>
      <c r="JR26" s="2">
        <v>2</v>
      </c>
      <c r="JS26" s="2" t="str">
        <v/>
      </c>
      <c r="JT26" s="2" t="str">
        <v/>
      </c>
      <c r="JU26" s="2">
        <v>1</v>
      </c>
      <c r="JV26" s="2" t="str">
        <v/>
      </c>
      <c r="JW26" s="2" t="str">
        <v/>
      </c>
      <c r="JX26" s="2">
        <v>4</v>
      </c>
      <c r="JY26" s="2" t="str">
        <v/>
      </c>
      <c r="JZ26" s="2" t="str">
        <v/>
      </c>
      <c r="KA26" s="2">
        <v>3</v>
      </c>
      <c r="KB26" s="2" t="str">
        <v/>
      </c>
      <c r="KC26" s="2" t="str">
        <v/>
      </c>
      <c r="KD26" s="2">
        <v>2</v>
      </c>
      <c r="KE26" s="2" t="str">
        <v/>
      </c>
      <c r="KF26" s="2" t="str">
        <v/>
      </c>
      <c r="KG26" s="2">
        <v>1</v>
      </c>
      <c r="KH26" s="2" t="str">
        <v/>
      </c>
      <c r="KI26" s="2" t="str">
        <v/>
      </c>
      <c r="KJ26" s="2">
        <v>4</v>
      </c>
      <c r="KK26" s="2" t="str">
        <v/>
      </c>
      <c r="KL26" s="2" t="str">
        <v/>
      </c>
      <c r="KM26" s="2">
        <v>3</v>
      </c>
      <c r="KN26" s="2" t="str">
        <v/>
      </c>
      <c r="KO26" s="2" t="str">
        <v/>
      </c>
      <c r="KP26" s="2">
        <v>2</v>
      </c>
      <c r="KQ26" s="2" t="str">
        <v/>
      </c>
      <c r="KR26" s="2" t="str">
        <v/>
      </c>
      <c r="KS26" s="2">
        <v>1</v>
      </c>
      <c r="KT26" s="2" t="str">
        <v/>
      </c>
      <c r="KU26" s="2" t="str">
        <v/>
      </c>
      <c r="KV26" s="2">
        <v>4</v>
      </c>
      <c r="KW26" s="2" t="str">
        <v/>
      </c>
      <c r="KX26" s="2" t="str">
        <v/>
      </c>
      <c r="KY26" s="2">
        <v>3</v>
      </c>
      <c r="KZ26" s="2" t="str">
        <v/>
      </c>
      <c r="LA26" s="2" t="str">
        <v/>
      </c>
      <c r="LB26" s="2">
        <v>2</v>
      </c>
      <c r="LC26" s="2" t="str">
        <v/>
      </c>
      <c r="LD26" s="2" t="str">
        <v/>
      </c>
      <c r="LE26" s="2">
        <v>1</v>
      </c>
      <c r="LF26" s="2" t="str">
        <v/>
      </c>
      <c r="LG26" s="2" t="str">
        <v/>
      </c>
      <c r="LH26" s="2">
        <v>4</v>
      </c>
      <c r="LI26" s="2" t="str">
        <v/>
      </c>
      <c r="LJ26" s="2" t="str">
        <v/>
      </c>
      <c r="LK26" s="2">
        <v>3</v>
      </c>
      <c r="LL26" s="2" t="str">
        <v/>
      </c>
      <c r="LM26" s="2" t="str">
        <v/>
      </c>
      <c r="LN26" s="2">
        <v>2</v>
      </c>
      <c r="LO26" s="2" t="str">
        <v/>
      </c>
      <c r="LP26" s="2" t="str">
        <v/>
      </c>
      <c r="LQ26" s="2">
        <v>1</v>
      </c>
      <c r="LR26" s="2" t="str">
        <v/>
      </c>
      <c r="LS26" s="2" t="str">
        <v/>
      </c>
      <c r="LT26" s="2">
        <v>4</v>
      </c>
      <c r="LU26" s="2" t="str">
        <v/>
      </c>
      <c r="LV26" s="2" t="str">
        <v/>
      </c>
      <c r="LW26" s="2">
        <v>3</v>
      </c>
      <c r="LX26" s="2" t="str">
        <v/>
      </c>
      <c r="LY26" s="2" t="str">
        <v/>
      </c>
      <c r="LZ26" s="2">
        <v>2</v>
      </c>
      <c r="MA26" s="2" t="str">
        <v/>
      </c>
      <c r="MB26" s="2" t="str">
        <v/>
      </c>
      <c r="MC26" s="2">
        <v>1</v>
      </c>
      <c r="MD26" s="2" t="str">
        <v/>
      </c>
      <c r="ME26" s="2" t="str">
        <v/>
      </c>
      <c r="MF26" s="2">
        <v>4</v>
      </c>
      <c r="MG26" s="2" t="str">
        <v/>
      </c>
      <c r="MH26" s="2" t="str">
        <v/>
      </c>
      <c r="MI26" s="2">
        <v>3</v>
      </c>
      <c r="MJ26" s="2" t="str">
        <v/>
      </c>
      <c r="MK26" s="2" t="str">
        <v/>
      </c>
      <c r="ML26" s="2">
        <v>2</v>
      </c>
      <c r="MM26" s="2" t="str">
        <v/>
      </c>
      <c r="MN26" s="2" t="str">
        <v/>
      </c>
      <c r="MO26" s="2">
        <v>1</v>
      </c>
      <c r="MP26" s="2" t="str">
        <v/>
      </c>
      <c r="MQ26" s="2" t="str">
        <v/>
      </c>
      <c r="MR26" s="2">
        <v>4</v>
      </c>
      <c r="MS26" s="2" t="str">
        <v/>
      </c>
      <c r="MT26" s="2" t="str">
        <v/>
      </c>
      <c r="MU26" s="2">
        <v>3</v>
      </c>
      <c r="MV26" s="2" t="str">
        <v/>
      </c>
      <c r="MW26" s="2" t="str">
        <v/>
      </c>
      <c r="MX26" s="2">
        <v>2</v>
      </c>
      <c r="MY26" s="2" t="str">
        <v/>
      </c>
      <c r="MZ26" s="2" t="str">
        <v/>
      </c>
      <c r="NA26" s="2">
        <v>1</v>
      </c>
      <c r="NB26" s="2" t="str">
        <v/>
      </c>
      <c r="NC26" s="2" t="str">
        <v/>
      </c>
      <c r="ND26" s="2" t="e">
        <v>#N/A</v>
      </c>
    </row>
    <row r="27" spans="1:368" hidden="1">
      <c r="A27" s="3" t="str">
        <v>야간_변환1
외곽3
(5명근무시)</v>
      </c>
      <c r="B27" s="2">
        <v>1</v>
      </c>
      <c r="C27" s="2" t="str">
        <v/>
      </c>
      <c r="D27" s="2" t="str">
        <v/>
      </c>
      <c r="E27" s="2">
        <v>2</v>
      </c>
      <c r="F27" s="2" t="str">
        <v/>
      </c>
      <c r="G27" s="2" t="str">
        <v/>
      </c>
      <c r="H27" s="2">
        <v>3</v>
      </c>
      <c r="I27" s="2" t="str">
        <v/>
      </c>
      <c r="J27" s="2" t="str">
        <v/>
      </c>
      <c r="K27" s="2">
        <v>4</v>
      </c>
      <c r="L27" s="2" t="str">
        <v/>
      </c>
      <c r="M27" s="2" t="str">
        <v/>
      </c>
      <c r="N27" s="2">
        <v>0</v>
      </c>
      <c r="O27" s="2" t="str">
        <v/>
      </c>
      <c r="P27" s="2" t="str">
        <v/>
      </c>
      <c r="Q27" s="2">
        <v>1</v>
      </c>
      <c r="R27" s="2" t="str">
        <v/>
      </c>
      <c r="S27" s="2" t="str">
        <v/>
      </c>
      <c r="T27" s="2">
        <v>2</v>
      </c>
      <c r="U27" s="2" t="str">
        <v/>
      </c>
      <c r="V27" s="2" t="str">
        <v/>
      </c>
      <c r="W27" s="2">
        <v>3</v>
      </c>
      <c r="X27" s="2" t="str">
        <v/>
      </c>
      <c r="Y27" s="2" t="str">
        <v/>
      </c>
      <c r="Z27" s="2">
        <v>4</v>
      </c>
      <c r="AA27" s="2" t="str">
        <v/>
      </c>
      <c r="AB27" s="2" t="str">
        <v/>
      </c>
      <c r="AC27" s="2">
        <v>0</v>
      </c>
      <c r="AD27" s="2" t="str">
        <v/>
      </c>
      <c r="AE27" s="2" t="str">
        <v/>
      </c>
      <c r="AF27" s="2">
        <v>1</v>
      </c>
      <c r="AG27" s="2" t="str">
        <v/>
      </c>
      <c r="AH27" s="2" t="str">
        <v/>
      </c>
      <c r="AI27" s="2">
        <v>2</v>
      </c>
      <c r="AJ27" s="2" t="str">
        <v/>
      </c>
      <c r="AK27" s="2" t="str">
        <v/>
      </c>
      <c r="AL27" s="2">
        <v>3</v>
      </c>
      <c r="AM27" s="2" t="str">
        <v/>
      </c>
      <c r="AN27" s="2" t="str">
        <v/>
      </c>
      <c r="AO27" s="2">
        <v>4</v>
      </c>
      <c r="AP27" s="2" t="str">
        <v/>
      </c>
      <c r="AQ27" s="2" t="str">
        <v/>
      </c>
      <c r="AR27" s="2">
        <v>0</v>
      </c>
      <c r="AS27" s="2" t="str">
        <v/>
      </c>
      <c r="AT27" s="2" t="str">
        <v/>
      </c>
      <c r="AU27" s="2">
        <v>1</v>
      </c>
      <c r="AV27" s="2" t="str">
        <v/>
      </c>
      <c r="AW27" s="2" t="str">
        <v/>
      </c>
      <c r="AX27" s="2">
        <v>2</v>
      </c>
      <c r="AY27" s="2" t="str">
        <v/>
      </c>
      <c r="AZ27" s="2" t="str">
        <v/>
      </c>
      <c r="BA27" s="2">
        <v>3</v>
      </c>
      <c r="BB27" s="2" t="str">
        <v/>
      </c>
      <c r="BC27" s="2" t="str">
        <v/>
      </c>
      <c r="BD27" s="2">
        <v>4</v>
      </c>
      <c r="BE27" s="2" t="str">
        <v/>
      </c>
      <c r="BF27" s="2" t="str">
        <v/>
      </c>
      <c r="BG27" s="2">
        <v>0</v>
      </c>
      <c r="BH27" s="2" t="str">
        <v/>
      </c>
      <c r="BI27" s="2" t="str">
        <v/>
      </c>
      <c r="BJ27" s="2">
        <v>1</v>
      </c>
      <c r="BK27" s="2" t="str">
        <v/>
      </c>
      <c r="BL27" s="2" t="str">
        <v/>
      </c>
      <c r="BM27" s="2">
        <v>2</v>
      </c>
      <c r="BN27" s="2" t="str">
        <v/>
      </c>
      <c r="BO27" s="2" t="str">
        <v/>
      </c>
      <c r="BP27" s="2">
        <v>3</v>
      </c>
      <c r="BQ27" s="2" t="str">
        <v/>
      </c>
      <c r="BR27" s="2" t="str">
        <v/>
      </c>
      <c r="BS27" s="2">
        <v>4</v>
      </c>
      <c r="BT27" s="2" t="str">
        <v/>
      </c>
      <c r="BU27" s="2" t="str">
        <v/>
      </c>
      <c r="BV27" s="2">
        <v>0</v>
      </c>
      <c r="BW27" s="2" t="str">
        <v/>
      </c>
      <c r="BX27" s="2" t="str">
        <v/>
      </c>
      <c r="BY27" s="2">
        <v>1</v>
      </c>
      <c r="BZ27" s="2" t="str">
        <v/>
      </c>
      <c r="CA27" s="2" t="str">
        <v/>
      </c>
      <c r="CB27" s="2">
        <v>2</v>
      </c>
      <c r="CC27" s="2" t="str">
        <v/>
      </c>
      <c r="CD27" s="2" t="str">
        <v/>
      </c>
      <c r="CE27" s="2">
        <v>3</v>
      </c>
      <c r="CF27" s="2" t="str">
        <v/>
      </c>
      <c r="CG27" s="2" t="str">
        <v/>
      </c>
      <c r="CH27" s="2">
        <v>4</v>
      </c>
      <c r="CI27" s="2" t="str">
        <v/>
      </c>
      <c r="CJ27" s="2" t="str">
        <v/>
      </c>
      <c r="CK27" s="2">
        <v>0</v>
      </c>
      <c r="CL27" s="2" t="str">
        <v/>
      </c>
      <c r="CM27" s="2" t="str">
        <v/>
      </c>
      <c r="CN27" s="2">
        <v>1</v>
      </c>
      <c r="CO27" s="2" t="str">
        <v/>
      </c>
      <c r="CP27" s="2" t="str">
        <v/>
      </c>
      <c r="CQ27" s="2">
        <v>2</v>
      </c>
      <c r="CR27" s="2" t="str">
        <v/>
      </c>
      <c r="CS27" s="2" t="str">
        <v/>
      </c>
      <c r="CT27" s="2">
        <v>3</v>
      </c>
      <c r="CU27" s="2" t="str">
        <v/>
      </c>
      <c r="CV27" s="2" t="str">
        <v/>
      </c>
      <c r="CW27" s="2">
        <v>4</v>
      </c>
      <c r="CX27" s="2" t="str">
        <v/>
      </c>
      <c r="CY27" s="2" t="str">
        <v/>
      </c>
      <c r="CZ27" s="2">
        <v>0</v>
      </c>
      <c r="DA27" s="2" t="str">
        <v/>
      </c>
      <c r="DB27" s="2" t="str">
        <v/>
      </c>
      <c r="DC27" s="2">
        <v>1</v>
      </c>
      <c r="DD27" s="2" t="str">
        <v/>
      </c>
      <c r="DE27" s="2" t="str">
        <v/>
      </c>
      <c r="DF27" s="2">
        <v>2</v>
      </c>
      <c r="DG27" s="2" t="str">
        <v/>
      </c>
      <c r="DH27" s="2" t="str">
        <v/>
      </c>
      <c r="DI27" s="2">
        <v>3</v>
      </c>
      <c r="DJ27" s="2" t="str">
        <v/>
      </c>
      <c r="DK27" s="2" t="str">
        <v/>
      </c>
      <c r="DL27" s="2">
        <v>4</v>
      </c>
      <c r="DM27" s="2" t="str">
        <v/>
      </c>
      <c r="DN27" s="2" t="str">
        <v/>
      </c>
      <c r="DO27" s="2">
        <v>0</v>
      </c>
      <c r="DP27" s="2" t="str">
        <v/>
      </c>
      <c r="DQ27" s="2" t="str">
        <v/>
      </c>
      <c r="DR27" s="2">
        <v>1</v>
      </c>
      <c r="DS27" s="2" t="str">
        <v/>
      </c>
      <c r="DT27" s="2" t="str">
        <v/>
      </c>
      <c r="DU27" s="2">
        <v>2</v>
      </c>
      <c r="DV27" s="2" t="str">
        <v/>
      </c>
      <c r="DW27" s="2" t="str">
        <v/>
      </c>
      <c r="DX27" s="2">
        <v>3</v>
      </c>
      <c r="DY27" s="2" t="str">
        <v/>
      </c>
      <c r="DZ27" s="2" t="str">
        <v/>
      </c>
      <c r="EA27" s="2">
        <v>4</v>
      </c>
      <c r="EB27" s="2" t="str">
        <v/>
      </c>
      <c r="EC27" s="2" t="str">
        <v/>
      </c>
      <c r="ED27" s="2">
        <v>0</v>
      </c>
      <c r="EE27" s="2" t="str">
        <v/>
      </c>
      <c r="EF27" s="2" t="str">
        <v/>
      </c>
      <c r="EG27" s="2">
        <v>1</v>
      </c>
      <c r="EH27" s="2" t="str">
        <v/>
      </c>
      <c r="EI27" s="2" t="str">
        <v/>
      </c>
      <c r="EJ27" s="2">
        <v>2</v>
      </c>
      <c r="EK27" s="2" t="str">
        <v/>
      </c>
      <c r="EL27" s="2" t="str">
        <v/>
      </c>
      <c r="EM27" s="2">
        <v>3</v>
      </c>
      <c r="EN27" s="2" t="str">
        <v/>
      </c>
      <c r="EO27" s="2" t="str">
        <v/>
      </c>
      <c r="EP27" s="2">
        <v>4</v>
      </c>
      <c r="EQ27" s="2" t="str">
        <v/>
      </c>
      <c r="ER27" s="2" t="str">
        <v/>
      </c>
      <c r="ES27" s="2">
        <v>0</v>
      </c>
      <c r="ET27" s="2" t="str">
        <v/>
      </c>
      <c r="EU27" s="2" t="str">
        <v/>
      </c>
      <c r="EV27" s="2">
        <v>1</v>
      </c>
      <c r="EW27" s="2" t="str">
        <v/>
      </c>
      <c r="EX27" s="2" t="str">
        <v/>
      </c>
      <c r="EY27" s="2">
        <v>2</v>
      </c>
      <c r="EZ27" s="2" t="str">
        <v/>
      </c>
      <c r="FA27" s="2" t="str">
        <v/>
      </c>
      <c r="FB27" s="2">
        <v>3</v>
      </c>
      <c r="FC27" s="2" t="str">
        <v/>
      </c>
      <c r="FD27" s="2" t="str">
        <v/>
      </c>
      <c r="FE27" s="2">
        <v>4</v>
      </c>
      <c r="FF27" s="2" t="str">
        <v/>
      </c>
      <c r="FG27" s="2" t="str">
        <v/>
      </c>
      <c r="FH27" s="2">
        <v>0</v>
      </c>
      <c r="FI27" s="2" t="str">
        <v/>
      </c>
      <c r="FJ27" s="2" t="str">
        <v/>
      </c>
      <c r="FK27" s="2">
        <v>1</v>
      </c>
      <c r="FL27" s="2" t="str">
        <v/>
      </c>
      <c r="FM27" s="2" t="str">
        <v/>
      </c>
      <c r="FN27" s="2">
        <v>2</v>
      </c>
      <c r="FO27" s="2" t="str">
        <v/>
      </c>
      <c r="FP27" s="2" t="str">
        <v/>
      </c>
      <c r="FQ27" s="2">
        <v>3</v>
      </c>
      <c r="FR27" s="2" t="str">
        <v/>
      </c>
      <c r="FS27" s="2" t="str">
        <v/>
      </c>
      <c r="FT27" s="2">
        <v>4</v>
      </c>
      <c r="FU27" s="2" t="str">
        <v/>
      </c>
      <c r="FV27" s="2" t="str">
        <v/>
      </c>
      <c r="FW27" s="2">
        <v>0</v>
      </c>
      <c r="FX27" s="2" t="str">
        <v/>
      </c>
      <c r="FY27" s="2" t="str">
        <v/>
      </c>
      <c r="FZ27" s="2">
        <v>1</v>
      </c>
      <c r="GA27" s="2" t="str">
        <v/>
      </c>
      <c r="GB27" s="2" t="str">
        <v/>
      </c>
      <c r="GC27" s="2">
        <v>2</v>
      </c>
      <c r="GD27" s="2" t="str">
        <v/>
      </c>
      <c r="GE27" s="2" t="str">
        <v/>
      </c>
      <c r="GF27" s="2">
        <v>3</v>
      </c>
      <c r="GG27" s="2" t="str">
        <v/>
      </c>
      <c r="GH27" s="2" t="str">
        <v/>
      </c>
      <c r="GI27" s="2">
        <v>4</v>
      </c>
      <c r="GJ27" s="2" t="str">
        <v/>
      </c>
      <c r="GK27" s="2" t="str">
        <v/>
      </c>
      <c r="GL27" s="2">
        <v>0</v>
      </c>
      <c r="GM27" s="2" t="str">
        <v/>
      </c>
      <c r="GN27" s="2" t="str">
        <v/>
      </c>
      <c r="GO27" s="2">
        <v>1</v>
      </c>
      <c r="GP27" s="2" t="str">
        <v/>
      </c>
      <c r="GQ27" s="2" t="str">
        <v/>
      </c>
      <c r="GR27" s="2">
        <v>2</v>
      </c>
      <c r="GS27" s="2" t="str">
        <v/>
      </c>
      <c r="GT27" s="2" t="str">
        <v/>
      </c>
      <c r="GU27" s="2">
        <v>3</v>
      </c>
      <c r="GV27" s="2" t="str">
        <v/>
      </c>
      <c r="GW27" s="2" t="str">
        <v/>
      </c>
      <c r="GX27" s="2">
        <v>4</v>
      </c>
      <c r="GY27" s="2" t="str">
        <v/>
      </c>
      <c r="GZ27" s="2" t="str">
        <v/>
      </c>
      <c r="HA27" s="2">
        <v>0</v>
      </c>
      <c r="HB27" s="2" t="str">
        <v/>
      </c>
      <c r="HC27" s="2" t="str">
        <v/>
      </c>
      <c r="HD27" s="2">
        <v>1</v>
      </c>
      <c r="HE27" s="2" t="str">
        <v/>
      </c>
      <c r="HF27" s="2" t="str">
        <v/>
      </c>
      <c r="HG27" s="2">
        <v>2</v>
      </c>
      <c r="HH27" s="2" t="str">
        <v/>
      </c>
      <c r="HI27" s="2" t="str">
        <v/>
      </c>
      <c r="HJ27" s="2">
        <v>3</v>
      </c>
      <c r="HK27" s="2" t="str">
        <v/>
      </c>
      <c r="HL27" s="2" t="str">
        <v/>
      </c>
      <c r="HM27" s="2">
        <v>4</v>
      </c>
      <c r="HN27" s="2" t="str">
        <v/>
      </c>
      <c r="HO27" s="2" t="str">
        <v/>
      </c>
      <c r="HP27" s="2">
        <v>0</v>
      </c>
      <c r="HQ27" s="2" t="str">
        <v/>
      </c>
      <c r="HR27" s="2" t="str">
        <v/>
      </c>
      <c r="HS27" s="2">
        <v>1</v>
      </c>
      <c r="HT27" s="2" t="str">
        <v/>
      </c>
      <c r="HU27" s="2" t="str">
        <v/>
      </c>
      <c r="HV27" s="2">
        <v>2</v>
      </c>
      <c r="HW27" s="2" t="str">
        <v/>
      </c>
      <c r="HX27" s="2" t="str">
        <v/>
      </c>
      <c r="HY27" s="2">
        <v>3</v>
      </c>
      <c r="HZ27" s="2" t="str">
        <v/>
      </c>
      <c r="IA27" s="2" t="str">
        <v/>
      </c>
      <c r="IB27" s="2">
        <v>4</v>
      </c>
      <c r="IC27" s="2" t="str">
        <v/>
      </c>
      <c r="ID27" s="2" t="str">
        <v/>
      </c>
      <c r="IE27" s="2">
        <v>0</v>
      </c>
      <c r="IF27" s="2" t="str">
        <v/>
      </c>
      <c r="IG27" s="2" t="str">
        <v/>
      </c>
      <c r="IH27" s="2">
        <v>1</v>
      </c>
      <c r="II27" s="2" t="str">
        <v/>
      </c>
      <c r="IJ27" s="2" t="str">
        <v/>
      </c>
      <c r="IK27" s="2">
        <v>2</v>
      </c>
      <c r="IL27" s="2" t="str">
        <v/>
      </c>
      <c r="IM27" s="2" t="str">
        <v/>
      </c>
      <c r="IN27" s="2">
        <v>3</v>
      </c>
      <c r="IO27" s="2" t="str">
        <v/>
      </c>
      <c r="IP27" s="2" t="str">
        <v/>
      </c>
      <c r="IQ27" s="2">
        <v>4</v>
      </c>
      <c r="IR27" s="2" t="str">
        <v/>
      </c>
      <c r="IS27" s="2" t="str">
        <v/>
      </c>
      <c r="IT27" s="2">
        <v>0</v>
      </c>
      <c r="IU27" s="2" t="str">
        <v/>
      </c>
      <c r="IV27" s="2" t="str">
        <v/>
      </c>
      <c r="IW27" s="2">
        <v>1</v>
      </c>
      <c r="IX27" s="2" t="str">
        <v/>
      </c>
      <c r="IY27" s="2" t="str">
        <v/>
      </c>
      <c r="IZ27" s="2">
        <v>2</v>
      </c>
      <c r="JA27" s="2" t="str">
        <v/>
      </c>
      <c r="JB27" s="2" t="str">
        <v/>
      </c>
      <c r="JC27" s="2">
        <v>3</v>
      </c>
      <c r="JD27" s="2" t="str">
        <v/>
      </c>
      <c r="JE27" s="2" t="str">
        <v/>
      </c>
      <c r="JF27" s="2">
        <v>4</v>
      </c>
      <c r="JG27" s="2" t="str">
        <v/>
      </c>
      <c r="JH27" s="2" t="str">
        <v/>
      </c>
      <c r="JI27" s="2">
        <v>0</v>
      </c>
      <c r="JJ27" s="2" t="str">
        <v/>
      </c>
      <c r="JK27" s="2" t="str">
        <v/>
      </c>
      <c r="JL27" s="2">
        <v>1</v>
      </c>
      <c r="JM27" s="2" t="str">
        <v/>
      </c>
      <c r="JN27" s="2" t="str">
        <v/>
      </c>
      <c r="JO27" s="2">
        <v>2</v>
      </c>
      <c r="JP27" s="2" t="str">
        <v/>
      </c>
      <c r="JQ27" s="2" t="str">
        <v/>
      </c>
      <c r="JR27" s="2">
        <v>3</v>
      </c>
      <c r="JS27" s="2" t="str">
        <v/>
      </c>
      <c r="JT27" s="2" t="str">
        <v/>
      </c>
      <c r="JU27" s="2">
        <v>4</v>
      </c>
      <c r="JV27" s="2" t="str">
        <v/>
      </c>
      <c r="JW27" s="2" t="str">
        <v/>
      </c>
      <c r="JX27" s="2">
        <v>0</v>
      </c>
      <c r="JY27" s="2" t="str">
        <v/>
      </c>
      <c r="JZ27" s="2" t="str">
        <v/>
      </c>
      <c r="KA27" s="2">
        <v>1</v>
      </c>
      <c r="KB27" s="2" t="str">
        <v/>
      </c>
      <c r="KC27" s="2" t="str">
        <v/>
      </c>
      <c r="KD27" s="2">
        <v>2</v>
      </c>
      <c r="KE27" s="2" t="str">
        <v/>
      </c>
      <c r="KF27" s="2" t="str">
        <v/>
      </c>
      <c r="KG27" s="2">
        <v>3</v>
      </c>
      <c r="KH27" s="2" t="str">
        <v/>
      </c>
      <c r="KI27" s="2" t="str">
        <v/>
      </c>
      <c r="KJ27" s="2">
        <v>4</v>
      </c>
      <c r="KK27" s="2" t="str">
        <v/>
      </c>
      <c r="KL27" s="2" t="str">
        <v/>
      </c>
      <c r="KM27" s="2">
        <v>0</v>
      </c>
      <c r="KN27" s="2" t="str">
        <v/>
      </c>
      <c r="KO27" s="2" t="str">
        <v/>
      </c>
      <c r="KP27" s="2">
        <v>1</v>
      </c>
      <c r="KQ27" s="2" t="str">
        <v/>
      </c>
      <c r="KR27" s="2" t="str">
        <v/>
      </c>
      <c r="KS27" s="2">
        <v>2</v>
      </c>
      <c r="KT27" s="2" t="str">
        <v/>
      </c>
      <c r="KU27" s="2" t="str">
        <v/>
      </c>
      <c r="KV27" s="2">
        <v>3</v>
      </c>
      <c r="KW27" s="2" t="str">
        <v/>
      </c>
      <c r="KX27" s="2" t="str">
        <v/>
      </c>
      <c r="KY27" s="2">
        <v>4</v>
      </c>
      <c r="KZ27" s="2" t="str">
        <v/>
      </c>
      <c r="LA27" s="2" t="str">
        <v/>
      </c>
      <c r="LB27" s="2">
        <v>0</v>
      </c>
      <c r="LC27" s="2" t="str">
        <v/>
      </c>
      <c r="LD27" s="2" t="str">
        <v/>
      </c>
      <c r="LE27" s="2">
        <v>1</v>
      </c>
      <c r="LF27" s="2" t="str">
        <v/>
      </c>
      <c r="LG27" s="2" t="str">
        <v/>
      </c>
      <c r="LH27" s="2">
        <v>2</v>
      </c>
      <c r="LI27" s="2" t="str">
        <v/>
      </c>
      <c r="LJ27" s="2" t="str">
        <v/>
      </c>
      <c r="LK27" s="2">
        <v>3</v>
      </c>
      <c r="LL27" s="2" t="str">
        <v/>
      </c>
      <c r="LM27" s="2" t="str">
        <v/>
      </c>
      <c r="LN27" s="2">
        <v>4</v>
      </c>
      <c r="LO27" s="2" t="str">
        <v/>
      </c>
      <c r="LP27" s="2" t="str">
        <v/>
      </c>
      <c r="LQ27" s="2">
        <v>0</v>
      </c>
      <c r="LR27" s="2" t="str">
        <v/>
      </c>
      <c r="LS27" s="2" t="str">
        <v/>
      </c>
      <c r="LT27" s="2">
        <v>1</v>
      </c>
      <c r="LU27" s="2" t="str">
        <v/>
      </c>
      <c r="LV27" s="2" t="str">
        <v/>
      </c>
      <c r="LW27" s="2">
        <v>2</v>
      </c>
      <c r="LX27" s="2" t="str">
        <v/>
      </c>
      <c r="LY27" s="2" t="str">
        <v/>
      </c>
      <c r="LZ27" s="2">
        <v>3</v>
      </c>
      <c r="MA27" s="2" t="str">
        <v/>
      </c>
      <c r="MB27" s="2" t="str">
        <v/>
      </c>
      <c r="MC27" s="2">
        <v>4</v>
      </c>
      <c r="MD27" s="2" t="str">
        <v/>
      </c>
      <c r="ME27" s="2" t="str">
        <v/>
      </c>
      <c r="MF27" s="2">
        <v>0</v>
      </c>
      <c r="MG27" s="2" t="str">
        <v/>
      </c>
      <c r="MH27" s="2" t="str">
        <v/>
      </c>
      <c r="MI27" s="2">
        <v>1</v>
      </c>
      <c r="MJ27" s="2" t="str">
        <v/>
      </c>
      <c r="MK27" s="2" t="str">
        <v/>
      </c>
      <c r="ML27" s="2">
        <v>2</v>
      </c>
      <c r="MM27" s="2" t="str">
        <v/>
      </c>
      <c r="MN27" s="2" t="str">
        <v/>
      </c>
      <c r="MO27" s="2">
        <v>3</v>
      </c>
      <c r="MP27" s="2" t="str">
        <v/>
      </c>
      <c r="MQ27" s="2" t="str">
        <v/>
      </c>
      <c r="MR27" s="2">
        <v>4</v>
      </c>
      <c r="MS27" s="2" t="str">
        <v/>
      </c>
      <c r="MT27" s="2" t="str">
        <v/>
      </c>
      <c r="MU27" s="2">
        <v>0</v>
      </c>
      <c r="MV27" s="2" t="str">
        <v/>
      </c>
      <c r="MW27" s="2" t="str">
        <v/>
      </c>
      <c r="MX27" s="2">
        <v>1</v>
      </c>
      <c r="MY27" s="2" t="str">
        <v/>
      </c>
      <c r="MZ27" s="2" t="str">
        <v/>
      </c>
      <c r="NA27" s="2">
        <v>2</v>
      </c>
      <c r="NB27" s="2" t="str">
        <v/>
      </c>
      <c r="NC27" s="2" t="str">
        <v/>
      </c>
      <c r="ND27" s="2" t="e">
        <v>#N/A</v>
      </c>
    </row>
    <row r="28" spans="1:368" hidden="1">
      <c r="A28" s="3" t="str">
        <v>야간근무
지원동</v>
      </c>
      <c r="B28" s="2" t="str">
        <v>허지웅</v>
      </c>
      <c r="C28" s="2" t="str">
        <v>-</v>
      </c>
      <c r="D28" s="2" t="str">
        <v>-</v>
      </c>
      <c r="E28" s="2" t="str">
        <v>박성현</v>
      </c>
      <c r="F28" s="2" t="str">
        <v>-</v>
      </c>
      <c r="G28" s="2" t="str">
        <v>-</v>
      </c>
      <c r="H28" s="2" t="str">
        <v>이기수</v>
      </c>
      <c r="I28" s="2" t="str">
        <v>-</v>
      </c>
      <c r="J28" s="2" t="str">
        <v>-</v>
      </c>
      <c r="K28" s="2" t="str">
        <v>정윤준</v>
      </c>
      <c r="L28" s="2" t="str">
        <v>-</v>
      </c>
      <c r="M28" s="2" t="str">
        <v>-</v>
      </c>
      <c r="N28" s="2" t="str">
        <v>허지웅</v>
      </c>
      <c r="O28" s="2" t="str">
        <v>-</v>
      </c>
      <c r="P28" s="2" t="str">
        <v>-</v>
      </c>
      <c r="Q28" s="2" t="str">
        <v>박성현</v>
      </c>
      <c r="R28" s="2" t="str">
        <v>-</v>
      </c>
      <c r="S28" s="2" t="str">
        <v>-</v>
      </c>
      <c r="T28" s="2" t="str">
        <v>이기수</v>
      </c>
      <c r="U28" s="2" t="str">
        <v>-</v>
      </c>
      <c r="V28" s="2" t="str">
        <v>-</v>
      </c>
      <c r="W28" s="2" t="str">
        <v>정윤준</v>
      </c>
      <c r="X28" s="2" t="str">
        <v>-</v>
      </c>
      <c r="Y28" s="2" t="str">
        <v>-</v>
      </c>
      <c r="Z28" s="2" t="str">
        <v>허지웅</v>
      </c>
      <c r="AA28" s="2" t="str">
        <v>-</v>
      </c>
      <c r="AB28" s="2" t="str">
        <v>-</v>
      </c>
      <c r="AC28" s="2" t="str">
        <v>박성현</v>
      </c>
      <c r="AD28" s="2" t="str">
        <v>-</v>
      </c>
      <c r="AE28" s="2" t="str">
        <v>-</v>
      </c>
      <c r="AF28" s="2" t="str">
        <v>이기수</v>
      </c>
      <c r="AG28" s="2" t="str">
        <v>-</v>
      </c>
      <c r="AH28" s="2" t="str">
        <v>-</v>
      </c>
      <c r="AI28" s="2" t="str">
        <v>정윤준</v>
      </c>
      <c r="AJ28" s="2" t="str">
        <v>-</v>
      </c>
      <c r="AK28" s="2" t="str">
        <v>-</v>
      </c>
      <c r="AL28" s="2" t="str">
        <v>허지웅</v>
      </c>
      <c r="AM28" s="2" t="str">
        <v>-</v>
      </c>
      <c r="AN28" s="2" t="str">
        <v>-</v>
      </c>
      <c r="AO28" s="2" t="str">
        <v>박성현</v>
      </c>
      <c r="AP28" s="2" t="str">
        <v>-</v>
      </c>
      <c r="AQ28" s="2" t="str">
        <v>-</v>
      </c>
      <c r="AR28" s="2" t="str">
        <v>이기수</v>
      </c>
      <c r="AS28" s="2" t="str">
        <v>-</v>
      </c>
      <c r="AT28" s="2" t="str">
        <v>-</v>
      </c>
      <c r="AU28" s="2" t="str">
        <v>정윤준</v>
      </c>
      <c r="AV28" s="2" t="str">
        <v>-</v>
      </c>
      <c r="AW28" s="2" t="str">
        <v>-</v>
      </c>
      <c r="AX28" s="2" t="str">
        <v>허지웅</v>
      </c>
      <c r="AY28" s="2" t="str">
        <v>-</v>
      </c>
      <c r="AZ28" s="2" t="str">
        <v>-</v>
      </c>
      <c r="BA28" s="2" t="str">
        <v>박성현</v>
      </c>
      <c r="BB28" s="2" t="str">
        <v>-</v>
      </c>
      <c r="BC28" s="2" t="str">
        <v>-</v>
      </c>
      <c r="BD28" s="2" t="str">
        <v>이기수</v>
      </c>
      <c r="BE28" s="2" t="str">
        <v>-</v>
      </c>
      <c r="BF28" s="2" t="str">
        <v>-</v>
      </c>
      <c r="BG28" s="2" t="str">
        <v>정윤준</v>
      </c>
      <c r="BH28" s="2" t="str">
        <v>-</v>
      </c>
      <c r="BI28" s="2" t="str">
        <v>-</v>
      </c>
      <c r="BJ28" s="2" t="str">
        <v>허지웅</v>
      </c>
      <c r="BK28" s="2" t="str">
        <v>-</v>
      </c>
      <c r="BL28" s="2" t="str">
        <v>-</v>
      </c>
      <c r="BM28" s="2" t="str">
        <v>박성현</v>
      </c>
      <c r="BN28" s="2" t="str">
        <v>-</v>
      </c>
      <c r="BO28" s="2" t="str">
        <v>-</v>
      </c>
      <c r="BP28" s="2" t="str">
        <v>이기수</v>
      </c>
      <c r="BQ28" s="2" t="str">
        <v>-</v>
      </c>
      <c r="BR28" s="2" t="str">
        <v>-</v>
      </c>
      <c r="BS28" s="2" t="str">
        <v>정윤준</v>
      </c>
      <c r="BT28" s="2" t="str">
        <v>-</v>
      </c>
      <c r="BU28" s="2" t="str">
        <v>-</v>
      </c>
      <c r="BV28" s="2" t="str">
        <v>허지웅</v>
      </c>
      <c r="BW28" s="2" t="str">
        <v>-</v>
      </c>
      <c r="BX28" s="2" t="str">
        <v>-</v>
      </c>
      <c r="BY28" s="2" t="str">
        <v>박성현</v>
      </c>
      <c r="BZ28" s="2" t="str">
        <v>-</v>
      </c>
      <c r="CA28" s="2" t="str">
        <v>-</v>
      </c>
      <c r="CB28" s="2" t="str">
        <v>이기수</v>
      </c>
      <c r="CC28" s="2" t="str">
        <v>-</v>
      </c>
      <c r="CD28" s="2" t="str">
        <v>-</v>
      </c>
      <c r="CE28" s="2" t="str">
        <v>정윤준</v>
      </c>
      <c r="CF28" s="2" t="str">
        <v>-</v>
      </c>
      <c r="CG28" s="2" t="str">
        <v>-</v>
      </c>
      <c r="CH28" s="2" t="str">
        <v>허지웅</v>
      </c>
      <c r="CI28" s="2" t="str">
        <v>-</v>
      </c>
      <c r="CJ28" s="2" t="str">
        <v>-</v>
      </c>
      <c r="CK28" s="2" t="str">
        <v>박성현</v>
      </c>
      <c r="CL28" s="2" t="str">
        <v>-</v>
      </c>
      <c r="CM28" s="2" t="str">
        <v>-</v>
      </c>
      <c r="CN28" s="2" t="str">
        <v>이기수</v>
      </c>
      <c r="CO28" s="2" t="str">
        <v>-</v>
      </c>
      <c r="CP28" s="2" t="str">
        <v>-</v>
      </c>
      <c r="CQ28" s="2" t="str">
        <v>정윤준</v>
      </c>
      <c r="CR28" s="2" t="str">
        <v>-</v>
      </c>
      <c r="CS28" s="2" t="str">
        <v>-</v>
      </c>
      <c r="CT28" s="2" t="str">
        <v>허지웅</v>
      </c>
      <c r="CU28" s="2" t="str">
        <v>-</v>
      </c>
      <c r="CV28" s="2" t="str">
        <v>-</v>
      </c>
      <c r="CW28" s="2" t="str">
        <v>박성현</v>
      </c>
      <c r="CX28" s="2" t="str">
        <v>-</v>
      </c>
      <c r="CY28" s="2" t="str">
        <v>-</v>
      </c>
      <c r="CZ28" s="2" t="str">
        <v>이기수</v>
      </c>
      <c r="DA28" s="2" t="str">
        <v>-</v>
      </c>
      <c r="DB28" s="2" t="str">
        <v>-</v>
      </c>
      <c r="DC28" s="2" t="str">
        <v>정윤준</v>
      </c>
      <c r="DD28" s="2" t="str">
        <v>-</v>
      </c>
      <c r="DE28" s="2" t="str">
        <v>-</v>
      </c>
      <c r="DF28" s="2" t="str">
        <v>허지웅</v>
      </c>
      <c r="DG28" s="2" t="str">
        <v>-</v>
      </c>
      <c r="DH28" s="2" t="str">
        <v>-</v>
      </c>
      <c r="DI28" s="2" t="str">
        <v>박성현</v>
      </c>
      <c r="DJ28" s="2" t="str">
        <v>-</v>
      </c>
      <c r="DK28" s="2" t="str">
        <v>-</v>
      </c>
      <c r="DL28" s="2" t="str">
        <v>이기수</v>
      </c>
      <c r="DM28" s="2" t="str">
        <v>-</v>
      </c>
      <c r="DN28" s="2" t="str">
        <v>-</v>
      </c>
      <c r="DO28" s="2" t="str">
        <v>정윤준</v>
      </c>
      <c r="DP28" s="2" t="str">
        <v>-</v>
      </c>
      <c r="DQ28" s="2" t="str">
        <v>-</v>
      </c>
      <c r="DR28" s="2" t="str">
        <v>허지웅</v>
      </c>
      <c r="DS28" s="2" t="str">
        <v>-</v>
      </c>
      <c r="DT28" s="2" t="str">
        <v>-</v>
      </c>
      <c r="DU28" s="2" t="str">
        <v>박성현</v>
      </c>
      <c r="DV28" s="2" t="str">
        <v>-</v>
      </c>
      <c r="DW28" s="2" t="str">
        <v>-</v>
      </c>
      <c r="DX28" s="2" t="str">
        <v>이기수</v>
      </c>
      <c r="DY28" s="2" t="str">
        <v>-</v>
      </c>
      <c r="DZ28" s="2" t="str">
        <v>-</v>
      </c>
      <c r="EA28" s="2" t="str">
        <v>정윤준</v>
      </c>
      <c r="EB28" s="2" t="str">
        <v>-</v>
      </c>
      <c r="EC28" s="2" t="str">
        <v>-</v>
      </c>
      <c r="ED28" s="2" t="str">
        <v>허지웅</v>
      </c>
      <c r="EE28" s="2" t="str">
        <v>-</v>
      </c>
      <c r="EF28" s="2" t="str">
        <v>-</v>
      </c>
      <c r="EG28" s="2" t="str">
        <v>박성현</v>
      </c>
      <c r="EH28" s="2" t="str">
        <v>-</v>
      </c>
      <c r="EI28" s="2" t="str">
        <v>-</v>
      </c>
      <c r="EJ28" s="2" t="str">
        <v>이기수</v>
      </c>
      <c r="EK28" s="2" t="str">
        <v>-</v>
      </c>
      <c r="EL28" s="2" t="str">
        <v>-</v>
      </c>
      <c r="EM28" s="2" t="str">
        <v>정윤준</v>
      </c>
      <c r="EN28" s="2" t="str">
        <v>-</v>
      </c>
      <c r="EO28" s="2" t="str">
        <v>-</v>
      </c>
      <c r="EP28" s="2" t="str">
        <v>허지웅</v>
      </c>
      <c r="EQ28" s="2" t="str">
        <v>-</v>
      </c>
      <c r="ER28" s="2" t="str">
        <v>-</v>
      </c>
      <c r="ES28" s="2" t="str">
        <v>박성현</v>
      </c>
      <c r="ET28" s="2" t="str">
        <v>-</v>
      </c>
      <c r="EU28" s="2" t="str">
        <v>-</v>
      </c>
      <c r="EV28" s="2" t="str">
        <v>이기수</v>
      </c>
      <c r="EW28" s="2" t="str">
        <v>-</v>
      </c>
      <c r="EX28" s="2" t="str">
        <v>-</v>
      </c>
      <c r="EY28" s="2" t="str">
        <v>정윤준</v>
      </c>
      <c r="EZ28" s="2" t="str">
        <v>-</v>
      </c>
      <c r="FA28" s="2" t="str">
        <v>-</v>
      </c>
      <c r="FB28" s="2" t="str">
        <v>허지웅</v>
      </c>
      <c r="FC28" s="2" t="str">
        <v>-</v>
      </c>
      <c r="FD28" s="2" t="str">
        <v>-</v>
      </c>
      <c r="FE28" s="2" t="str">
        <v>박성현</v>
      </c>
      <c r="FF28" s="2" t="str">
        <v>-</v>
      </c>
      <c r="FG28" s="2" t="str">
        <v>-</v>
      </c>
      <c r="FH28" s="2" t="str">
        <v>이기수</v>
      </c>
      <c r="FI28" s="2" t="str">
        <v>-</v>
      </c>
      <c r="FJ28" s="2" t="str">
        <v>-</v>
      </c>
      <c r="FK28" s="2" t="str">
        <v>정윤준</v>
      </c>
      <c r="FL28" s="2" t="str">
        <v>-</v>
      </c>
      <c r="FM28" s="2" t="str">
        <v>-</v>
      </c>
      <c r="FN28" s="2" t="str">
        <v>허지웅</v>
      </c>
      <c r="FO28" s="2" t="str">
        <v>-</v>
      </c>
      <c r="FP28" s="2" t="str">
        <v>-</v>
      </c>
      <c r="FQ28" s="2" t="str">
        <v>박성현</v>
      </c>
      <c r="FR28" s="2" t="str">
        <v>-</v>
      </c>
      <c r="FS28" s="2" t="str">
        <v>-</v>
      </c>
      <c r="FT28" s="2" t="str">
        <v>이기수</v>
      </c>
      <c r="FU28" s="2" t="str">
        <v>-</v>
      </c>
      <c r="FV28" s="2" t="str">
        <v>-</v>
      </c>
      <c r="FW28" s="2" t="str">
        <v>정윤준</v>
      </c>
      <c r="FX28" s="2" t="str">
        <v>-</v>
      </c>
      <c r="FY28" s="2" t="str">
        <v>-</v>
      </c>
      <c r="FZ28" s="2" t="str">
        <v>허지웅</v>
      </c>
      <c r="GA28" s="2" t="str">
        <v>-</v>
      </c>
      <c r="GB28" s="2" t="str">
        <v>-</v>
      </c>
      <c r="GC28" s="2" t="str">
        <v>박성현</v>
      </c>
      <c r="GD28" s="2" t="str">
        <v>-</v>
      </c>
      <c r="GE28" s="2" t="str">
        <v>-</v>
      </c>
      <c r="GF28" s="2" t="str">
        <v>이기수</v>
      </c>
      <c r="GG28" s="2" t="str">
        <v>-</v>
      </c>
      <c r="GH28" s="2" t="str">
        <v>-</v>
      </c>
      <c r="GI28" s="2" t="str">
        <v>정윤준</v>
      </c>
      <c r="GJ28" s="2" t="str">
        <v>-</v>
      </c>
      <c r="GK28" s="2" t="str">
        <v>-</v>
      </c>
      <c r="GL28" s="2" t="str">
        <v>허지웅</v>
      </c>
      <c r="GM28" s="2" t="str">
        <v>-</v>
      </c>
      <c r="GN28" s="2" t="str">
        <v>-</v>
      </c>
      <c r="GO28" s="2" t="str">
        <v>박성현</v>
      </c>
      <c r="GP28" s="2" t="str">
        <v>-</v>
      </c>
      <c r="GQ28" s="2" t="str">
        <v>-</v>
      </c>
      <c r="GR28" s="2" t="str">
        <v>이기수</v>
      </c>
      <c r="GS28" s="2" t="str">
        <v>-</v>
      </c>
      <c r="GT28" s="2" t="str">
        <v>-</v>
      </c>
      <c r="GU28" s="2" t="str">
        <v>정윤준</v>
      </c>
      <c r="GV28" s="2" t="str">
        <v>-</v>
      </c>
      <c r="GW28" s="2" t="str">
        <v>-</v>
      </c>
      <c r="GX28" s="2" t="str">
        <v>허지웅</v>
      </c>
      <c r="GY28" s="2" t="str">
        <v>-</v>
      </c>
      <c r="GZ28" s="2" t="str">
        <v>-</v>
      </c>
      <c r="HA28" s="2" t="str">
        <v>박성현</v>
      </c>
      <c r="HB28" s="2" t="str">
        <v>-</v>
      </c>
      <c r="HC28" s="2" t="str">
        <v>-</v>
      </c>
      <c r="HD28" s="2" t="str">
        <v>이기수</v>
      </c>
      <c r="HE28" s="2" t="str">
        <v>-</v>
      </c>
      <c r="HF28" s="2" t="str">
        <v>-</v>
      </c>
      <c r="HG28" s="2" t="str">
        <v>정윤준</v>
      </c>
      <c r="HH28" s="2" t="str">
        <v>-</v>
      </c>
      <c r="HI28" s="2" t="str">
        <v>-</v>
      </c>
      <c r="HJ28" s="2" t="str">
        <v>허지웅</v>
      </c>
      <c r="HK28" s="2" t="str">
        <v>-</v>
      </c>
      <c r="HL28" s="2" t="str">
        <v>-</v>
      </c>
      <c r="HM28" s="2" t="str">
        <v>박성현</v>
      </c>
      <c r="HN28" s="2" t="str">
        <v>-</v>
      </c>
      <c r="HO28" s="2" t="str">
        <v>-</v>
      </c>
      <c r="HP28" s="2" t="str">
        <v>이기수</v>
      </c>
      <c r="HQ28" s="2" t="str">
        <v>-</v>
      </c>
      <c r="HR28" s="2" t="str">
        <v>-</v>
      </c>
      <c r="HS28" s="2" t="str">
        <v>정윤준</v>
      </c>
      <c r="HT28" s="2" t="str">
        <v>-</v>
      </c>
      <c r="HU28" s="2" t="str">
        <v>-</v>
      </c>
      <c r="HV28" s="2" t="str">
        <v>허지웅</v>
      </c>
      <c r="HW28" s="2" t="str">
        <v>-</v>
      </c>
      <c r="HX28" s="2" t="str">
        <v>-</v>
      </c>
      <c r="HY28" s="2" t="str">
        <v>박성현</v>
      </c>
      <c r="HZ28" s="2" t="str">
        <v>-</v>
      </c>
      <c r="IA28" s="2" t="str">
        <v>-</v>
      </c>
      <c r="IB28" s="2" t="str">
        <v>이기수</v>
      </c>
      <c r="IC28" s="2" t="str">
        <v>-</v>
      </c>
      <c r="ID28" s="2" t="str">
        <v>-</v>
      </c>
      <c r="IE28" s="2" t="str">
        <v>정윤준</v>
      </c>
      <c r="IF28" s="2" t="str">
        <v>-</v>
      </c>
      <c r="IG28" s="2" t="str">
        <v>-</v>
      </c>
      <c r="IH28" s="2" t="str">
        <v>허지웅</v>
      </c>
      <c r="II28" s="2" t="str">
        <v>-</v>
      </c>
      <c r="IJ28" s="2" t="str">
        <v>-</v>
      </c>
      <c r="IK28" s="2" t="str">
        <v>박성현</v>
      </c>
      <c r="IL28" s="2" t="str">
        <v>-</v>
      </c>
      <c r="IM28" s="2" t="str">
        <v>-</v>
      </c>
      <c r="IN28" s="2" t="str">
        <v>이기수</v>
      </c>
      <c r="IO28" s="2" t="str">
        <v>-</v>
      </c>
      <c r="IP28" s="2" t="str">
        <v>-</v>
      </c>
      <c r="IQ28" s="2" t="str">
        <v>정윤준</v>
      </c>
      <c r="IR28" s="2" t="str">
        <v>-</v>
      </c>
      <c r="IS28" s="2" t="str">
        <v>-</v>
      </c>
      <c r="IT28" s="2" t="str">
        <v>허지웅</v>
      </c>
      <c r="IU28" s="2" t="str">
        <v>-</v>
      </c>
      <c r="IV28" s="2" t="str">
        <v>-</v>
      </c>
      <c r="IW28" s="2" t="str">
        <v>박성현</v>
      </c>
      <c r="IX28" s="2" t="str">
        <v>-</v>
      </c>
      <c r="IY28" s="2" t="str">
        <v>-</v>
      </c>
      <c r="IZ28" s="2" t="str">
        <v>이기수</v>
      </c>
      <c r="JA28" s="2" t="str">
        <v>-</v>
      </c>
      <c r="JB28" s="2" t="str">
        <v>-</v>
      </c>
      <c r="JC28" s="2" t="str">
        <v>정윤준</v>
      </c>
      <c r="JD28" s="2" t="str">
        <v>-</v>
      </c>
      <c r="JE28" s="2" t="str">
        <v>-</v>
      </c>
      <c r="JF28" s="2" t="str">
        <v>허지웅</v>
      </c>
      <c r="JG28" s="2" t="str">
        <v>-</v>
      </c>
      <c r="JH28" s="2" t="str">
        <v>-</v>
      </c>
      <c r="JI28" s="2" t="str">
        <v>박성현</v>
      </c>
      <c r="JJ28" s="2" t="str">
        <v>-</v>
      </c>
      <c r="JK28" s="2" t="str">
        <v>-</v>
      </c>
      <c r="JL28" s="2" t="str">
        <v>이기수</v>
      </c>
      <c r="JM28" s="2" t="str">
        <v>-</v>
      </c>
      <c r="JN28" s="2" t="str">
        <v>-</v>
      </c>
      <c r="JO28" s="2" t="str">
        <v>정윤준</v>
      </c>
      <c r="JP28" s="2" t="str">
        <v>-</v>
      </c>
      <c r="JQ28" s="2" t="str">
        <v>-</v>
      </c>
      <c r="JR28" s="2" t="str">
        <v>허지웅</v>
      </c>
      <c r="JS28" s="2" t="str">
        <v>-</v>
      </c>
      <c r="JT28" s="2" t="str">
        <v>-</v>
      </c>
      <c r="JU28" s="2" t="str">
        <v>박성현</v>
      </c>
      <c r="JV28" s="2" t="str">
        <v>-</v>
      </c>
      <c r="JW28" s="2" t="str">
        <v>-</v>
      </c>
      <c r="JX28" s="2" t="str">
        <v>이기수</v>
      </c>
      <c r="JY28" s="2" t="str">
        <v>-</v>
      </c>
      <c r="JZ28" s="2" t="str">
        <v>-</v>
      </c>
      <c r="KA28" s="2" t="str">
        <v>정윤준</v>
      </c>
      <c r="KB28" s="2" t="str">
        <v>-</v>
      </c>
      <c r="KC28" s="2" t="str">
        <v>-</v>
      </c>
      <c r="KD28" s="2" t="str">
        <v>허지웅</v>
      </c>
      <c r="KE28" s="2" t="str">
        <v>-</v>
      </c>
      <c r="KF28" s="2" t="str">
        <v>-</v>
      </c>
      <c r="KG28" s="2" t="str">
        <v>박성현</v>
      </c>
      <c r="KH28" s="2" t="str">
        <v>-</v>
      </c>
      <c r="KI28" s="2" t="str">
        <v>-</v>
      </c>
      <c r="KJ28" s="2" t="str">
        <v>이기수</v>
      </c>
      <c r="KK28" s="2" t="str">
        <v>-</v>
      </c>
      <c r="KL28" s="2" t="str">
        <v>-</v>
      </c>
      <c r="KM28" s="2" t="str">
        <v>정윤준</v>
      </c>
      <c r="KN28" s="2" t="str">
        <v>-</v>
      </c>
      <c r="KO28" s="2" t="str">
        <v>-</v>
      </c>
      <c r="KP28" s="2" t="str">
        <v>허지웅</v>
      </c>
      <c r="KQ28" s="2" t="str">
        <v>-</v>
      </c>
      <c r="KR28" s="2" t="str">
        <v>-</v>
      </c>
      <c r="KS28" s="2" t="str">
        <v>박성현</v>
      </c>
      <c r="KT28" s="2" t="str">
        <v>-</v>
      </c>
      <c r="KU28" s="2" t="str">
        <v>-</v>
      </c>
      <c r="KV28" s="2" t="str">
        <v>이기수</v>
      </c>
      <c r="KW28" s="2" t="str">
        <v>-</v>
      </c>
      <c r="KX28" s="2" t="str">
        <v>-</v>
      </c>
      <c r="KY28" s="2" t="str">
        <v>정윤준</v>
      </c>
      <c r="KZ28" s="2" t="str">
        <v>-</v>
      </c>
      <c r="LA28" s="2" t="str">
        <v>-</v>
      </c>
      <c r="LB28" s="2" t="str">
        <v>허지웅</v>
      </c>
      <c r="LC28" s="2" t="str">
        <v>-</v>
      </c>
      <c r="LD28" s="2" t="str">
        <v>-</v>
      </c>
      <c r="LE28" s="2" t="str">
        <v>박성현</v>
      </c>
      <c r="LF28" s="2" t="str">
        <v>-</v>
      </c>
      <c r="LG28" s="2" t="str">
        <v>-</v>
      </c>
      <c r="LH28" s="2" t="str">
        <v>이기수</v>
      </c>
      <c r="LI28" s="2" t="str">
        <v>-</v>
      </c>
      <c r="LJ28" s="2" t="str">
        <v>-</v>
      </c>
      <c r="LK28" s="2" t="str">
        <v>정윤준</v>
      </c>
      <c r="LL28" s="2" t="str">
        <v>-</v>
      </c>
      <c r="LM28" s="2" t="str">
        <v>-</v>
      </c>
      <c r="LN28" s="2" t="str">
        <v>허지웅</v>
      </c>
      <c r="LO28" s="2" t="str">
        <v>-</v>
      </c>
      <c r="LP28" s="2" t="str">
        <v>-</v>
      </c>
      <c r="LQ28" s="2" t="str">
        <v>박성현</v>
      </c>
      <c r="LR28" s="2" t="str">
        <v>-</v>
      </c>
      <c r="LS28" s="2" t="str">
        <v>-</v>
      </c>
      <c r="LT28" s="2" t="str">
        <v>이기수</v>
      </c>
      <c r="LU28" s="2" t="str">
        <v>-</v>
      </c>
      <c r="LV28" s="2" t="str">
        <v>-</v>
      </c>
      <c r="LW28" s="2" t="str">
        <v>정윤준</v>
      </c>
      <c r="LX28" s="2" t="str">
        <v>-</v>
      </c>
      <c r="LY28" s="2" t="str">
        <v>-</v>
      </c>
      <c r="LZ28" s="2" t="str">
        <v>허지웅</v>
      </c>
      <c r="MA28" s="2" t="str">
        <v>-</v>
      </c>
      <c r="MB28" s="2" t="str">
        <v>-</v>
      </c>
      <c r="MC28" s="2" t="str">
        <v>박성현</v>
      </c>
      <c r="MD28" s="2" t="str">
        <v>-</v>
      </c>
      <c r="ME28" s="2" t="str">
        <v>-</v>
      </c>
      <c r="MF28" s="2" t="str">
        <v>이기수</v>
      </c>
      <c r="MG28" s="2" t="str">
        <v>-</v>
      </c>
      <c r="MH28" s="2" t="str">
        <v>-</v>
      </c>
      <c r="MI28" s="2" t="str">
        <v>정윤준</v>
      </c>
      <c r="MJ28" s="2" t="str">
        <v>-</v>
      </c>
      <c r="MK28" s="2" t="str">
        <v>-</v>
      </c>
      <c r="ML28" s="2" t="str">
        <v>허지웅</v>
      </c>
      <c r="MM28" s="2" t="str">
        <v>-</v>
      </c>
      <c r="MN28" s="2" t="str">
        <v>-</v>
      </c>
      <c r="MO28" s="2" t="str">
        <v>박성현</v>
      </c>
      <c r="MP28" s="2" t="str">
        <v>-</v>
      </c>
      <c r="MQ28" s="2" t="str">
        <v>-</v>
      </c>
      <c r="MR28" s="2" t="str">
        <v>이기수</v>
      </c>
      <c r="MS28" s="2" t="str">
        <v>-</v>
      </c>
      <c r="MT28" s="2" t="str">
        <v>-</v>
      </c>
      <c r="MU28" s="2" t="str">
        <v>정윤준</v>
      </c>
      <c r="MV28" s="2" t="str">
        <v>-</v>
      </c>
      <c r="MW28" s="2" t="str">
        <v>-</v>
      </c>
      <c r="MX28" s="2" t="str">
        <v>허지웅</v>
      </c>
      <c r="MY28" s="2" t="str">
        <v>-</v>
      </c>
      <c r="MZ28" s="2" t="str">
        <v>-</v>
      </c>
      <c r="NA28" s="2" t="str">
        <v>박성현</v>
      </c>
      <c r="NB28" s="2" t="str">
        <v>-</v>
      </c>
      <c r="NC28" s="2" t="str">
        <v>-</v>
      </c>
      <c r="ND28" s="2" t="e">
        <v>#N/A</v>
      </c>
    </row>
    <row r="29" spans="1:368" hidden="1">
      <c r="A29" s="3" t="str">
        <v>야간근무
글로벌</v>
      </c>
      <c r="B29" s="2" t="str">
        <v>정윤준</v>
      </c>
      <c r="C29" s="2" t="str">
        <v>-</v>
      </c>
      <c r="D29" s="2" t="str">
        <v>-</v>
      </c>
      <c r="E29" s="2" t="str">
        <v>허지웅</v>
      </c>
      <c r="F29" s="2" t="str">
        <v>-</v>
      </c>
      <c r="G29" s="2" t="str">
        <v>-</v>
      </c>
      <c r="H29" s="2" t="str">
        <v>박성현</v>
      </c>
      <c r="I29" s="2" t="str">
        <v>-</v>
      </c>
      <c r="J29" s="2" t="str">
        <v>-</v>
      </c>
      <c r="K29" s="2" t="str">
        <v>이기수</v>
      </c>
      <c r="L29" s="2" t="str">
        <v>-</v>
      </c>
      <c r="M29" s="2" t="str">
        <v>-</v>
      </c>
      <c r="N29" s="2" t="str">
        <v>정윤준</v>
      </c>
      <c r="O29" s="2" t="str">
        <v>-</v>
      </c>
      <c r="P29" s="2" t="str">
        <v>-</v>
      </c>
      <c r="Q29" s="2" t="str">
        <v>허지웅</v>
      </c>
      <c r="R29" s="2" t="str">
        <v>-</v>
      </c>
      <c r="S29" s="2" t="str">
        <v>-</v>
      </c>
      <c r="T29" s="2" t="str">
        <v>박성현</v>
      </c>
      <c r="U29" s="2" t="str">
        <v>-</v>
      </c>
      <c r="V29" s="2" t="str">
        <v>-</v>
      </c>
      <c r="W29" s="2" t="str">
        <v>이기수</v>
      </c>
      <c r="X29" s="2" t="str">
        <v>-</v>
      </c>
      <c r="Y29" s="2" t="str">
        <v>-</v>
      </c>
      <c r="Z29" s="2" t="str">
        <v>정윤준</v>
      </c>
      <c r="AA29" s="2" t="str">
        <v>-</v>
      </c>
      <c r="AB29" s="2" t="str">
        <v>-</v>
      </c>
      <c r="AC29" s="2" t="str">
        <v>허지웅</v>
      </c>
      <c r="AD29" s="2" t="str">
        <v>-</v>
      </c>
      <c r="AE29" s="2" t="str">
        <v>-</v>
      </c>
      <c r="AF29" s="2" t="str">
        <v>박성현</v>
      </c>
      <c r="AG29" s="2" t="str">
        <v>-</v>
      </c>
      <c r="AH29" s="2" t="str">
        <v>-</v>
      </c>
      <c r="AI29" s="2" t="str">
        <v>이기수</v>
      </c>
      <c r="AJ29" s="2" t="str">
        <v>-</v>
      </c>
      <c r="AK29" s="2" t="str">
        <v>-</v>
      </c>
      <c r="AL29" s="2" t="str">
        <v>정윤준</v>
      </c>
      <c r="AM29" s="2" t="str">
        <v>-</v>
      </c>
      <c r="AN29" s="2" t="str">
        <v>-</v>
      </c>
      <c r="AO29" s="2" t="str">
        <v>허지웅</v>
      </c>
      <c r="AP29" s="2" t="str">
        <v>-</v>
      </c>
      <c r="AQ29" s="2" t="str">
        <v>-</v>
      </c>
      <c r="AR29" s="2" t="str">
        <v>박성현</v>
      </c>
      <c r="AS29" s="2" t="str">
        <v>-</v>
      </c>
      <c r="AT29" s="2" t="str">
        <v>-</v>
      </c>
      <c r="AU29" s="2" t="str">
        <v>이기수</v>
      </c>
      <c r="AV29" s="2" t="str">
        <v>-</v>
      </c>
      <c r="AW29" s="2" t="str">
        <v>-</v>
      </c>
      <c r="AX29" s="2" t="str">
        <v>정윤준</v>
      </c>
      <c r="AY29" s="2" t="str">
        <v>-</v>
      </c>
      <c r="AZ29" s="2" t="str">
        <v>-</v>
      </c>
      <c r="BA29" s="2" t="str">
        <v>허지웅</v>
      </c>
      <c r="BB29" s="2" t="str">
        <v>-</v>
      </c>
      <c r="BC29" s="2" t="str">
        <v>-</v>
      </c>
      <c r="BD29" s="2" t="str">
        <v>박성현</v>
      </c>
      <c r="BE29" s="2" t="str">
        <v>-</v>
      </c>
      <c r="BF29" s="2" t="str">
        <v>-</v>
      </c>
      <c r="BG29" s="2" t="str">
        <v>이기수</v>
      </c>
      <c r="BH29" s="2" t="str">
        <v>-</v>
      </c>
      <c r="BI29" s="2" t="str">
        <v>-</v>
      </c>
      <c r="BJ29" s="2" t="str">
        <v>정윤준</v>
      </c>
      <c r="BK29" s="2" t="str">
        <v>-</v>
      </c>
      <c r="BL29" s="2" t="str">
        <v>-</v>
      </c>
      <c r="BM29" s="2" t="str">
        <v>허지웅</v>
      </c>
      <c r="BN29" s="2" t="str">
        <v>-</v>
      </c>
      <c r="BO29" s="2" t="str">
        <v>-</v>
      </c>
      <c r="BP29" s="2" t="str">
        <v>박성현</v>
      </c>
      <c r="BQ29" s="2" t="str">
        <v>-</v>
      </c>
      <c r="BR29" s="2" t="str">
        <v>-</v>
      </c>
      <c r="BS29" s="2" t="str">
        <v>이기수</v>
      </c>
      <c r="BT29" s="2" t="str">
        <v>-</v>
      </c>
      <c r="BU29" s="2" t="str">
        <v>-</v>
      </c>
      <c r="BV29" s="2" t="str">
        <v>정윤준</v>
      </c>
      <c r="BW29" s="2" t="str">
        <v>-</v>
      </c>
      <c r="BX29" s="2" t="str">
        <v>-</v>
      </c>
      <c r="BY29" s="2" t="str">
        <v>허지웅</v>
      </c>
      <c r="BZ29" s="2" t="str">
        <v>-</v>
      </c>
      <c r="CA29" s="2" t="str">
        <v>-</v>
      </c>
      <c r="CB29" s="2" t="str">
        <v>박성현</v>
      </c>
      <c r="CC29" s="2" t="str">
        <v>-</v>
      </c>
      <c r="CD29" s="2" t="str">
        <v>-</v>
      </c>
      <c r="CE29" s="2" t="str">
        <v>이기수</v>
      </c>
      <c r="CF29" s="2" t="str">
        <v>-</v>
      </c>
      <c r="CG29" s="2" t="str">
        <v>-</v>
      </c>
      <c r="CH29" s="2" t="str">
        <v>정윤준</v>
      </c>
      <c r="CI29" s="2" t="str">
        <v>-</v>
      </c>
      <c r="CJ29" s="2" t="str">
        <v>-</v>
      </c>
      <c r="CK29" s="2" t="str">
        <v>허지웅</v>
      </c>
      <c r="CL29" s="2" t="str">
        <v>-</v>
      </c>
      <c r="CM29" s="2" t="str">
        <v>-</v>
      </c>
      <c r="CN29" s="2" t="str">
        <v>박성현</v>
      </c>
      <c r="CO29" s="2" t="str">
        <v>-</v>
      </c>
      <c r="CP29" s="2" t="str">
        <v>-</v>
      </c>
      <c r="CQ29" s="2" t="str">
        <v>이기수</v>
      </c>
      <c r="CR29" s="2" t="str">
        <v>-</v>
      </c>
      <c r="CS29" s="2" t="str">
        <v>-</v>
      </c>
      <c r="CT29" s="2" t="str">
        <v>정윤준</v>
      </c>
      <c r="CU29" s="2" t="str">
        <v>-</v>
      </c>
      <c r="CV29" s="2" t="str">
        <v>-</v>
      </c>
      <c r="CW29" s="2" t="str">
        <v>허지웅</v>
      </c>
      <c r="CX29" s="2" t="str">
        <v>-</v>
      </c>
      <c r="CY29" s="2" t="str">
        <v>-</v>
      </c>
      <c r="CZ29" s="2" t="str">
        <v>박성현</v>
      </c>
      <c r="DA29" s="2" t="str">
        <v>-</v>
      </c>
      <c r="DB29" s="2" t="str">
        <v>-</v>
      </c>
      <c r="DC29" s="2" t="str">
        <v>이기수</v>
      </c>
      <c r="DD29" s="2" t="str">
        <v>-</v>
      </c>
      <c r="DE29" s="2" t="str">
        <v>-</v>
      </c>
      <c r="DF29" s="2" t="str">
        <v>정윤준</v>
      </c>
      <c r="DG29" s="2" t="str">
        <v>-</v>
      </c>
      <c r="DH29" s="2" t="str">
        <v>-</v>
      </c>
      <c r="DI29" s="2" t="str">
        <v>허지웅</v>
      </c>
      <c r="DJ29" s="2" t="str">
        <v>-</v>
      </c>
      <c r="DK29" s="2" t="str">
        <v>-</v>
      </c>
      <c r="DL29" s="2" t="str">
        <v>박성현</v>
      </c>
      <c r="DM29" s="2" t="str">
        <v>-</v>
      </c>
      <c r="DN29" s="2" t="str">
        <v>-</v>
      </c>
      <c r="DO29" s="2" t="str">
        <v>이기수</v>
      </c>
      <c r="DP29" s="2" t="str">
        <v>-</v>
      </c>
      <c r="DQ29" s="2" t="str">
        <v>-</v>
      </c>
      <c r="DR29" s="2" t="str">
        <v>정윤준</v>
      </c>
      <c r="DS29" s="2" t="str">
        <v>-</v>
      </c>
      <c r="DT29" s="2" t="str">
        <v>-</v>
      </c>
      <c r="DU29" s="2" t="str">
        <v>허지웅</v>
      </c>
      <c r="DV29" s="2" t="str">
        <v>-</v>
      </c>
      <c r="DW29" s="2" t="str">
        <v>-</v>
      </c>
      <c r="DX29" s="2" t="str">
        <v>박성현</v>
      </c>
      <c r="DY29" s="2" t="str">
        <v>-</v>
      </c>
      <c r="DZ29" s="2" t="str">
        <v>-</v>
      </c>
      <c r="EA29" s="2" t="str">
        <v>이기수</v>
      </c>
      <c r="EB29" s="2" t="str">
        <v>-</v>
      </c>
      <c r="EC29" s="2" t="str">
        <v>-</v>
      </c>
      <c r="ED29" s="2" t="str">
        <v>정윤준</v>
      </c>
      <c r="EE29" s="2" t="str">
        <v>-</v>
      </c>
      <c r="EF29" s="2" t="str">
        <v>-</v>
      </c>
      <c r="EG29" s="2" t="str">
        <v>허지웅</v>
      </c>
      <c r="EH29" s="2" t="str">
        <v>-</v>
      </c>
      <c r="EI29" s="2" t="str">
        <v>-</v>
      </c>
      <c r="EJ29" s="2" t="str">
        <v>박성현</v>
      </c>
      <c r="EK29" s="2" t="str">
        <v>-</v>
      </c>
      <c r="EL29" s="2" t="str">
        <v>-</v>
      </c>
      <c r="EM29" s="2" t="str">
        <v>이기수</v>
      </c>
      <c r="EN29" s="2" t="str">
        <v>-</v>
      </c>
      <c r="EO29" s="2" t="str">
        <v>-</v>
      </c>
      <c r="EP29" s="2" t="str">
        <v>정윤준</v>
      </c>
      <c r="EQ29" s="2" t="str">
        <v>-</v>
      </c>
      <c r="ER29" s="2" t="str">
        <v>-</v>
      </c>
      <c r="ES29" s="2" t="str">
        <v>허지웅</v>
      </c>
      <c r="ET29" s="2" t="str">
        <v>-</v>
      </c>
      <c r="EU29" s="2" t="str">
        <v>-</v>
      </c>
      <c r="EV29" s="2" t="str">
        <v>박성현</v>
      </c>
      <c r="EW29" s="2" t="str">
        <v>-</v>
      </c>
      <c r="EX29" s="2" t="str">
        <v>-</v>
      </c>
      <c r="EY29" s="2" t="str">
        <v>이기수</v>
      </c>
      <c r="EZ29" s="2" t="str">
        <v>-</v>
      </c>
      <c r="FA29" s="2" t="str">
        <v>-</v>
      </c>
      <c r="FB29" s="2" t="str">
        <v>정윤준</v>
      </c>
      <c r="FC29" s="2" t="str">
        <v>-</v>
      </c>
      <c r="FD29" s="2" t="str">
        <v>-</v>
      </c>
      <c r="FE29" s="2" t="str">
        <v>허지웅</v>
      </c>
      <c r="FF29" s="2" t="str">
        <v>-</v>
      </c>
      <c r="FG29" s="2" t="str">
        <v>-</v>
      </c>
      <c r="FH29" s="2" t="str">
        <v>박성현</v>
      </c>
      <c r="FI29" s="2" t="str">
        <v>-</v>
      </c>
      <c r="FJ29" s="2" t="str">
        <v>-</v>
      </c>
      <c r="FK29" s="2" t="str">
        <v>이기수</v>
      </c>
      <c r="FL29" s="2" t="str">
        <v>-</v>
      </c>
      <c r="FM29" s="2" t="str">
        <v>-</v>
      </c>
      <c r="FN29" s="2" t="str">
        <v>정윤준</v>
      </c>
      <c r="FO29" s="2" t="str">
        <v>-</v>
      </c>
      <c r="FP29" s="2" t="str">
        <v>-</v>
      </c>
      <c r="FQ29" s="2" t="str">
        <v>허지웅</v>
      </c>
      <c r="FR29" s="2" t="str">
        <v>-</v>
      </c>
      <c r="FS29" s="2" t="str">
        <v>-</v>
      </c>
      <c r="FT29" s="2" t="str">
        <v>박성현</v>
      </c>
      <c r="FU29" s="2" t="str">
        <v>-</v>
      </c>
      <c r="FV29" s="2" t="str">
        <v>-</v>
      </c>
      <c r="FW29" s="2" t="str">
        <v>이기수</v>
      </c>
      <c r="FX29" s="2" t="str">
        <v>-</v>
      </c>
      <c r="FY29" s="2" t="str">
        <v>-</v>
      </c>
      <c r="FZ29" s="2" t="str">
        <v>정윤준</v>
      </c>
      <c r="GA29" s="2" t="str">
        <v>-</v>
      </c>
      <c r="GB29" s="2" t="str">
        <v>-</v>
      </c>
      <c r="GC29" s="2" t="str">
        <v>허지웅</v>
      </c>
      <c r="GD29" s="2" t="str">
        <v>-</v>
      </c>
      <c r="GE29" s="2" t="str">
        <v>-</v>
      </c>
      <c r="GF29" s="2" t="str">
        <v>박성현</v>
      </c>
      <c r="GG29" s="2" t="str">
        <v>-</v>
      </c>
      <c r="GH29" s="2" t="str">
        <v>-</v>
      </c>
      <c r="GI29" s="2" t="str">
        <v>이기수</v>
      </c>
      <c r="GJ29" s="2" t="str">
        <v>-</v>
      </c>
      <c r="GK29" s="2" t="str">
        <v>-</v>
      </c>
      <c r="GL29" s="2" t="str">
        <v>정윤준</v>
      </c>
      <c r="GM29" s="2" t="str">
        <v>-</v>
      </c>
      <c r="GN29" s="2" t="str">
        <v>-</v>
      </c>
      <c r="GO29" s="2" t="str">
        <v>허지웅</v>
      </c>
      <c r="GP29" s="2" t="str">
        <v>-</v>
      </c>
      <c r="GQ29" s="2" t="str">
        <v>-</v>
      </c>
      <c r="GR29" s="2" t="str">
        <v>박성현</v>
      </c>
      <c r="GS29" s="2" t="str">
        <v>-</v>
      </c>
      <c r="GT29" s="2" t="str">
        <v>-</v>
      </c>
      <c r="GU29" s="2" t="str">
        <v>이기수</v>
      </c>
      <c r="GV29" s="2" t="str">
        <v>-</v>
      </c>
      <c r="GW29" s="2" t="str">
        <v>-</v>
      </c>
      <c r="GX29" s="2" t="str">
        <v>정윤준</v>
      </c>
      <c r="GY29" s="2" t="str">
        <v>-</v>
      </c>
      <c r="GZ29" s="2" t="str">
        <v>-</v>
      </c>
      <c r="HA29" s="2" t="str">
        <v>허지웅</v>
      </c>
      <c r="HB29" s="2" t="str">
        <v>-</v>
      </c>
      <c r="HC29" s="2" t="str">
        <v>-</v>
      </c>
      <c r="HD29" s="2" t="str">
        <v>박성현</v>
      </c>
      <c r="HE29" s="2" t="str">
        <v>-</v>
      </c>
      <c r="HF29" s="2" t="str">
        <v>-</v>
      </c>
      <c r="HG29" s="2" t="str">
        <v>이기수</v>
      </c>
      <c r="HH29" s="2" t="str">
        <v>-</v>
      </c>
      <c r="HI29" s="2" t="str">
        <v>-</v>
      </c>
      <c r="HJ29" s="2" t="str">
        <v>정윤준</v>
      </c>
      <c r="HK29" s="2" t="str">
        <v>-</v>
      </c>
      <c r="HL29" s="2" t="str">
        <v>-</v>
      </c>
      <c r="HM29" s="2" t="str">
        <v>허지웅</v>
      </c>
      <c r="HN29" s="2" t="str">
        <v>-</v>
      </c>
      <c r="HO29" s="2" t="str">
        <v>-</v>
      </c>
      <c r="HP29" s="2" t="str">
        <v>박성현</v>
      </c>
      <c r="HQ29" s="2" t="str">
        <v>-</v>
      </c>
      <c r="HR29" s="2" t="str">
        <v>-</v>
      </c>
      <c r="HS29" s="2" t="str">
        <v>이기수</v>
      </c>
      <c r="HT29" s="2" t="str">
        <v>-</v>
      </c>
      <c r="HU29" s="2" t="str">
        <v>-</v>
      </c>
      <c r="HV29" s="2" t="str">
        <v>정윤준</v>
      </c>
      <c r="HW29" s="2" t="str">
        <v>-</v>
      </c>
      <c r="HX29" s="2" t="str">
        <v>-</v>
      </c>
      <c r="HY29" s="2" t="str">
        <v>허지웅</v>
      </c>
      <c r="HZ29" s="2" t="str">
        <v>-</v>
      </c>
      <c r="IA29" s="2" t="str">
        <v>-</v>
      </c>
      <c r="IB29" s="2" t="str">
        <v>박성현</v>
      </c>
      <c r="IC29" s="2" t="str">
        <v>-</v>
      </c>
      <c r="ID29" s="2" t="str">
        <v>-</v>
      </c>
      <c r="IE29" s="2" t="str">
        <v>이기수</v>
      </c>
      <c r="IF29" s="2" t="str">
        <v>-</v>
      </c>
      <c r="IG29" s="2" t="str">
        <v>-</v>
      </c>
      <c r="IH29" s="2" t="str">
        <v>정윤준</v>
      </c>
      <c r="II29" s="2" t="str">
        <v>-</v>
      </c>
      <c r="IJ29" s="2" t="str">
        <v>-</v>
      </c>
      <c r="IK29" s="2" t="str">
        <v>허지웅</v>
      </c>
      <c r="IL29" s="2" t="str">
        <v>-</v>
      </c>
      <c r="IM29" s="2" t="str">
        <v>-</v>
      </c>
      <c r="IN29" s="2" t="str">
        <v>박성현</v>
      </c>
      <c r="IO29" s="2" t="str">
        <v>-</v>
      </c>
      <c r="IP29" s="2" t="str">
        <v>-</v>
      </c>
      <c r="IQ29" s="2" t="str">
        <v>이기수</v>
      </c>
      <c r="IR29" s="2" t="str">
        <v>-</v>
      </c>
      <c r="IS29" s="2" t="str">
        <v>-</v>
      </c>
      <c r="IT29" s="2" t="str">
        <v>정윤준</v>
      </c>
      <c r="IU29" s="2" t="str">
        <v>-</v>
      </c>
      <c r="IV29" s="2" t="str">
        <v>-</v>
      </c>
      <c r="IW29" s="2" t="str">
        <v>허지웅</v>
      </c>
      <c r="IX29" s="2" t="str">
        <v>-</v>
      </c>
      <c r="IY29" s="2" t="str">
        <v>-</v>
      </c>
      <c r="IZ29" s="2" t="str">
        <v>박성현</v>
      </c>
      <c r="JA29" s="2" t="str">
        <v>-</v>
      </c>
      <c r="JB29" s="2" t="str">
        <v>-</v>
      </c>
      <c r="JC29" s="2" t="str">
        <v>이기수</v>
      </c>
      <c r="JD29" s="2" t="str">
        <v>-</v>
      </c>
      <c r="JE29" s="2" t="str">
        <v>-</v>
      </c>
      <c r="JF29" s="2" t="str">
        <v>정윤준</v>
      </c>
      <c r="JG29" s="2" t="str">
        <v>-</v>
      </c>
      <c r="JH29" s="2" t="str">
        <v>-</v>
      </c>
      <c r="JI29" s="2" t="str">
        <v>허지웅</v>
      </c>
      <c r="JJ29" s="2" t="str">
        <v>-</v>
      </c>
      <c r="JK29" s="2" t="str">
        <v>-</v>
      </c>
      <c r="JL29" s="2" t="str">
        <v>박성현</v>
      </c>
      <c r="JM29" s="2" t="str">
        <v>-</v>
      </c>
      <c r="JN29" s="2" t="str">
        <v>-</v>
      </c>
      <c r="JO29" s="2" t="str">
        <v>이기수</v>
      </c>
      <c r="JP29" s="2" t="str">
        <v>-</v>
      </c>
      <c r="JQ29" s="2" t="str">
        <v>-</v>
      </c>
      <c r="JR29" s="2" t="str">
        <v>정윤준</v>
      </c>
      <c r="JS29" s="2" t="str">
        <v>-</v>
      </c>
      <c r="JT29" s="2" t="str">
        <v>-</v>
      </c>
      <c r="JU29" s="2" t="str">
        <v>허지웅</v>
      </c>
      <c r="JV29" s="2" t="str">
        <v>-</v>
      </c>
      <c r="JW29" s="2" t="str">
        <v>-</v>
      </c>
      <c r="JX29" s="2" t="str">
        <v>박성현</v>
      </c>
      <c r="JY29" s="2" t="str">
        <v>-</v>
      </c>
      <c r="JZ29" s="2" t="str">
        <v>-</v>
      </c>
      <c r="KA29" s="2" t="str">
        <v>이기수</v>
      </c>
      <c r="KB29" s="2" t="str">
        <v>-</v>
      </c>
      <c r="KC29" s="2" t="str">
        <v>-</v>
      </c>
      <c r="KD29" s="2" t="str">
        <v>정윤준</v>
      </c>
      <c r="KE29" s="2" t="str">
        <v>-</v>
      </c>
      <c r="KF29" s="2" t="str">
        <v>-</v>
      </c>
      <c r="KG29" s="2" t="str">
        <v>허지웅</v>
      </c>
      <c r="KH29" s="2" t="str">
        <v>-</v>
      </c>
      <c r="KI29" s="2" t="str">
        <v>-</v>
      </c>
      <c r="KJ29" s="2" t="str">
        <v>박성현</v>
      </c>
      <c r="KK29" s="2" t="str">
        <v>-</v>
      </c>
      <c r="KL29" s="2" t="str">
        <v>-</v>
      </c>
      <c r="KM29" s="2" t="str">
        <v>이기수</v>
      </c>
      <c r="KN29" s="2" t="str">
        <v>-</v>
      </c>
      <c r="KO29" s="2" t="str">
        <v>-</v>
      </c>
      <c r="KP29" s="2" t="str">
        <v>정윤준</v>
      </c>
      <c r="KQ29" s="2" t="str">
        <v>-</v>
      </c>
      <c r="KR29" s="2" t="str">
        <v>-</v>
      </c>
      <c r="KS29" s="2" t="str">
        <v>허지웅</v>
      </c>
      <c r="KT29" s="2" t="str">
        <v>-</v>
      </c>
      <c r="KU29" s="2" t="str">
        <v>-</v>
      </c>
      <c r="KV29" s="2" t="str">
        <v>박성현</v>
      </c>
      <c r="KW29" s="2" t="str">
        <v>-</v>
      </c>
      <c r="KX29" s="2" t="str">
        <v>-</v>
      </c>
      <c r="KY29" s="2" t="str">
        <v>이기수</v>
      </c>
      <c r="KZ29" s="2" t="str">
        <v>-</v>
      </c>
      <c r="LA29" s="2" t="str">
        <v>-</v>
      </c>
      <c r="LB29" s="2" t="str">
        <v>정윤준</v>
      </c>
      <c r="LC29" s="2" t="str">
        <v>-</v>
      </c>
      <c r="LD29" s="2" t="str">
        <v>-</v>
      </c>
      <c r="LE29" s="2" t="str">
        <v>허지웅</v>
      </c>
      <c r="LF29" s="2" t="str">
        <v>-</v>
      </c>
      <c r="LG29" s="2" t="str">
        <v>-</v>
      </c>
      <c r="LH29" s="2" t="str">
        <v>박성현</v>
      </c>
      <c r="LI29" s="2" t="str">
        <v>-</v>
      </c>
      <c r="LJ29" s="2" t="str">
        <v>-</v>
      </c>
      <c r="LK29" s="2" t="str">
        <v>이기수</v>
      </c>
      <c r="LL29" s="2" t="str">
        <v>-</v>
      </c>
      <c r="LM29" s="2" t="str">
        <v>-</v>
      </c>
      <c r="LN29" s="2" t="str">
        <v>정윤준</v>
      </c>
      <c r="LO29" s="2" t="str">
        <v>-</v>
      </c>
      <c r="LP29" s="2" t="str">
        <v>-</v>
      </c>
      <c r="LQ29" s="2" t="str">
        <v>허지웅</v>
      </c>
      <c r="LR29" s="2" t="str">
        <v>-</v>
      </c>
      <c r="LS29" s="2" t="str">
        <v>-</v>
      </c>
      <c r="LT29" s="2" t="str">
        <v>박성현</v>
      </c>
      <c r="LU29" s="2" t="str">
        <v>-</v>
      </c>
      <c r="LV29" s="2" t="str">
        <v>-</v>
      </c>
      <c r="LW29" s="2" t="str">
        <v>이기수</v>
      </c>
      <c r="LX29" s="2" t="str">
        <v>-</v>
      </c>
      <c r="LY29" s="2" t="str">
        <v>-</v>
      </c>
      <c r="LZ29" s="2" t="str">
        <v>정윤준</v>
      </c>
      <c r="MA29" s="2" t="str">
        <v>-</v>
      </c>
      <c r="MB29" s="2" t="str">
        <v>-</v>
      </c>
      <c r="MC29" s="2" t="str">
        <v>허지웅</v>
      </c>
      <c r="MD29" s="2" t="str">
        <v>-</v>
      </c>
      <c r="ME29" s="2" t="str">
        <v>-</v>
      </c>
      <c r="MF29" s="2" t="str">
        <v>박성현</v>
      </c>
      <c r="MG29" s="2" t="str">
        <v>-</v>
      </c>
      <c r="MH29" s="2" t="str">
        <v>-</v>
      </c>
      <c r="MI29" s="2" t="str">
        <v>이기수</v>
      </c>
      <c r="MJ29" s="2" t="str">
        <v>-</v>
      </c>
      <c r="MK29" s="2" t="str">
        <v>-</v>
      </c>
      <c r="ML29" s="2" t="str">
        <v>정윤준</v>
      </c>
      <c r="MM29" s="2" t="str">
        <v>-</v>
      </c>
      <c r="MN29" s="2" t="str">
        <v>-</v>
      </c>
      <c r="MO29" s="2" t="str">
        <v>허지웅</v>
      </c>
      <c r="MP29" s="2" t="str">
        <v>-</v>
      </c>
      <c r="MQ29" s="2" t="str">
        <v>-</v>
      </c>
      <c r="MR29" s="2" t="str">
        <v>박성현</v>
      </c>
      <c r="MS29" s="2" t="str">
        <v>-</v>
      </c>
      <c r="MT29" s="2" t="str">
        <v>-</v>
      </c>
      <c r="MU29" s="2" t="str">
        <v>이기수</v>
      </c>
      <c r="MV29" s="2" t="str">
        <v>-</v>
      </c>
      <c r="MW29" s="2" t="str">
        <v>-</v>
      </c>
      <c r="MX29" s="2" t="str">
        <v>정윤준</v>
      </c>
      <c r="MY29" s="2" t="str">
        <v>-</v>
      </c>
      <c r="MZ29" s="2" t="str">
        <v>-</v>
      </c>
      <c r="NA29" s="2" t="str">
        <v>허지웅</v>
      </c>
      <c r="NB29" s="2" t="str">
        <v>-</v>
      </c>
      <c r="NC29" s="2" t="str">
        <v>-</v>
      </c>
      <c r="ND29" s="2" t="e">
        <v>#N/A</v>
      </c>
    </row>
    <row r="30" spans="1:368" hidden="1">
      <c r="A30" s="3" t="str">
        <v>야간근무
외곽1</v>
      </c>
      <c r="B30" s="2" t="str">
        <v>이기수</v>
      </c>
      <c r="C30" s="2" t="str">
        <v>-</v>
      </c>
      <c r="D30" s="2" t="str">
        <v>-</v>
      </c>
      <c r="E30" s="2" t="str">
        <v>정윤준</v>
      </c>
      <c r="F30" s="2" t="str">
        <v>-</v>
      </c>
      <c r="G30" s="2" t="str">
        <v>-</v>
      </c>
      <c r="H30" s="2" t="str">
        <v>허지웅</v>
      </c>
      <c r="I30" s="2" t="str">
        <v>-</v>
      </c>
      <c r="J30" s="2" t="str">
        <v>-</v>
      </c>
      <c r="K30" s="2" t="str">
        <v>박성현</v>
      </c>
      <c r="L30" s="2" t="str">
        <v>-</v>
      </c>
      <c r="M30" s="2" t="str">
        <v>-</v>
      </c>
      <c r="N30" s="2" t="str">
        <v>이기수</v>
      </c>
      <c r="O30" s="2" t="str">
        <v>-</v>
      </c>
      <c r="P30" s="2" t="str">
        <v>-</v>
      </c>
      <c r="Q30" s="2" t="str">
        <v>정윤준</v>
      </c>
      <c r="R30" s="2" t="str">
        <v>-</v>
      </c>
      <c r="S30" s="2" t="str">
        <v>-</v>
      </c>
      <c r="T30" s="2" t="str">
        <v>허지웅</v>
      </c>
      <c r="U30" s="2" t="str">
        <v>-</v>
      </c>
      <c r="V30" s="2" t="str">
        <v>-</v>
      </c>
      <c r="W30" s="2" t="str">
        <v>박성현</v>
      </c>
      <c r="X30" s="2" t="str">
        <v>-</v>
      </c>
      <c r="Y30" s="2" t="str">
        <v>-</v>
      </c>
      <c r="Z30" s="2" t="str">
        <v>이기수</v>
      </c>
      <c r="AA30" s="2" t="str">
        <v>-</v>
      </c>
      <c r="AB30" s="2" t="str">
        <v>-</v>
      </c>
      <c r="AC30" s="2" t="str">
        <v>정윤준</v>
      </c>
      <c r="AD30" s="2" t="str">
        <v>-</v>
      </c>
      <c r="AE30" s="2" t="str">
        <v>-</v>
      </c>
      <c r="AF30" s="2" t="str">
        <v>허지웅</v>
      </c>
      <c r="AG30" s="2" t="str">
        <v>-</v>
      </c>
      <c r="AH30" s="2" t="str">
        <v>-</v>
      </c>
      <c r="AI30" s="2" t="str">
        <v>박성현</v>
      </c>
      <c r="AJ30" s="2" t="str">
        <v>-</v>
      </c>
      <c r="AK30" s="2" t="str">
        <v>-</v>
      </c>
      <c r="AL30" s="2" t="str">
        <v>이기수</v>
      </c>
      <c r="AM30" s="2" t="str">
        <v>-</v>
      </c>
      <c r="AN30" s="2" t="str">
        <v>-</v>
      </c>
      <c r="AO30" s="2" t="str">
        <v>정윤준</v>
      </c>
      <c r="AP30" s="2" t="str">
        <v>-</v>
      </c>
      <c r="AQ30" s="2" t="str">
        <v>-</v>
      </c>
      <c r="AR30" s="2" t="str">
        <v>허지웅</v>
      </c>
      <c r="AS30" s="2" t="str">
        <v>-</v>
      </c>
      <c r="AT30" s="2" t="str">
        <v>-</v>
      </c>
      <c r="AU30" s="2" t="str">
        <v>박성현</v>
      </c>
      <c r="AV30" s="2" t="str">
        <v>-</v>
      </c>
      <c r="AW30" s="2" t="str">
        <v>-</v>
      </c>
      <c r="AX30" s="2" t="str">
        <v>이기수</v>
      </c>
      <c r="AY30" s="2" t="str">
        <v>-</v>
      </c>
      <c r="AZ30" s="2" t="str">
        <v>-</v>
      </c>
      <c r="BA30" s="2" t="str">
        <v>정윤준</v>
      </c>
      <c r="BB30" s="2" t="str">
        <v>-</v>
      </c>
      <c r="BC30" s="2" t="str">
        <v>-</v>
      </c>
      <c r="BD30" s="2" t="str">
        <v>허지웅</v>
      </c>
      <c r="BE30" s="2" t="str">
        <v>-</v>
      </c>
      <c r="BF30" s="2" t="str">
        <v>-</v>
      </c>
      <c r="BG30" s="2" t="str">
        <v>박성현</v>
      </c>
      <c r="BH30" s="2" t="str">
        <v>-</v>
      </c>
      <c r="BI30" s="2" t="str">
        <v>-</v>
      </c>
      <c r="BJ30" s="2" t="str">
        <v>이기수</v>
      </c>
      <c r="BK30" s="2" t="str">
        <v>-</v>
      </c>
      <c r="BL30" s="2" t="str">
        <v>-</v>
      </c>
      <c r="BM30" s="2" t="str">
        <v>정윤준</v>
      </c>
      <c r="BN30" s="2" t="str">
        <v>-</v>
      </c>
      <c r="BO30" s="2" t="str">
        <v>-</v>
      </c>
      <c r="BP30" s="2" t="str">
        <v>허지웅</v>
      </c>
      <c r="BQ30" s="2" t="str">
        <v>-</v>
      </c>
      <c r="BR30" s="2" t="str">
        <v>-</v>
      </c>
      <c r="BS30" s="2" t="str">
        <v>박성현</v>
      </c>
      <c r="BT30" s="2" t="str">
        <v>-</v>
      </c>
      <c r="BU30" s="2" t="str">
        <v>-</v>
      </c>
      <c r="BV30" s="2" t="str">
        <v>이기수</v>
      </c>
      <c r="BW30" s="2" t="str">
        <v>-</v>
      </c>
      <c r="BX30" s="2" t="str">
        <v>-</v>
      </c>
      <c r="BY30" s="2" t="str">
        <v>정윤준</v>
      </c>
      <c r="BZ30" s="2" t="str">
        <v>-</v>
      </c>
      <c r="CA30" s="2" t="str">
        <v>-</v>
      </c>
      <c r="CB30" s="2" t="str">
        <v>허지웅</v>
      </c>
      <c r="CC30" s="2" t="str">
        <v>-</v>
      </c>
      <c r="CD30" s="2" t="str">
        <v>-</v>
      </c>
      <c r="CE30" s="2" t="str">
        <v>박성현</v>
      </c>
      <c r="CF30" s="2" t="str">
        <v>-</v>
      </c>
      <c r="CG30" s="2" t="str">
        <v>-</v>
      </c>
      <c r="CH30" s="2" t="str">
        <v>이기수</v>
      </c>
      <c r="CI30" s="2" t="str">
        <v>-</v>
      </c>
      <c r="CJ30" s="2" t="str">
        <v>-</v>
      </c>
      <c r="CK30" s="2" t="str">
        <v>정윤준</v>
      </c>
      <c r="CL30" s="2" t="str">
        <v>-</v>
      </c>
      <c r="CM30" s="2" t="str">
        <v>-</v>
      </c>
      <c r="CN30" s="2" t="str">
        <v>허지웅</v>
      </c>
      <c r="CO30" s="2" t="str">
        <v>-</v>
      </c>
      <c r="CP30" s="2" t="str">
        <v>-</v>
      </c>
      <c r="CQ30" s="2" t="str">
        <v>박성현</v>
      </c>
      <c r="CR30" s="2" t="str">
        <v>-</v>
      </c>
      <c r="CS30" s="2" t="str">
        <v>-</v>
      </c>
      <c r="CT30" s="2" t="str">
        <v>이기수</v>
      </c>
      <c r="CU30" s="2" t="str">
        <v>-</v>
      </c>
      <c r="CV30" s="2" t="str">
        <v>-</v>
      </c>
      <c r="CW30" s="2" t="str">
        <v>정윤준</v>
      </c>
      <c r="CX30" s="2" t="str">
        <v>-</v>
      </c>
      <c r="CY30" s="2" t="str">
        <v>-</v>
      </c>
      <c r="CZ30" s="2" t="str">
        <v>허지웅</v>
      </c>
      <c r="DA30" s="2" t="str">
        <v>-</v>
      </c>
      <c r="DB30" s="2" t="str">
        <v>-</v>
      </c>
      <c r="DC30" s="2" t="str">
        <v>박성현</v>
      </c>
      <c r="DD30" s="2" t="str">
        <v>-</v>
      </c>
      <c r="DE30" s="2" t="str">
        <v>-</v>
      </c>
      <c r="DF30" s="2" t="str">
        <v>이기수</v>
      </c>
      <c r="DG30" s="2" t="str">
        <v>-</v>
      </c>
      <c r="DH30" s="2" t="str">
        <v>-</v>
      </c>
      <c r="DI30" s="2" t="str">
        <v>정윤준</v>
      </c>
      <c r="DJ30" s="2" t="str">
        <v>-</v>
      </c>
      <c r="DK30" s="2" t="str">
        <v>-</v>
      </c>
      <c r="DL30" s="2" t="str">
        <v>허지웅</v>
      </c>
      <c r="DM30" s="2" t="str">
        <v>-</v>
      </c>
      <c r="DN30" s="2" t="str">
        <v>-</v>
      </c>
      <c r="DO30" s="2" t="str">
        <v>박성현</v>
      </c>
      <c r="DP30" s="2" t="str">
        <v>-</v>
      </c>
      <c r="DQ30" s="2" t="str">
        <v>-</v>
      </c>
      <c r="DR30" s="2" t="str">
        <v>이기수</v>
      </c>
      <c r="DS30" s="2" t="str">
        <v>-</v>
      </c>
      <c r="DT30" s="2" t="str">
        <v>-</v>
      </c>
      <c r="DU30" s="2" t="str">
        <v>정윤준</v>
      </c>
      <c r="DV30" s="2" t="str">
        <v>-</v>
      </c>
      <c r="DW30" s="2" t="str">
        <v>-</v>
      </c>
      <c r="DX30" s="2" t="str">
        <v>허지웅</v>
      </c>
      <c r="DY30" s="2" t="str">
        <v>-</v>
      </c>
      <c r="DZ30" s="2" t="str">
        <v>-</v>
      </c>
      <c r="EA30" s="2" t="str">
        <v>박성현</v>
      </c>
      <c r="EB30" s="2" t="str">
        <v>-</v>
      </c>
      <c r="EC30" s="2" t="str">
        <v>-</v>
      </c>
      <c r="ED30" s="2" t="str">
        <v>이기수</v>
      </c>
      <c r="EE30" s="2" t="str">
        <v>-</v>
      </c>
      <c r="EF30" s="2" t="str">
        <v>-</v>
      </c>
      <c r="EG30" s="2" t="str">
        <v>정윤준</v>
      </c>
      <c r="EH30" s="2" t="str">
        <v>-</v>
      </c>
      <c r="EI30" s="2" t="str">
        <v>-</v>
      </c>
      <c r="EJ30" s="2" t="str">
        <v>허지웅</v>
      </c>
      <c r="EK30" s="2" t="str">
        <v>-</v>
      </c>
      <c r="EL30" s="2" t="str">
        <v>-</v>
      </c>
      <c r="EM30" s="2" t="str">
        <v>박성현</v>
      </c>
      <c r="EN30" s="2" t="str">
        <v>-</v>
      </c>
      <c r="EO30" s="2" t="str">
        <v>-</v>
      </c>
      <c r="EP30" s="2" t="str">
        <v>이기수</v>
      </c>
      <c r="EQ30" s="2" t="str">
        <v>-</v>
      </c>
      <c r="ER30" s="2" t="str">
        <v>-</v>
      </c>
      <c r="ES30" s="2" t="str">
        <v>정윤준</v>
      </c>
      <c r="ET30" s="2" t="str">
        <v>-</v>
      </c>
      <c r="EU30" s="2" t="str">
        <v>-</v>
      </c>
      <c r="EV30" s="2" t="str">
        <v>허지웅</v>
      </c>
      <c r="EW30" s="2" t="str">
        <v>-</v>
      </c>
      <c r="EX30" s="2" t="str">
        <v>-</v>
      </c>
      <c r="EY30" s="2" t="str">
        <v>박성현</v>
      </c>
      <c r="EZ30" s="2" t="str">
        <v>-</v>
      </c>
      <c r="FA30" s="2" t="str">
        <v>-</v>
      </c>
      <c r="FB30" s="2" t="str">
        <v>이기수</v>
      </c>
      <c r="FC30" s="2" t="str">
        <v>-</v>
      </c>
      <c r="FD30" s="2" t="str">
        <v>-</v>
      </c>
      <c r="FE30" s="2" t="str">
        <v>정윤준</v>
      </c>
      <c r="FF30" s="2" t="str">
        <v>-</v>
      </c>
      <c r="FG30" s="2" t="str">
        <v>-</v>
      </c>
      <c r="FH30" s="2" t="str">
        <v>허지웅</v>
      </c>
      <c r="FI30" s="2" t="str">
        <v>-</v>
      </c>
      <c r="FJ30" s="2" t="str">
        <v>-</v>
      </c>
      <c r="FK30" s="2" t="str">
        <v>박성현</v>
      </c>
      <c r="FL30" s="2" t="str">
        <v>-</v>
      </c>
      <c r="FM30" s="2" t="str">
        <v>-</v>
      </c>
      <c r="FN30" s="2" t="str">
        <v>이기수</v>
      </c>
      <c r="FO30" s="2" t="str">
        <v>-</v>
      </c>
      <c r="FP30" s="2" t="str">
        <v>-</v>
      </c>
      <c r="FQ30" s="2" t="str">
        <v>정윤준</v>
      </c>
      <c r="FR30" s="2" t="str">
        <v>-</v>
      </c>
      <c r="FS30" s="2" t="str">
        <v>-</v>
      </c>
      <c r="FT30" s="2" t="str">
        <v>허지웅</v>
      </c>
      <c r="FU30" s="2" t="str">
        <v>-</v>
      </c>
      <c r="FV30" s="2" t="str">
        <v>-</v>
      </c>
      <c r="FW30" s="2" t="str">
        <v>박성현</v>
      </c>
      <c r="FX30" s="2" t="str">
        <v>-</v>
      </c>
      <c r="FY30" s="2" t="str">
        <v>-</v>
      </c>
      <c r="FZ30" s="2" t="str">
        <v>이기수</v>
      </c>
      <c r="GA30" s="2" t="str">
        <v>-</v>
      </c>
      <c r="GB30" s="2" t="str">
        <v>-</v>
      </c>
      <c r="GC30" s="2" t="str">
        <v>정윤준</v>
      </c>
      <c r="GD30" s="2" t="str">
        <v>-</v>
      </c>
      <c r="GE30" s="2" t="str">
        <v>-</v>
      </c>
      <c r="GF30" s="2" t="str">
        <v>허지웅</v>
      </c>
      <c r="GG30" s="2" t="str">
        <v>-</v>
      </c>
      <c r="GH30" s="2" t="str">
        <v>-</v>
      </c>
      <c r="GI30" s="2" t="str">
        <v>박성현</v>
      </c>
      <c r="GJ30" s="2" t="str">
        <v>-</v>
      </c>
      <c r="GK30" s="2" t="str">
        <v>-</v>
      </c>
      <c r="GL30" s="2" t="str">
        <v>이기수</v>
      </c>
      <c r="GM30" s="2" t="str">
        <v>-</v>
      </c>
      <c r="GN30" s="2" t="str">
        <v>-</v>
      </c>
      <c r="GO30" s="2" t="str">
        <v>정윤준</v>
      </c>
      <c r="GP30" s="2" t="str">
        <v>-</v>
      </c>
      <c r="GQ30" s="2" t="str">
        <v>-</v>
      </c>
      <c r="GR30" s="2" t="str">
        <v>허지웅</v>
      </c>
      <c r="GS30" s="2" t="str">
        <v>-</v>
      </c>
      <c r="GT30" s="2" t="str">
        <v>-</v>
      </c>
      <c r="GU30" s="2" t="str">
        <v>박성현</v>
      </c>
      <c r="GV30" s="2" t="str">
        <v>-</v>
      </c>
      <c r="GW30" s="2" t="str">
        <v>-</v>
      </c>
      <c r="GX30" s="2" t="str">
        <v>이기수</v>
      </c>
      <c r="GY30" s="2" t="str">
        <v>-</v>
      </c>
      <c r="GZ30" s="2" t="str">
        <v>-</v>
      </c>
      <c r="HA30" s="2" t="str">
        <v>정윤준</v>
      </c>
      <c r="HB30" s="2" t="str">
        <v>-</v>
      </c>
      <c r="HC30" s="2" t="str">
        <v>-</v>
      </c>
      <c r="HD30" s="2" t="str">
        <v>허지웅</v>
      </c>
      <c r="HE30" s="2" t="str">
        <v>-</v>
      </c>
      <c r="HF30" s="2" t="str">
        <v>-</v>
      </c>
      <c r="HG30" s="2" t="str">
        <v>박성현</v>
      </c>
      <c r="HH30" s="2" t="str">
        <v>-</v>
      </c>
      <c r="HI30" s="2" t="str">
        <v>-</v>
      </c>
      <c r="HJ30" s="2" t="str">
        <v>이기수</v>
      </c>
      <c r="HK30" s="2" t="str">
        <v>-</v>
      </c>
      <c r="HL30" s="2" t="str">
        <v>-</v>
      </c>
      <c r="HM30" s="2" t="str">
        <v>정윤준</v>
      </c>
      <c r="HN30" s="2" t="str">
        <v>-</v>
      </c>
      <c r="HO30" s="2" t="str">
        <v>-</v>
      </c>
      <c r="HP30" s="2" t="str">
        <v>허지웅</v>
      </c>
      <c r="HQ30" s="2" t="str">
        <v>-</v>
      </c>
      <c r="HR30" s="2" t="str">
        <v>-</v>
      </c>
      <c r="HS30" s="2" t="str">
        <v>박성현</v>
      </c>
      <c r="HT30" s="2" t="str">
        <v>-</v>
      </c>
      <c r="HU30" s="2" t="str">
        <v>-</v>
      </c>
      <c r="HV30" s="2" t="str">
        <v>이기수</v>
      </c>
      <c r="HW30" s="2" t="str">
        <v>-</v>
      </c>
      <c r="HX30" s="2" t="str">
        <v>-</v>
      </c>
      <c r="HY30" s="2" t="str">
        <v>정윤준</v>
      </c>
      <c r="HZ30" s="2" t="str">
        <v>-</v>
      </c>
      <c r="IA30" s="2" t="str">
        <v>-</v>
      </c>
      <c r="IB30" s="2" t="str">
        <v>허지웅</v>
      </c>
      <c r="IC30" s="2" t="str">
        <v>-</v>
      </c>
      <c r="ID30" s="2" t="str">
        <v>-</v>
      </c>
      <c r="IE30" s="2" t="str">
        <v>박성현</v>
      </c>
      <c r="IF30" s="2" t="str">
        <v>-</v>
      </c>
      <c r="IG30" s="2" t="str">
        <v>-</v>
      </c>
      <c r="IH30" s="2" t="str">
        <v>이기수</v>
      </c>
      <c r="II30" s="2" t="str">
        <v>-</v>
      </c>
      <c r="IJ30" s="2" t="str">
        <v>-</v>
      </c>
      <c r="IK30" s="2" t="str">
        <v>정윤준</v>
      </c>
      <c r="IL30" s="2" t="str">
        <v>-</v>
      </c>
      <c r="IM30" s="2" t="str">
        <v>-</v>
      </c>
      <c r="IN30" s="2" t="str">
        <v>허지웅</v>
      </c>
      <c r="IO30" s="2" t="str">
        <v>-</v>
      </c>
      <c r="IP30" s="2" t="str">
        <v>-</v>
      </c>
      <c r="IQ30" s="2" t="str">
        <v>박성현</v>
      </c>
      <c r="IR30" s="2" t="str">
        <v>-</v>
      </c>
      <c r="IS30" s="2" t="str">
        <v>-</v>
      </c>
      <c r="IT30" s="2" t="str">
        <v>이기수</v>
      </c>
      <c r="IU30" s="2" t="str">
        <v>-</v>
      </c>
      <c r="IV30" s="2" t="str">
        <v>-</v>
      </c>
      <c r="IW30" s="2" t="str">
        <v>정윤준</v>
      </c>
      <c r="IX30" s="2" t="str">
        <v>-</v>
      </c>
      <c r="IY30" s="2" t="str">
        <v>-</v>
      </c>
      <c r="IZ30" s="2" t="str">
        <v>허지웅</v>
      </c>
      <c r="JA30" s="2" t="str">
        <v>-</v>
      </c>
      <c r="JB30" s="2" t="str">
        <v>-</v>
      </c>
      <c r="JC30" s="2" t="str">
        <v>박성현</v>
      </c>
      <c r="JD30" s="2" t="str">
        <v>-</v>
      </c>
      <c r="JE30" s="2" t="str">
        <v>-</v>
      </c>
      <c r="JF30" s="2" t="str">
        <v>이기수</v>
      </c>
      <c r="JG30" s="2" t="str">
        <v>-</v>
      </c>
      <c r="JH30" s="2" t="str">
        <v>-</v>
      </c>
      <c r="JI30" s="2" t="str">
        <v>정윤준</v>
      </c>
      <c r="JJ30" s="2" t="str">
        <v>-</v>
      </c>
      <c r="JK30" s="2" t="str">
        <v>-</v>
      </c>
      <c r="JL30" s="2" t="str">
        <v>허지웅</v>
      </c>
      <c r="JM30" s="2" t="str">
        <v>-</v>
      </c>
      <c r="JN30" s="2" t="str">
        <v>-</v>
      </c>
      <c r="JO30" s="2" t="str">
        <v>박성현</v>
      </c>
      <c r="JP30" s="2" t="str">
        <v>-</v>
      </c>
      <c r="JQ30" s="2" t="str">
        <v>-</v>
      </c>
      <c r="JR30" s="2" t="str">
        <v>이기수</v>
      </c>
      <c r="JS30" s="2" t="str">
        <v>-</v>
      </c>
      <c r="JT30" s="2" t="str">
        <v>-</v>
      </c>
      <c r="JU30" s="2" t="str">
        <v>정윤준</v>
      </c>
      <c r="JV30" s="2" t="str">
        <v>-</v>
      </c>
      <c r="JW30" s="2" t="str">
        <v>-</v>
      </c>
      <c r="JX30" s="2" t="str">
        <v>허지웅</v>
      </c>
      <c r="JY30" s="2" t="str">
        <v>-</v>
      </c>
      <c r="JZ30" s="2" t="str">
        <v>-</v>
      </c>
      <c r="KA30" s="2" t="str">
        <v>박성현</v>
      </c>
      <c r="KB30" s="2" t="str">
        <v>-</v>
      </c>
      <c r="KC30" s="2" t="str">
        <v>-</v>
      </c>
      <c r="KD30" s="2" t="str">
        <v>이기수</v>
      </c>
      <c r="KE30" s="2" t="str">
        <v>-</v>
      </c>
      <c r="KF30" s="2" t="str">
        <v>-</v>
      </c>
      <c r="KG30" s="2" t="str">
        <v>정윤준</v>
      </c>
      <c r="KH30" s="2" t="str">
        <v>-</v>
      </c>
      <c r="KI30" s="2" t="str">
        <v>-</v>
      </c>
      <c r="KJ30" s="2" t="str">
        <v>허지웅</v>
      </c>
      <c r="KK30" s="2" t="str">
        <v>-</v>
      </c>
      <c r="KL30" s="2" t="str">
        <v>-</v>
      </c>
      <c r="KM30" s="2" t="str">
        <v>박성현</v>
      </c>
      <c r="KN30" s="2" t="str">
        <v>-</v>
      </c>
      <c r="KO30" s="2" t="str">
        <v>-</v>
      </c>
      <c r="KP30" s="2" t="str">
        <v>이기수</v>
      </c>
      <c r="KQ30" s="2" t="str">
        <v>-</v>
      </c>
      <c r="KR30" s="2" t="str">
        <v>-</v>
      </c>
      <c r="KS30" s="2" t="str">
        <v>정윤준</v>
      </c>
      <c r="KT30" s="2" t="str">
        <v>-</v>
      </c>
      <c r="KU30" s="2" t="str">
        <v>-</v>
      </c>
      <c r="KV30" s="2" t="str">
        <v>허지웅</v>
      </c>
      <c r="KW30" s="2" t="str">
        <v>-</v>
      </c>
      <c r="KX30" s="2" t="str">
        <v>-</v>
      </c>
      <c r="KY30" s="2" t="str">
        <v>박성현</v>
      </c>
      <c r="KZ30" s="2" t="str">
        <v>-</v>
      </c>
      <c r="LA30" s="2" t="str">
        <v>-</v>
      </c>
      <c r="LB30" s="2" t="str">
        <v>이기수</v>
      </c>
      <c r="LC30" s="2" t="str">
        <v>-</v>
      </c>
      <c r="LD30" s="2" t="str">
        <v>-</v>
      </c>
      <c r="LE30" s="2" t="str">
        <v>정윤준</v>
      </c>
      <c r="LF30" s="2" t="str">
        <v>-</v>
      </c>
      <c r="LG30" s="2" t="str">
        <v>-</v>
      </c>
      <c r="LH30" s="2" t="str">
        <v>허지웅</v>
      </c>
      <c r="LI30" s="2" t="str">
        <v>-</v>
      </c>
      <c r="LJ30" s="2" t="str">
        <v>-</v>
      </c>
      <c r="LK30" s="2" t="str">
        <v>박성현</v>
      </c>
      <c r="LL30" s="2" t="str">
        <v>-</v>
      </c>
      <c r="LM30" s="2" t="str">
        <v>-</v>
      </c>
      <c r="LN30" s="2" t="str">
        <v>이기수</v>
      </c>
      <c r="LO30" s="2" t="str">
        <v>-</v>
      </c>
      <c r="LP30" s="2" t="str">
        <v>-</v>
      </c>
      <c r="LQ30" s="2" t="str">
        <v>정윤준</v>
      </c>
      <c r="LR30" s="2" t="str">
        <v>-</v>
      </c>
      <c r="LS30" s="2" t="str">
        <v>-</v>
      </c>
      <c r="LT30" s="2" t="str">
        <v>허지웅</v>
      </c>
      <c r="LU30" s="2" t="str">
        <v>-</v>
      </c>
      <c r="LV30" s="2" t="str">
        <v>-</v>
      </c>
      <c r="LW30" s="2" t="str">
        <v>박성현</v>
      </c>
      <c r="LX30" s="2" t="str">
        <v>-</v>
      </c>
      <c r="LY30" s="2" t="str">
        <v>-</v>
      </c>
      <c r="LZ30" s="2" t="str">
        <v>이기수</v>
      </c>
      <c r="MA30" s="2" t="str">
        <v>-</v>
      </c>
      <c r="MB30" s="2" t="str">
        <v>-</v>
      </c>
      <c r="MC30" s="2" t="str">
        <v>정윤준</v>
      </c>
      <c r="MD30" s="2" t="str">
        <v>-</v>
      </c>
      <c r="ME30" s="2" t="str">
        <v>-</v>
      </c>
      <c r="MF30" s="2" t="str">
        <v>허지웅</v>
      </c>
      <c r="MG30" s="2" t="str">
        <v>-</v>
      </c>
      <c r="MH30" s="2" t="str">
        <v>-</v>
      </c>
      <c r="MI30" s="2" t="str">
        <v>박성현</v>
      </c>
      <c r="MJ30" s="2" t="str">
        <v>-</v>
      </c>
      <c r="MK30" s="2" t="str">
        <v>-</v>
      </c>
      <c r="ML30" s="2" t="str">
        <v>이기수</v>
      </c>
      <c r="MM30" s="2" t="str">
        <v>-</v>
      </c>
      <c r="MN30" s="2" t="str">
        <v>-</v>
      </c>
      <c r="MO30" s="2" t="str">
        <v>정윤준</v>
      </c>
      <c r="MP30" s="2" t="str">
        <v>-</v>
      </c>
      <c r="MQ30" s="2" t="str">
        <v>-</v>
      </c>
      <c r="MR30" s="2" t="str">
        <v>허지웅</v>
      </c>
      <c r="MS30" s="2" t="str">
        <v>-</v>
      </c>
      <c r="MT30" s="2" t="str">
        <v>-</v>
      </c>
      <c r="MU30" s="2" t="str">
        <v>박성현</v>
      </c>
      <c r="MV30" s="2" t="str">
        <v>-</v>
      </c>
      <c r="MW30" s="2" t="str">
        <v>-</v>
      </c>
      <c r="MX30" s="2" t="str">
        <v>이기수</v>
      </c>
      <c r="MY30" s="2" t="str">
        <v>-</v>
      </c>
      <c r="MZ30" s="2" t="str">
        <v>-</v>
      </c>
      <c r="NA30" s="2" t="str">
        <v>정윤준</v>
      </c>
      <c r="NB30" s="2" t="str">
        <v>-</v>
      </c>
      <c r="NC30" s="2" t="str">
        <v>-</v>
      </c>
      <c r="ND30" s="2" t="e">
        <v>#N/A</v>
      </c>
    </row>
    <row r="31" spans="1:368" hidden="1">
      <c r="A31" s="3" t="str">
        <v>야간근무
외곽2</v>
      </c>
      <c r="B31" s="2" t="str">
        <v>박성현</v>
      </c>
      <c r="C31" s="2" t="str">
        <v>-</v>
      </c>
      <c r="D31" s="2" t="str">
        <v>-</v>
      </c>
      <c r="E31" s="2" t="str">
        <v>이기수</v>
      </c>
      <c r="F31" s="2" t="str">
        <v>-</v>
      </c>
      <c r="G31" s="2" t="str">
        <v>-</v>
      </c>
      <c r="H31" s="2" t="str">
        <v>정윤준</v>
      </c>
      <c r="I31" s="2" t="str">
        <v>-</v>
      </c>
      <c r="J31" s="2" t="str">
        <v>-</v>
      </c>
      <c r="K31" s="2" t="str">
        <v>허지웅</v>
      </c>
      <c r="L31" s="2" t="str">
        <v>-</v>
      </c>
      <c r="M31" s="2" t="str">
        <v>-</v>
      </c>
      <c r="N31" s="2" t="str">
        <v>박성현</v>
      </c>
      <c r="O31" s="2" t="str">
        <v>-</v>
      </c>
      <c r="P31" s="2" t="str">
        <v>-</v>
      </c>
      <c r="Q31" s="2" t="str">
        <v>이기수</v>
      </c>
      <c r="R31" s="2" t="str">
        <v>-</v>
      </c>
      <c r="S31" s="2" t="str">
        <v>-</v>
      </c>
      <c r="T31" s="2" t="str">
        <v>정윤준</v>
      </c>
      <c r="U31" s="2" t="str">
        <v>-</v>
      </c>
      <c r="V31" s="2" t="str">
        <v>-</v>
      </c>
      <c r="W31" s="2" t="str">
        <v>허지웅</v>
      </c>
      <c r="X31" s="2" t="str">
        <v>-</v>
      </c>
      <c r="Y31" s="2" t="str">
        <v>-</v>
      </c>
      <c r="Z31" s="2" t="str">
        <v>박성현</v>
      </c>
      <c r="AA31" s="2" t="str">
        <v>-</v>
      </c>
      <c r="AB31" s="2" t="str">
        <v>-</v>
      </c>
      <c r="AC31" s="2" t="str">
        <v>이기수</v>
      </c>
      <c r="AD31" s="2" t="str">
        <v>-</v>
      </c>
      <c r="AE31" s="2" t="str">
        <v>-</v>
      </c>
      <c r="AF31" s="2" t="str">
        <v>정윤준</v>
      </c>
      <c r="AG31" s="2" t="str">
        <v>-</v>
      </c>
      <c r="AH31" s="2" t="str">
        <v>-</v>
      </c>
      <c r="AI31" s="2" t="str">
        <v>허지웅</v>
      </c>
      <c r="AJ31" s="2" t="str">
        <v>-</v>
      </c>
      <c r="AK31" s="2" t="str">
        <v>-</v>
      </c>
      <c r="AL31" s="2" t="str">
        <v>박성현</v>
      </c>
      <c r="AM31" s="2" t="str">
        <v>-</v>
      </c>
      <c r="AN31" s="2" t="str">
        <v>-</v>
      </c>
      <c r="AO31" s="2" t="str">
        <v>이기수</v>
      </c>
      <c r="AP31" s="2" t="str">
        <v>-</v>
      </c>
      <c r="AQ31" s="2" t="str">
        <v>-</v>
      </c>
      <c r="AR31" s="2" t="str">
        <v>정윤준</v>
      </c>
      <c r="AS31" s="2" t="str">
        <v>-</v>
      </c>
      <c r="AT31" s="2" t="str">
        <v>-</v>
      </c>
      <c r="AU31" s="2" t="str">
        <v>허지웅</v>
      </c>
      <c r="AV31" s="2" t="str">
        <v>-</v>
      </c>
      <c r="AW31" s="2" t="str">
        <v>-</v>
      </c>
      <c r="AX31" s="2" t="str">
        <v>박성현</v>
      </c>
      <c r="AY31" s="2" t="str">
        <v>-</v>
      </c>
      <c r="AZ31" s="2" t="str">
        <v>-</v>
      </c>
      <c r="BA31" s="2" t="str">
        <v>이기수</v>
      </c>
      <c r="BB31" s="2" t="str">
        <v>-</v>
      </c>
      <c r="BC31" s="2" t="str">
        <v>-</v>
      </c>
      <c r="BD31" s="2" t="str">
        <v>정윤준</v>
      </c>
      <c r="BE31" s="2" t="str">
        <v>-</v>
      </c>
      <c r="BF31" s="2" t="str">
        <v>-</v>
      </c>
      <c r="BG31" s="2" t="str">
        <v>허지웅</v>
      </c>
      <c r="BH31" s="2" t="str">
        <v>-</v>
      </c>
      <c r="BI31" s="2" t="str">
        <v>-</v>
      </c>
      <c r="BJ31" s="2" t="str">
        <v>박성현</v>
      </c>
      <c r="BK31" s="2" t="str">
        <v>-</v>
      </c>
      <c r="BL31" s="2" t="str">
        <v>-</v>
      </c>
      <c r="BM31" s="2" t="str">
        <v>이기수</v>
      </c>
      <c r="BN31" s="2" t="str">
        <v>-</v>
      </c>
      <c r="BO31" s="2" t="str">
        <v>-</v>
      </c>
      <c r="BP31" s="2" t="str">
        <v>정윤준</v>
      </c>
      <c r="BQ31" s="2" t="str">
        <v>-</v>
      </c>
      <c r="BR31" s="2" t="str">
        <v>-</v>
      </c>
      <c r="BS31" s="2" t="str">
        <v>허지웅</v>
      </c>
      <c r="BT31" s="2" t="str">
        <v>-</v>
      </c>
      <c r="BU31" s="2" t="str">
        <v>-</v>
      </c>
      <c r="BV31" s="2" t="str">
        <v>박성현</v>
      </c>
      <c r="BW31" s="2" t="str">
        <v>-</v>
      </c>
      <c r="BX31" s="2" t="str">
        <v>-</v>
      </c>
      <c r="BY31" s="2" t="str">
        <v>이기수</v>
      </c>
      <c r="BZ31" s="2" t="str">
        <v>-</v>
      </c>
      <c r="CA31" s="2" t="str">
        <v>-</v>
      </c>
      <c r="CB31" s="2" t="str">
        <v>정윤준</v>
      </c>
      <c r="CC31" s="2" t="str">
        <v>-</v>
      </c>
      <c r="CD31" s="2" t="str">
        <v>-</v>
      </c>
      <c r="CE31" s="2" t="str">
        <v>허지웅</v>
      </c>
      <c r="CF31" s="2" t="str">
        <v>-</v>
      </c>
      <c r="CG31" s="2" t="str">
        <v>-</v>
      </c>
      <c r="CH31" s="2" t="str">
        <v>박성현</v>
      </c>
      <c r="CI31" s="2" t="str">
        <v>-</v>
      </c>
      <c r="CJ31" s="2" t="str">
        <v>-</v>
      </c>
      <c r="CK31" s="2" t="str">
        <v>이기수</v>
      </c>
      <c r="CL31" s="2" t="str">
        <v>-</v>
      </c>
      <c r="CM31" s="2" t="str">
        <v>-</v>
      </c>
      <c r="CN31" s="2" t="str">
        <v>정윤준</v>
      </c>
      <c r="CO31" s="2" t="str">
        <v>-</v>
      </c>
      <c r="CP31" s="2" t="str">
        <v>-</v>
      </c>
      <c r="CQ31" s="2" t="str">
        <v>허지웅</v>
      </c>
      <c r="CR31" s="2" t="str">
        <v>-</v>
      </c>
      <c r="CS31" s="2" t="str">
        <v>-</v>
      </c>
      <c r="CT31" s="2" t="str">
        <v>박성현</v>
      </c>
      <c r="CU31" s="2" t="str">
        <v>-</v>
      </c>
      <c r="CV31" s="2" t="str">
        <v>-</v>
      </c>
      <c r="CW31" s="2" t="str">
        <v>이기수</v>
      </c>
      <c r="CX31" s="2" t="str">
        <v>-</v>
      </c>
      <c r="CY31" s="2" t="str">
        <v>-</v>
      </c>
      <c r="CZ31" s="2" t="str">
        <v>정윤준</v>
      </c>
      <c r="DA31" s="2" t="str">
        <v>-</v>
      </c>
      <c r="DB31" s="2" t="str">
        <v>-</v>
      </c>
      <c r="DC31" s="2" t="str">
        <v>허지웅</v>
      </c>
      <c r="DD31" s="2" t="str">
        <v>-</v>
      </c>
      <c r="DE31" s="2" t="str">
        <v>-</v>
      </c>
      <c r="DF31" s="2" t="str">
        <v>박성현</v>
      </c>
      <c r="DG31" s="2" t="str">
        <v>-</v>
      </c>
      <c r="DH31" s="2" t="str">
        <v>-</v>
      </c>
      <c r="DI31" s="2" t="str">
        <v>이기수</v>
      </c>
      <c r="DJ31" s="2" t="str">
        <v>-</v>
      </c>
      <c r="DK31" s="2" t="str">
        <v>-</v>
      </c>
      <c r="DL31" s="2" t="str">
        <v>정윤준</v>
      </c>
      <c r="DM31" s="2" t="str">
        <v>-</v>
      </c>
      <c r="DN31" s="2" t="str">
        <v>-</v>
      </c>
      <c r="DO31" s="2" t="str">
        <v>허지웅</v>
      </c>
      <c r="DP31" s="2" t="str">
        <v>-</v>
      </c>
      <c r="DQ31" s="2" t="str">
        <v>-</v>
      </c>
      <c r="DR31" s="2" t="str">
        <v>박성현</v>
      </c>
      <c r="DS31" s="2" t="str">
        <v>-</v>
      </c>
      <c r="DT31" s="2" t="str">
        <v>-</v>
      </c>
      <c r="DU31" s="2" t="str">
        <v>이기수</v>
      </c>
      <c r="DV31" s="2" t="str">
        <v>-</v>
      </c>
      <c r="DW31" s="2" t="str">
        <v>-</v>
      </c>
      <c r="DX31" s="2" t="str">
        <v>정윤준</v>
      </c>
      <c r="DY31" s="2" t="str">
        <v>-</v>
      </c>
      <c r="DZ31" s="2" t="str">
        <v>-</v>
      </c>
      <c r="EA31" s="2" t="str">
        <v>허지웅</v>
      </c>
      <c r="EB31" s="2" t="str">
        <v>-</v>
      </c>
      <c r="EC31" s="2" t="str">
        <v>-</v>
      </c>
      <c r="ED31" s="2" t="str">
        <v>박성현</v>
      </c>
      <c r="EE31" s="2" t="str">
        <v>-</v>
      </c>
      <c r="EF31" s="2" t="str">
        <v>-</v>
      </c>
      <c r="EG31" s="2" t="str">
        <v>이기수</v>
      </c>
      <c r="EH31" s="2" t="str">
        <v>-</v>
      </c>
      <c r="EI31" s="2" t="str">
        <v>-</v>
      </c>
      <c r="EJ31" s="2" t="str">
        <v>정윤준</v>
      </c>
      <c r="EK31" s="2" t="str">
        <v>-</v>
      </c>
      <c r="EL31" s="2" t="str">
        <v>-</v>
      </c>
      <c r="EM31" s="2" t="str">
        <v>허지웅</v>
      </c>
      <c r="EN31" s="2" t="str">
        <v>-</v>
      </c>
      <c r="EO31" s="2" t="str">
        <v>-</v>
      </c>
      <c r="EP31" s="2" t="str">
        <v>박성현</v>
      </c>
      <c r="EQ31" s="2" t="str">
        <v>-</v>
      </c>
      <c r="ER31" s="2" t="str">
        <v>-</v>
      </c>
      <c r="ES31" s="2" t="str">
        <v>이기수</v>
      </c>
      <c r="ET31" s="2" t="str">
        <v>-</v>
      </c>
      <c r="EU31" s="2" t="str">
        <v>-</v>
      </c>
      <c r="EV31" s="2" t="str">
        <v>정윤준</v>
      </c>
      <c r="EW31" s="2" t="str">
        <v>-</v>
      </c>
      <c r="EX31" s="2" t="str">
        <v>-</v>
      </c>
      <c r="EY31" s="2" t="str">
        <v>허지웅</v>
      </c>
      <c r="EZ31" s="2" t="str">
        <v>-</v>
      </c>
      <c r="FA31" s="2" t="str">
        <v>-</v>
      </c>
      <c r="FB31" s="2" t="str">
        <v>박성현</v>
      </c>
      <c r="FC31" s="2" t="str">
        <v>-</v>
      </c>
      <c r="FD31" s="2" t="str">
        <v>-</v>
      </c>
      <c r="FE31" s="2" t="str">
        <v>이기수</v>
      </c>
      <c r="FF31" s="2" t="str">
        <v>-</v>
      </c>
      <c r="FG31" s="2" t="str">
        <v>-</v>
      </c>
      <c r="FH31" s="2" t="str">
        <v>정윤준</v>
      </c>
      <c r="FI31" s="2" t="str">
        <v>-</v>
      </c>
      <c r="FJ31" s="2" t="str">
        <v>-</v>
      </c>
      <c r="FK31" s="2" t="str">
        <v>허지웅</v>
      </c>
      <c r="FL31" s="2" t="str">
        <v>-</v>
      </c>
      <c r="FM31" s="2" t="str">
        <v>-</v>
      </c>
      <c r="FN31" s="2" t="str">
        <v>박성현</v>
      </c>
      <c r="FO31" s="2" t="str">
        <v>-</v>
      </c>
      <c r="FP31" s="2" t="str">
        <v>-</v>
      </c>
      <c r="FQ31" s="2" t="str">
        <v>이기수</v>
      </c>
      <c r="FR31" s="2" t="str">
        <v>-</v>
      </c>
      <c r="FS31" s="2" t="str">
        <v>-</v>
      </c>
      <c r="FT31" s="2" t="str">
        <v>정윤준</v>
      </c>
      <c r="FU31" s="2" t="str">
        <v>-</v>
      </c>
      <c r="FV31" s="2" t="str">
        <v>-</v>
      </c>
      <c r="FW31" s="2" t="str">
        <v>허지웅</v>
      </c>
      <c r="FX31" s="2" t="str">
        <v>-</v>
      </c>
      <c r="FY31" s="2" t="str">
        <v>-</v>
      </c>
      <c r="FZ31" s="2" t="str">
        <v>박성현</v>
      </c>
      <c r="GA31" s="2" t="str">
        <v>-</v>
      </c>
      <c r="GB31" s="2" t="str">
        <v>-</v>
      </c>
      <c r="GC31" s="2" t="str">
        <v>이기수</v>
      </c>
      <c r="GD31" s="2" t="str">
        <v>-</v>
      </c>
      <c r="GE31" s="2" t="str">
        <v>-</v>
      </c>
      <c r="GF31" s="2" t="str">
        <v>정윤준</v>
      </c>
      <c r="GG31" s="2" t="str">
        <v>-</v>
      </c>
      <c r="GH31" s="2" t="str">
        <v>-</v>
      </c>
      <c r="GI31" s="2" t="str">
        <v>허지웅</v>
      </c>
      <c r="GJ31" s="2" t="str">
        <v>-</v>
      </c>
      <c r="GK31" s="2" t="str">
        <v>-</v>
      </c>
      <c r="GL31" s="2" t="str">
        <v>박성현</v>
      </c>
      <c r="GM31" s="2" t="str">
        <v>-</v>
      </c>
      <c r="GN31" s="2" t="str">
        <v>-</v>
      </c>
      <c r="GO31" s="2" t="str">
        <v>이기수</v>
      </c>
      <c r="GP31" s="2" t="str">
        <v>-</v>
      </c>
      <c r="GQ31" s="2" t="str">
        <v>-</v>
      </c>
      <c r="GR31" s="2" t="str">
        <v>정윤준</v>
      </c>
      <c r="GS31" s="2" t="str">
        <v>-</v>
      </c>
      <c r="GT31" s="2" t="str">
        <v>-</v>
      </c>
      <c r="GU31" s="2" t="str">
        <v>허지웅</v>
      </c>
      <c r="GV31" s="2" t="str">
        <v>-</v>
      </c>
      <c r="GW31" s="2" t="str">
        <v>-</v>
      </c>
      <c r="GX31" s="2" t="str">
        <v>박성현</v>
      </c>
      <c r="GY31" s="2" t="str">
        <v>-</v>
      </c>
      <c r="GZ31" s="2" t="str">
        <v>-</v>
      </c>
      <c r="HA31" s="2" t="str">
        <v>이기수</v>
      </c>
      <c r="HB31" s="2" t="str">
        <v>-</v>
      </c>
      <c r="HC31" s="2" t="str">
        <v>-</v>
      </c>
      <c r="HD31" s="2" t="str">
        <v>정윤준</v>
      </c>
      <c r="HE31" s="2" t="str">
        <v>-</v>
      </c>
      <c r="HF31" s="2" t="str">
        <v>-</v>
      </c>
      <c r="HG31" s="2" t="str">
        <v>허지웅</v>
      </c>
      <c r="HH31" s="2" t="str">
        <v>-</v>
      </c>
      <c r="HI31" s="2" t="str">
        <v>-</v>
      </c>
      <c r="HJ31" s="2" t="str">
        <v>박성현</v>
      </c>
      <c r="HK31" s="2" t="str">
        <v>-</v>
      </c>
      <c r="HL31" s="2" t="str">
        <v>-</v>
      </c>
      <c r="HM31" s="2" t="str">
        <v>이기수</v>
      </c>
      <c r="HN31" s="2" t="str">
        <v>-</v>
      </c>
      <c r="HO31" s="2" t="str">
        <v>-</v>
      </c>
      <c r="HP31" s="2" t="str">
        <v>정윤준</v>
      </c>
      <c r="HQ31" s="2" t="str">
        <v>-</v>
      </c>
      <c r="HR31" s="2" t="str">
        <v>-</v>
      </c>
      <c r="HS31" s="2" t="str">
        <v>허지웅</v>
      </c>
      <c r="HT31" s="2" t="str">
        <v>-</v>
      </c>
      <c r="HU31" s="2" t="str">
        <v>-</v>
      </c>
      <c r="HV31" s="2" t="str">
        <v>박성현</v>
      </c>
      <c r="HW31" s="2" t="str">
        <v>-</v>
      </c>
      <c r="HX31" s="2" t="str">
        <v>-</v>
      </c>
      <c r="HY31" s="2" t="str">
        <v>이기수</v>
      </c>
      <c r="HZ31" s="2" t="str">
        <v>-</v>
      </c>
      <c r="IA31" s="2" t="str">
        <v>-</v>
      </c>
      <c r="IB31" s="2" t="str">
        <v>정윤준</v>
      </c>
      <c r="IC31" s="2" t="str">
        <v>-</v>
      </c>
      <c r="ID31" s="2" t="str">
        <v>-</v>
      </c>
      <c r="IE31" s="2" t="str">
        <v>허지웅</v>
      </c>
      <c r="IF31" s="2" t="str">
        <v>-</v>
      </c>
      <c r="IG31" s="2" t="str">
        <v>-</v>
      </c>
      <c r="IH31" s="2" t="str">
        <v>박성현</v>
      </c>
      <c r="II31" s="2" t="str">
        <v>-</v>
      </c>
      <c r="IJ31" s="2" t="str">
        <v>-</v>
      </c>
      <c r="IK31" s="2" t="str">
        <v>이기수</v>
      </c>
      <c r="IL31" s="2" t="str">
        <v>-</v>
      </c>
      <c r="IM31" s="2" t="str">
        <v>-</v>
      </c>
      <c r="IN31" s="2" t="str">
        <v>정윤준</v>
      </c>
      <c r="IO31" s="2" t="str">
        <v>-</v>
      </c>
      <c r="IP31" s="2" t="str">
        <v>-</v>
      </c>
      <c r="IQ31" s="2" t="str">
        <v>허지웅</v>
      </c>
      <c r="IR31" s="2" t="str">
        <v>-</v>
      </c>
      <c r="IS31" s="2" t="str">
        <v>-</v>
      </c>
      <c r="IT31" s="2" t="str">
        <v>박성현</v>
      </c>
      <c r="IU31" s="2" t="str">
        <v>-</v>
      </c>
      <c r="IV31" s="2" t="str">
        <v>-</v>
      </c>
      <c r="IW31" s="2" t="str">
        <v>이기수</v>
      </c>
      <c r="IX31" s="2" t="str">
        <v>-</v>
      </c>
      <c r="IY31" s="2" t="str">
        <v>-</v>
      </c>
      <c r="IZ31" s="2" t="str">
        <v>정윤준</v>
      </c>
      <c r="JA31" s="2" t="str">
        <v>-</v>
      </c>
      <c r="JB31" s="2" t="str">
        <v>-</v>
      </c>
      <c r="JC31" s="2" t="str">
        <v>허지웅</v>
      </c>
      <c r="JD31" s="2" t="str">
        <v>-</v>
      </c>
      <c r="JE31" s="2" t="str">
        <v>-</v>
      </c>
      <c r="JF31" s="2" t="str">
        <v>박성현</v>
      </c>
      <c r="JG31" s="2" t="str">
        <v>-</v>
      </c>
      <c r="JH31" s="2" t="str">
        <v>-</v>
      </c>
      <c r="JI31" s="2" t="str">
        <v>이기수</v>
      </c>
      <c r="JJ31" s="2" t="str">
        <v>-</v>
      </c>
      <c r="JK31" s="2" t="str">
        <v>-</v>
      </c>
      <c r="JL31" s="2" t="str">
        <v>정윤준</v>
      </c>
      <c r="JM31" s="2" t="str">
        <v>-</v>
      </c>
      <c r="JN31" s="2" t="str">
        <v>-</v>
      </c>
      <c r="JO31" s="2" t="str">
        <v>허지웅</v>
      </c>
      <c r="JP31" s="2" t="str">
        <v>-</v>
      </c>
      <c r="JQ31" s="2" t="str">
        <v>-</v>
      </c>
      <c r="JR31" s="2" t="str">
        <v>박성현</v>
      </c>
      <c r="JS31" s="2" t="str">
        <v>-</v>
      </c>
      <c r="JT31" s="2" t="str">
        <v>-</v>
      </c>
      <c r="JU31" s="2" t="str">
        <v>이기수</v>
      </c>
      <c r="JV31" s="2" t="str">
        <v>-</v>
      </c>
      <c r="JW31" s="2" t="str">
        <v>-</v>
      </c>
      <c r="JX31" s="2" t="str">
        <v>정윤준</v>
      </c>
      <c r="JY31" s="2" t="str">
        <v>-</v>
      </c>
      <c r="JZ31" s="2" t="str">
        <v>-</v>
      </c>
      <c r="KA31" s="2" t="str">
        <v>허지웅</v>
      </c>
      <c r="KB31" s="2" t="str">
        <v>-</v>
      </c>
      <c r="KC31" s="2" t="str">
        <v>-</v>
      </c>
      <c r="KD31" s="2" t="str">
        <v>박성현</v>
      </c>
      <c r="KE31" s="2" t="str">
        <v>-</v>
      </c>
      <c r="KF31" s="2" t="str">
        <v>-</v>
      </c>
      <c r="KG31" s="2" t="str">
        <v>이기수</v>
      </c>
      <c r="KH31" s="2" t="str">
        <v>-</v>
      </c>
      <c r="KI31" s="2" t="str">
        <v>-</v>
      </c>
      <c r="KJ31" s="2" t="str">
        <v>정윤준</v>
      </c>
      <c r="KK31" s="2" t="str">
        <v>-</v>
      </c>
      <c r="KL31" s="2" t="str">
        <v>-</v>
      </c>
      <c r="KM31" s="2" t="str">
        <v>허지웅</v>
      </c>
      <c r="KN31" s="2" t="str">
        <v>-</v>
      </c>
      <c r="KO31" s="2" t="str">
        <v>-</v>
      </c>
      <c r="KP31" s="2" t="str">
        <v>박성현</v>
      </c>
      <c r="KQ31" s="2" t="str">
        <v>-</v>
      </c>
      <c r="KR31" s="2" t="str">
        <v>-</v>
      </c>
      <c r="KS31" s="2" t="str">
        <v>이기수</v>
      </c>
      <c r="KT31" s="2" t="str">
        <v>-</v>
      </c>
      <c r="KU31" s="2" t="str">
        <v>-</v>
      </c>
      <c r="KV31" s="2" t="str">
        <v>정윤준</v>
      </c>
      <c r="KW31" s="2" t="str">
        <v>-</v>
      </c>
      <c r="KX31" s="2" t="str">
        <v>-</v>
      </c>
      <c r="KY31" s="2" t="str">
        <v>허지웅</v>
      </c>
      <c r="KZ31" s="2" t="str">
        <v>-</v>
      </c>
      <c r="LA31" s="2" t="str">
        <v>-</v>
      </c>
      <c r="LB31" s="2" t="str">
        <v>박성현</v>
      </c>
      <c r="LC31" s="2" t="str">
        <v>-</v>
      </c>
      <c r="LD31" s="2" t="str">
        <v>-</v>
      </c>
      <c r="LE31" s="2" t="str">
        <v>이기수</v>
      </c>
      <c r="LF31" s="2" t="str">
        <v>-</v>
      </c>
      <c r="LG31" s="2" t="str">
        <v>-</v>
      </c>
      <c r="LH31" s="2" t="str">
        <v>정윤준</v>
      </c>
      <c r="LI31" s="2" t="str">
        <v>-</v>
      </c>
      <c r="LJ31" s="2" t="str">
        <v>-</v>
      </c>
      <c r="LK31" s="2" t="str">
        <v>허지웅</v>
      </c>
      <c r="LL31" s="2" t="str">
        <v>-</v>
      </c>
      <c r="LM31" s="2" t="str">
        <v>-</v>
      </c>
      <c r="LN31" s="2" t="str">
        <v>박성현</v>
      </c>
      <c r="LO31" s="2" t="str">
        <v>-</v>
      </c>
      <c r="LP31" s="2" t="str">
        <v>-</v>
      </c>
      <c r="LQ31" s="2" t="str">
        <v>이기수</v>
      </c>
      <c r="LR31" s="2" t="str">
        <v>-</v>
      </c>
      <c r="LS31" s="2" t="str">
        <v>-</v>
      </c>
      <c r="LT31" s="2" t="str">
        <v>정윤준</v>
      </c>
      <c r="LU31" s="2" t="str">
        <v>-</v>
      </c>
      <c r="LV31" s="2" t="str">
        <v>-</v>
      </c>
      <c r="LW31" s="2" t="str">
        <v>허지웅</v>
      </c>
      <c r="LX31" s="2" t="str">
        <v>-</v>
      </c>
      <c r="LY31" s="2" t="str">
        <v>-</v>
      </c>
      <c r="LZ31" s="2" t="str">
        <v>박성현</v>
      </c>
      <c r="MA31" s="2" t="str">
        <v>-</v>
      </c>
      <c r="MB31" s="2" t="str">
        <v>-</v>
      </c>
      <c r="MC31" s="2" t="str">
        <v>이기수</v>
      </c>
      <c r="MD31" s="2" t="str">
        <v>-</v>
      </c>
      <c r="ME31" s="2" t="str">
        <v>-</v>
      </c>
      <c r="MF31" s="2" t="str">
        <v>정윤준</v>
      </c>
      <c r="MG31" s="2" t="str">
        <v>-</v>
      </c>
      <c r="MH31" s="2" t="str">
        <v>-</v>
      </c>
      <c r="MI31" s="2" t="str">
        <v>허지웅</v>
      </c>
      <c r="MJ31" s="2" t="str">
        <v>-</v>
      </c>
      <c r="MK31" s="2" t="str">
        <v>-</v>
      </c>
      <c r="ML31" s="2" t="str">
        <v>박성현</v>
      </c>
      <c r="MM31" s="2" t="str">
        <v>-</v>
      </c>
      <c r="MN31" s="2" t="str">
        <v>-</v>
      </c>
      <c r="MO31" s="2" t="str">
        <v>이기수</v>
      </c>
      <c r="MP31" s="2" t="str">
        <v>-</v>
      </c>
      <c r="MQ31" s="2" t="str">
        <v>-</v>
      </c>
      <c r="MR31" s="2" t="str">
        <v>정윤준</v>
      </c>
      <c r="MS31" s="2" t="str">
        <v>-</v>
      </c>
      <c r="MT31" s="2" t="str">
        <v>-</v>
      </c>
      <c r="MU31" s="2" t="str">
        <v>허지웅</v>
      </c>
      <c r="MV31" s="2" t="str">
        <v>-</v>
      </c>
      <c r="MW31" s="2" t="str">
        <v>-</v>
      </c>
      <c r="MX31" s="2" t="str">
        <v>박성현</v>
      </c>
      <c r="MY31" s="2" t="str">
        <v>-</v>
      </c>
      <c r="MZ31" s="2" t="str">
        <v>-</v>
      </c>
      <c r="NA31" s="2" t="str">
        <v>이기수</v>
      </c>
      <c r="NB31" s="2" t="str">
        <v>-</v>
      </c>
      <c r="NC31" s="2" t="str">
        <v>-</v>
      </c>
      <c r="ND31" s="2" t="e">
        <v>#N/A</v>
      </c>
    </row>
    <row r="32" spans="1:368" hidden="1">
      <c r="A32" s="3" t="str">
        <v>야간근무
외곽3
(5명근무시)</v>
      </c>
      <c r="B32" s="2" t="str">
        <v>허지웅</v>
      </c>
      <c r="C32" s="2" t="str">
        <v>-</v>
      </c>
      <c r="D32" s="2" t="str">
        <v>-</v>
      </c>
      <c r="E32" s="2" t="str">
        <v>장혁진</v>
      </c>
      <c r="F32" s="2" t="str">
        <v>-</v>
      </c>
      <c r="G32" s="2" t="str">
        <v>-</v>
      </c>
      <c r="H32" s="2" t="str">
        <v>이기수</v>
      </c>
      <c r="I32" s="2" t="str">
        <v>-</v>
      </c>
      <c r="J32" s="2" t="str">
        <v>-</v>
      </c>
      <c r="K32" s="2" t="e">
        <v>#VALUE!</v>
      </c>
      <c r="L32" s="2" t="str">
        <v>-</v>
      </c>
      <c r="M32" s="2" t="str">
        <v>-</v>
      </c>
      <c r="N32" s="2" t="str">
        <v>정윤준</v>
      </c>
      <c r="O32" s="2" t="str">
        <v>-</v>
      </c>
      <c r="P32" s="2" t="str">
        <v>-</v>
      </c>
      <c r="Q32" s="2" t="str">
        <v>허지웅</v>
      </c>
      <c r="R32" s="2" t="str">
        <v>-</v>
      </c>
      <c r="S32" s="2" t="str">
        <v>-</v>
      </c>
      <c r="T32" s="2" t="str">
        <v>장혁진</v>
      </c>
      <c r="U32" s="2" t="str">
        <v>-</v>
      </c>
      <c r="V32" s="2" t="str">
        <v>-</v>
      </c>
      <c r="W32" s="2" t="str">
        <v>이기수</v>
      </c>
      <c r="X32" s="2" t="str">
        <v>-</v>
      </c>
      <c r="Y32" s="2" t="str">
        <v>-</v>
      </c>
      <c r="Z32" s="2" t="e">
        <v>#VALUE!</v>
      </c>
      <c r="AA32" s="2" t="str">
        <v>-</v>
      </c>
      <c r="AB32" s="2" t="str">
        <v>-</v>
      </c>
      <c r="AC32" s="2" t="str">
        <v>정윤준</v>
      </c>
      <c r="AD32" s="2" t="str">
        <v>-</v>
      </c>
      <c r="AE32" s="2" t="str">
        <v>-</v>
      </c>
      <c r="AF32" s="2" t="str">
        <v>허지웅</v>
      </c>
      <c r="AG32" s="2" t="str">
        <v>-</v>
      </c>
      <c r="AH32" s="2" t="str">
        <v>-</v>
      </c>
      <c r="AI32" s="2" t="str">
        <v>장혁진</v>
      </c>
      <c r="AJ32" s="2" t="str">
        <v>-</v>
      </c>
      <c r="AK32" s="2" t="str">
        <v>-</v>
      </c>
      <c r="AL32" s="2" t="str">
        <v>이기수</v>
      </c>
      <c r="AM32" s="2" t="str">
        <v>-</v>
      </c>
      <c r="AN32" s="2" t="str">
        <v>-</v>
      </c>
      <c r="AO32" s="2" t="e">
        <v>#VALUE!</v>
      </c>
      <c r="AP32" s="2" t="str">
        <v>-</v>
      </c>
      <c r="AQ32" s="2" t="str">
        <v>-</v>
      </c>
      <c r="AR32" s="2" t="str">
        <v>정윤준</v>
      </c>
      <c r="AS32" s="2" t="str">
        <v>-</v>
      </c>
      <c r="AT32" s="2" t="str">
        <v>-</v>
      </c>
      <c r="AU32" s="2" t="str">
        <v>허지웅</v>
      </c>
      <c r="AV32" s="2" t="str">
        <v>-</v>
      </c>
      <c r="AW32" s="2" t="str">
        <v>-</v>
      </c>
      <c r="AX32" s="2" t="str">
        <v>장혁진</v>
      </c>
      <c r="AY32" s="2" t="str">
        <v>-</v>
      </c>
      <c r="AZ32" s="2" t="str">
        <v>-</v>
      </c>
      <c r="BA32" s="2" t="str">
        <v>이기수</v>
      </c>
      <c r="BB32" s="2" t="str">
        <v>-</v>
      </c>
      <c r="BC32" s="2" t="str">
        <v>-</v>
      </c>
      <c r="BD32" s="2" t="e">
        <v>#VALUE!</v>
      </c>
      <c r="BE32" s="2" t="str">
        <v>-</v>
      </c>
      <c r="BF32" s="2" t="str">
        <v>-</v>
      </c>
      <c r="BG32" s="2" t="str">
        <v>정윤준</v>
      </c>
      <c r="BH32" s="2" t="str">
        <v>-</v>
      </c>
      <c r="BI32" s="2" t="str">
        <v>-</v>
      </c>
      <c r="BJ32" s="2" t="str">
        <v>허지웅</v>
      </c>
      <c r="BK32" s="2" t="str">
        <v>-</v>
      </c>
      <c r="BL32" s="2" t="str">
        <v>-</v>
      </c>
      <c r="BM32" s="2" t="str">
        <v>장혁진</v>
      </c>
      <c r="BN32" s="2" t="str">
        <v>-</v>
      </c>
      <c r="BO32" s="2" t="str">
        <v>-</v>
      </c>
      <c r="BP32" s="2" t="str">
        <v>이기수</v>
      </c>
      <c r="BQ32" s="2" t="str">
        <v>-</v>
      </c>
      <c r="BR32" s="2" t="str">
        <v>-</v>
      </c>
      <c r="BS32" s="2" t="e">
        <v>#VALUE!</v>
      </c>
      <c r="BT32" s="2" t="str">
        <v>-</v>
      </c>
      <c r="BU32" s="2" t="str">
        <v>-</v>
      </c>
      <c r="BV32" s="2" t="str">
        <v>정윤준</v>
      </c>
      <c r="BW32" s="2" t="str">
        <v>-</v>
      </c>
      <c r="BX32" s="2" t="str">
        <v>-</v>
      </c>
      <c r="BY32" s="2" t="str">
        <v>허지웅</v>
      </c>
      <c r="BZ32" s="2" t="str">
        <v>-</v>
      </c>
      <c r="CA32" s="2" t="str">
        <v>-</v>
      </c>
      <c r="CB32" s="2" t="str">
        <v>장혁진</v>
      </c>
      <c r="CC32" s="2" t="str">
        <v>-</v>
      </c>
      <c r="CD32" s="2" t="str">
        <v>-</v>
      </c>
      <c r="CE32" s="2" t="str">
        <v>이기수</v>
      </c>
      <c r="CF32" s="2" t="str">
        <v>-</v>
      </c>
      <c r="CG32" s="2" t="str">
        <v>-</v>
      </c>
      <c r="CH32" s="2" t="e">
        <v>#VALUE!</v>
      </c>
      <c r="CI32" s="2" t="str">
        <v>-</v>
      </c>
      <c r="CJ32" s="2" t="str">
        <v>-</v>
      </c>
      <c r="CK32" s="2" t="str">
        <v>정윤준</v>
      </c>
      <c r="CL32" s="2" t="str">
        <v>-</v>
      </c>
      <c r="CM32" s="2" t="str">
        <v>-</v>
      </c>
      <c r="CN32" s="2" t="str">
        <v>허지웅</v>
      </c>
      <c r="CO32" s="2" t="str">
        <v>-</v>
      </c>
      <c r="CP32" s="2" t="str">
        <v>-</v>
      </c>
      <c r="CQ32" s="2" t="str">
        <v>장혁진</v>
      </c>
      <c r="CR32" s="2" t="str">
        <v>-</v>
      </c>
      <c r="CS32" s="2" t="str">
        <v>-</v>
      </c>
      <c r="CT32" s="2" t="str">
        <v>이기수</v>
      </c>
      <c r="CU32" s="2" t="str">
        <v>-</v>
      </c>
      <c r="CV32" s="2" t="str">
        <v>-</v>
      </c>
      <c r="CW32" s="2" t="e">
        <v>#VALUE!</v>
      </c>
      <c r="CX32" s="2" t="str">
        <v>-</v>
      </c>
      <c r="CY32" s="2" t="str">
        <v>-</v>
      </c>
      <c r="CZ32" s="2" t="str">
        <v>정윤준</v>
      </c>
      <c r="DA32" s="2" t="str">
        <v>-</v>
      </c>
      <c r="DB32" s="2" t="str">
        <v>-</v>
      </c>
      <c r="DC32" s="2" t="str">
        <v>허지웅</v>
      </c>
      <c r="DD32" s="2" t="str">
        <v>-</v>
      </c>
      <c r="DE32" s="2" t="str">
        <v>-</v>
      </c>
      <c r="DF32" s="2" t="str">
        <v>장혁진</v>
      </c>
      <c r="DG32" s="2" t="str">
        <v>-</v>
      </c>
      <c r="DH32" s="2" t="str">
        <v>-</v>
      </c>
      <c r="DI32" s="2" t="str">
        <v>이기수</v>
      </c>
      <c r="DJ32" s="2" t="str">
        <v>-</v>
      </c>
      <c r="DK32" s="2" t="str">
        <v>-</v>
      </c>
      <c r="DL32" s="2" t="e">
        <v>#VALUE!</v>
      </c>
      <c r="DM32" s="2" t="str">
        <v>-</v>
      </c>
      <c r="DN32" s="2" t="str">
        <v>-</v>
      </c>
      <c r="DO32" s="2" t="str">
        <v>정윤준</v>
      </c>
      <c r="DP32" s="2" t="str">
        <v>-</v>
      </c>
      <c r="DQ32" s="2" t="str">
        <v>-</v>
      </c>
      <c r="DR32" s="2" t="str">
        <v>허지웅</v>
      </c>
      <c r="DS32" s="2" t="str">
        <v>-</v>
      </c>
      <c r="DT32" s="2" t="str">
        <v>-</v>
      </c>
      <c r="DU32" s="2" t="str">
        <v>장혁진</v>
      </c>
      <c r="DV32" s="2" t="str">
        <v>-</v>
      </c>
      <c r="DW32" s="2" t="str">
        <v>-</v>
      </c>
      <c r="DX32" s="2" t="str">
        <v>이기수</v>
      </c>
      <c r="DY32" s="2" t="str">
        <v>-</v>
      </c>
      <c r="DZ32" s="2" t="str">
        <v>-</v>
      </c>
      <c r="EA32" s="2" t="e">
        <v>#VALUE!</v>
      </c>
      <c r="EB32" s="2" t="str">
        <v>-</v>
      </c>
      <c r="EC32" s="2" t="str">
        <v>-</v>
      </c>
      <c r="ED32" s="2" t="str">
        <v>정윤준</v>
      </c>
      <c r="EE32" s="2" t="str">
        <v>-</v>
      </c>
      <c r="EF32" s="2" t="str">
        <v>-</v>
      </c>
      <c r="EG32" s="2" t="str">
        <v>허지웅</v>
      </c>
      <c r="EH32" s="2" t="str">
        <v>-</v>
      </c>
      <c r="EI32" s="2" t="str">
        <v>-</v>
      </c>
      <c r="EJ32" s="2" t="str">
        <v>장혁진</v>
      </c>
      <c r="EK32" s="2" t="str">
        <v>-</v>
      </c>
      <c r="EL32" s="2" t="str">
        <v>-</v>
      </c>
      <c r="EM32" s="2" t="str">
        <v>이기수</v>
      </c>
      <c r="EN32" s="2" t="str">
        <v>-</v>
      </c>
      <c r="EO32" s="2" t="str">
        <v>-</v>
      </c>
      <c r="EP32" s="2" t="e">
        <v>#VALUE!</v>
      </c>
      <c r="EQ32" s="2" t="str">
        <v>-</v>
      </c>
      <c r="ER32" s="2" t="str">
        <v>-</v>
      </c>
      <c r="ES32" s="2" t="str">
        <v>정윤준</v>
      </c>
      <c r="ET32" s="2" t="str">
        <v>-</v>
      </c>
      <c r="EU32" s="2" t="str">
        <v>-</v>
      </c>
      <c r="EV32" s="2" t="str">
        <v>허지웅</v>
      </c>
      <c r="EW32" s="2" t="str">
        <v>-</v>
      </c>
      <c r="EX32" s="2" t="str">
        <v>-</v>
      </c>
      <c r="EY32" s="2" t="str">
        <v>장혁진</v>
      </c>
      <c r="EZ32" s="2" t="str">
        <v>-</v>
      </c>
      <c r="FA32" s="2" t="str">
        <v>-</v>
      </c>
      <c r="FB32" s="2" t="str">
        <v>이기수</v>
      </c>
      <c r="FC32" s="2" t="str">
        <v>-</v>
      </c>
      <c r="FD32" s="2" t="str">
        <v>-</v>
      </c>
      <c r="FE32" s="2" t="e">
        <v>#VALUE!</v>
      </c>
      <c r="FF32" s="2" t="str">
        <v>-</v>
      </c>
      <c r="FG32" s="2" t="str">
        <v>-</v>
      </c>
      <c r="FH32" s="2" t="str">
        <v>정윤준</v>
      </c>
      <c r="FI32" s="2" t="str">
        <v>-</v>
      </c>
      <c r="FJ32" s="2" t="str">
        <v>-</v>
      </c>
      <c r="FK32" s="2" t="str">
        <v>허지웅</v>
      </c>
      <c r="FL32" s="2" t="str">
        <v>-</v>
      </c>
      <c r="FM32" s="2" t="str">
        <v>-</v>
      </c>
      <c r="FN32" s="2" t="str">
        <v>장혁진</v>
      </c>
      <c r="FO32" s="2" t="str">
        <v>-</v>
      </c>
      <c r="FP32" s="2" t="str">
        <v>-</v>
      </c>
      <c r="FQ32" s="2" t="str">
        <v>이기수</v>
      </c>
      <c r="FR32" s="2" t="str">
        <v>-</v>
      </c>
      <c r="FS32" s="2" t="str">
        <v>-</v>
      </c>
      <c r="FT32" s="2" t="e">
        <v>#VALUE!</v>
      </c>
      <c r="FU32" s="2" t="str">
        <v>-</v>
      </c>
      <c r="FV32" s="2" t="str">
        <v>-</v>
      </c>
      <c r="FW32" s="2" t="str">
        <v>정윤준</v>
      </c>
      <c r="FX32" s="2" t="str">
        <v>-</v>
      </c>
      <c r="FY32" s="2" t="str">
        <v>-</v>
      </c>
      <c r="FZ32" s="2" t="str">
        <v>허지웅</v>
      </c>
      <c r="GA32" s="2" t="str">
        <v>-</v>
      </c>
      <c r="GB32" s="2" t="str">
        <v>-</v>
      </c>
      <c r="GC32" s="2" t="str">
        <v>장혁진</v>
      </c>
      <c r="GD32" s="2" t="str">
        <v>-</v>
      </c>
      <c r="GE32" s="2" t="str">
        <v>-</v>
      </c>
      <c r="GF32" s="2" t="str">
        <v>이기수</v>
      </c>
      <c r="GG32" s="2" t="str">
        <v>-</v>
      </c>
      <c r="GH32" s="2" t="str">
        <v>-</v>
      </c>
      <c r="GI32" s="2" t="e">
        <v>#VALUE!</v>
      </c>
      <c r="GJ32" s="2" t="str">
        <v>-</v>
      </c>
      <c r="GK32" s="2" t="str">
        <v>-</v>
      </c>
      <c r="GL32" s="2" t="str">
        <v>정윤준</v>
      </c>
      <c r="GM32" s="2" t="str">
        <v>-</v>
      </c>
      <c r="GN32" s="2" t="str">
        <v>-</v>
      </c>
      <c r="GO32" s="2" t="str">
        <v>허지웅</v>
      </c>
      <c r="GP32" s="2" t="str">
        <v>-</v>
      </c>
      <c r="GQ32" s="2" t="str">
        <v>-</v>
      </c>
      <c r="GR32" s="2" t="str">
        <v>장혁진</v>
      </c>
      <c r="GS32" s="2" t="str">
        <v>-</v>
      </c>
      <c r="GT32" s="2" t="str">
        <v>-</v>
      </c>
      <c r="GU32" s="2" t="str">
        <v>이기수</v>
      </c>
      <c r="GV32" s="2" t="str">
        <v>-</v>
      </c>
      <c r="GW32" s="2" t="str">
        <v>-</v>
      </c>
      <c r="GX32" s="2" t="e">
        <v>#VALUE!</v>
      </c>
      <c r="GY32" s="2" t="str">
        <v>-</v>
      </c>
      <c r="GZ32" s="2" t="str">
        <v>-</v>
      </c>
      <c r="HA32" s="2" t="str">
        <v>정윤준</v>
      </c>
      <c r="HB32" s="2" t="str">
        <v>-</v>
      </c>
      <c r="HC32" s="2" t="str">
        <v>-</v>
      </c>
      <c r="HD32" s="2" t="str">
        <v>허지웅</v>
      </c>
      <c r="HE32" s="2" t="str">
        <v>-</v>
      </c>
      <c r="HF32" s="2" t="str">
        <v>-</v>
      </c>
      <c r="HG32" s="2" t="str">
        <v>장혁진</v>
      </c>
      <c r="HH32" s="2" t="str">
        <v>-</v>
      </c>
      <c r="HI32" s="2" t="str">
        <v>-</v>
      </c>
      <c r="HJ32" s="2" t="str">
        <v>이기수</v>
      </c>
      <c r="HK32" s="2" t="str">
        <v>-</v>
      </c>
      <c r="HL32" s="2" t="str">
        <v>-</v>
      </c>
      <c r="HM32" s="2" t="e">
        <v>#VALUE!</v>
      </c>
      <c r="HN32" s="2" t="str">
        <v>-</v>
      </c>
      <c r="HO32" s="2" t="str">
        <v>-</v>
      </c>
      <c r="HP32" s="2" t="str">
        <v>정윤준</v>
      </c>
      <c r="HQ32" s="2" t="str">
        <v>-</v>
      </c>
      <c r="HR32" s="2" t="str">
        <v>-</v>
      </c>
      <c r="HS32" s="2" t="str">
        <v>허지웅</v>
      </c>
      <c r="HT32" s="2" t="str">
        <v>-</v>
      </c>
      <c r="HU32" s="2" t="str">
        <v>-</v>
      </c>
      <c r="HV32" s="2" t="str">
        <v>장혁진</v>
      </c>
      <c r="HW32" s="2" t="str">
        <v>-</v>
      </c>
      <c r="HX32" s="2" t="str">
        <v>-</v>
      </c>
      <c r="HY32" s="2" t="str">
        <v>이기수</v>
      </c>
      <c r="HZ32" s="2" t="str">
        <v>-</v>
      </c>
      <c r="IA32" s="2" t="str">
        <v>-</v>
      </c>
      <c r="IB32" s="2" t="e">
        <v>#VALUE!</v>
      </c>
      <c r="IC32" s="2" t="str">
        <v>-</v>
      </c>
      <c r="ID32" s="2" t="str">
        <v>-</v>
      </c>
      <c r="IE32" s="2" t="str">
        <v>정윤준</v>
      </c>
      <c r="IF32" s="2" t="str">
        <v>-</v>
      </c>
      <c r="IG32" s="2" t="str">
        <v>-</v>
      </c>
      <c r="IH32" s="2" t="str">
        <v>허지웅</v>
      </c>
      <c r="II32" s="2" t="str">
        <v>-</v>
      </c>
      <c r="IJ32" s="2" t="str">
        <v>-</v>
      </c>
      <c r="IK32" s="2" t="str">
        <v>장혁진</v>
      </c>
      <c r="IL32" s="2" t="str">
        <v>-</v>
      </c>
      <c r="IM32" s="2" t="str">
        <v>-</v>
      </c>
      <c r="IN32" s="2" t="str">
        <v>이기수</v>
      </c>
      <c r="IO32" s="2" t="str">
        <v>-</v>
      </c>
      <c r="IP32" s="2" t="str">
        <v>-</v>
      </c>
      <c r="IQ32" s="2" t="e">
        <v>#VALUE!</v>
      </c>
      <c r="IR32" s="2" t="str">
        <v>-</v>
      </c>
      <c r="IS32" s="2" t="str">
        <v>-</v>
      </c>
      <c r="IT32" s="2" t="str">
        <v>정윤준</v>
      </c>
      <c r="IU32" s="2" t="str">
        <v>-</v>
      </c>
      <c r="IV32" s="2" t="str">
        <v>-</v>
      </c>
      <c r="IW32" s="2" t="str">
        <v>허지웅</v>
      </c>
      <c r="IX32" s="2" t="str">
        <v>-</v>
      </c>
      <c r="IY32" s="2" t="str">
        <v>-</v>
      </c>
      <c r="IZ32" s="2" t="str">
        <v>장혁진</v>
      </c>
      <c r="JA32" s="2" t="str">
        <v>-</v>
      </c>
      <c r="JB32" s="2" t="str">
        <v>-</v>
      </c>
      <c r="JC32" s="2" t="str">
        <v>이기수</v>
      </c>
      <c r="JD32" s="2" t="str">
        <v>-</v>
      </c>
      <c r="JE32" s="2" t="str">
        <v>-</v>
      </c>
      <c r="JF32" s="2" t="e">
        <v>#VALUE!</v>
      </c>
      <c r="JG32" s="2" t="str">
        <v>-</v>
      </c>
      <c r="JH32" s="2" t="str">
        <v>-</v>
      </c>
      <c r="JI32" s="2" t="str">
        <v>정윤준</v>
      </c>
      <c r="JJ32" s="2" t="str">
        <v>-</v>
      </c>
      <c r="JK32" s="2" t="str">
        <v>-</v>
      </c>
      <c r="JL32" s="2" t="str">
        <v>허지웅</v>
      </c>
      <c r="JM32" s="2" t="str">
        <v>-</v>
      </c>
      <c r="JN32" s="2" t="str">
        <v>-</v>
      </c>
      <c r="JO32" s="2" t="str">
        <v>장혁진</v>
      </c>
      <c r="JP32" s="2" t="str">
        <v>-</v>
      </c>
      <c r="JQ32" s="2" t="str">
        <v>-</v>
      </c>
      <c r="JR32" s="2" t="str">
        <v>이기수</v>
      </c>
      <c r="JS32" s="2" t="str">
        <v>-</v>
      </c>
      <c r="JT32" s="2" t="str">
        <v>-</v>
      </c>
      <c r="JU32" s="2" t="e">
        <v>#VALUE!</v>
      </c>
      <c r="JV32" s="2" t="str">
        <v>-</v>
      </c>
      <c r="JW32" s="2" t="str">
        <v>-</v>
      </c>
      <c r="JX32" s="2" t="str">
        <v>정윤준</v>
      </c>
      <c r="JY32" s="2" t="str">
        <v>-</v>
      </c>
      <c r="JZ32" s="2" t="str">
        <v>-</v>
      </c>
      <c r="KA32" s="2" t="str">
        <v>허지웅</v>
      </c>
      <c r="KB32" s="2" t="str">
        <v>-</v>
      </c>
      <c r="KC32" s="2" t="str">
        <v>-</v>
      </c>
      <c r="KD32" s="2" t="str">
        <v>장혁진</v>
      </c>
      <c r="KE32" s="2" t="str">
        <v>-</v>
      </c>
      <c r="KF32" s="2" t="str">
        <v>-</v>
      </c>
      <c r="KG32" s="2" t="str">
        <v>이기수</v>
      </c>
      <c r="KH32" s="2" t="str">
        <v>-</v>
      </c>
      <c r="KI32" s="2" t="str">
        <v>-</v>
      </c>
      <c r="KJ32" s="2" t="e">
        <v>#VALUE!</v>
      </c>
      <c r="KK32" s="2" t="str">
        <v>-</v>
      </c>
      <c r="KL32" s="2" t="str">
        <v>-</v>
      </c>
      <c r="KM32" s="2" t="str">
        <v>정윤준</v>
      </c>
      <c r="KN32" s="2" t="str">
        <v>-</v>
      </c>
      <c r="KO32" s="2" t="str">
        <v>-</v>
      </c>
      <c r="KP32" s="2" t="str">
        <v>허지웅</v>
      </c>
      <c r="KQ32" s="2" t="str">
        <v>-</v>
      </c>
      <c r="KR32" s="2" t="str">
        <v>-</v>
      </c>
      <c r="KS32" s="2" t="str">
        <v>장혁진</v>
      </c>
      <c r="KT32" s="2" t="str">
        <v>-</v>
      </c>
      <c r="KU32" s="2" t="str">
        <v>-</v>
      </c>
      <c r="KV32" s="2" t="str">
        <v>이기수</v>
      </c>
      <c r="KW32" s="2" t="str">
        <v>-</v>
      </c>
      <c r="KX32" s="2" t="str">
        <v>-</v>
      </c>
      <c r="KY32" s="2" t="e">
        <v>#VALUE!</v>
      </c>
      <c r="KZ32" s="2" t="str">
        <v>-</v>
      </c>
      <c r="LA32" s="2" t="str">
        <v>-</v>
      </c>
      <c r="LB32" s="2" t="str">
        <v>정윤준</v>
      </c>
      <c r="LC32" s="2" t="str">
        <v>-</v>
      </c>
      <c r="LD32" s="2" t="str">
        <v>-</v>
      </c>
      <c r="LE32" s="2" t="str">
        <v>허지웅</v>
      </c>
      <c r="LF32" s="2" t="str">
        <v>-</v>
      </c>
      <c r="LG32" s="2" t="str">
        <v>-</v>
      </c>
      <c r="LH32" s="2" t="str">
        <v>장혁진</v>
      </c>
      <c r="LI32" s="2" t="str">
        <v>-</v>
      </c>
      <c r="LJ32" s="2" t="str">
        <v>-</v>
      </c>
      <c r="LK32" s="2" t="str">
        <v>이기수</v>
      </c>
      <c r="LL32" s="2" t="str">
        <v>-</v>
      </c>
      <c r="LM32" s="2" t="str">
        <v>-</v>
      </c>
      <c r="LN32" s="2" t="e">
        <v>#VALUE!</v>
      </c>
      <c r="LO32" s="2" t="str">
        <v>-</v>
      </c>
      <c r="LP32" s="2" t="str">
        <v>-</v>
      </c>
      <c r="LQ32" s="2" t="str">
        <v>정윤준</v>
      </c>
      <c r="LR32" s="2" t="str">
        <v>-</v>
      </c>
      <c r="LS32" s="2" t="str">
        <v>-</v>
      </c>
      <c r="LT32" s="2" t="str">
        <v>허지웅</v>
      </c>
      <c r="LU32" s="2" t="str">
        <v>-</v>
      </c>
      <c r="LV32" s="2" t="str">
        <v>-</v>
      </c>
      <c r="LW32" s="2" t="str">
        <v>장혁진</v>
      </c>
      <c r="LX32" s="2" t="str">
        <v>-</v>
      </c>
      <c r="LY32" s="2" t="str">
        <v>-</v>
      </c>
      <c r="LZ32" s="2" t="str">
        <v>이기수</v>
      </c>
      <c r="MA32" s="2" t="str">
        <v>-</v>
      </c>
      <c r="MB32" s="2" t="str">
        <v>-</v>
      </c>
      <c r="MC32" s="2" t="e">
        <v>#VALUE!</v>
      </c>
      <c r="MD32" s="2" t="str">
        <v>-</v>
      </c>
      <c r="ME32" s="2" t="str">
        <v>-</v>
      </c>
      <c r="MF32" s="2" t="str">
        <v>정윤준</v>
      </c>
      <c r="MG32" s="2" t="str">
        <v>-</v>
      </c>
      <c r="MH32" s="2" t="str">
        <v>-</v>
      </c>
      <c r="MI32" s="2" t="str">
        <v>허지웅</v>
      </c>
      <c r="MJ32" s="2" t="str">
        <v>-</v>
      </c>
      <c r="MK32" s="2" t="str">
        <v>-</v>
      </c>
      <c r="ML32" s="2" t="str">
        <v>장혁진</v>
      </c>
      <c r="MM32" s="2" t="str">
        <v>-</v>
      </c>
      <c r="MN32" s="2" t="str">
        <v>-</v>
      </c>
      <c r="MO32" s="2" t="str">
        <v>이기수</v>
      </c>
      <c r="MP32" s="2" t="str">
        <v>-</v>
      </c>
      <c r="MQ32" s="2" t="str">
        <v>-</v>
      </c>
      <c r="MR32" s="2" t="e">
        <v>#VALUE!</v>
      </c>
      <c r="MS32" s="2" t="str">
        <v>-</v>
      </c>
      <c r="MT32" s="2" t="str">
        <v>-</v>
      </c>
      <c r="MU32" s="2" t="str">
        <v>정윤준</v>
      </c>
      <c r="MV32" s="2" t="str">
        <v>-</v>
      </c>
      <c r="MW32" s="2" t="str">
        <v>-</v>
      </c>
      <c r="MX32" s="2" t="str">
        <v>허지웅</v>
      </c>
      <c r="MY32" s="2" t="str">
        <v>-</v>
      </c>
      <c r="MZ32" s="2" t="str">
        <v>-</v>
      </c>
      <c r="NA32" s="2" t="str">
        <v>장혁진</v>
      </c>
      <c r="NB32" s="2" t="str">
        <v>-</v>
      </c>
      <c r="NC32" s="2" t="str">
        <v>-</v>
      </c>
      <c r="ND32" s="2" t="e">
        <v>#N/A</v>
      </c>
    </row>
    <row r="33" spans="1:368" ht="18" hidden="1" thickBot="1">
      <c r="A33" s="3" t="e">
        <v>#N/A</v>
      </c>
      <c r="B33" s="2" t="e">
        <v>#N/A</v>
      </c>
      <c r="C33" s="2" t="e">
        <v>#N/A</v>
      </c>
      <c r="D33" s="2" t="e">
        <v>#N/A</v>
      </c>
      <c r="E33" s="2" t="e">
        <v>#N/A</v>
      </c>
      <c r="F33" s="2" t="e">
        <v>#N/A</v>
      </c>
      <c r="G33" s="2" t="e">
        <v>#N/A</v>
      </c>
      <c r="H33" s="2" t="e">
        <v>#N/A</v>
      </c>
      <c r="I33" s="2" t="e">
        <v>#N/A</v>
      </c>
      <c r="J33" s="2" t="e">
        <v>#N/A</v>
      </c>
      <c r="K33" s="2" t="e">
        <v>#N/A</v>
      </c>
      <c r="L33" s="2" t="e">
        <v>#N/A</v>
      </c>
      <c r="M33" s="2" t="e">
        <v>#N/A</v>
      </c>
      <c r="N33" s="2" t="e">
        <v>#N/A</v>
      </c>
      <c r="O33" s="2" t="e">
        <v>#N/A</v>
      </c>
      <c r="P33" s="2" t="e">
        <v>#N/A</v>
      </c>
      <c r="Q33" s="2" t="e">
        <v>#N/A</v>
      </c>
      <c r="R33" s="2" t="e">
        <v>#N/A</v>
      </c>
      <c r="S33" s="2" t="e">
        <v>#N/A</v>
      </c>
      <c r="T33" s="2" t="e">
        <v>#N/A</v>
      </c>
      <c r="U33" s="2" t="e">
        <v>#N/A</v>
      </c>
      <c r="V33" s="2" t="e">
        <v>#N/A</v>
      </c>
      <c r="W33" s="2" t="e">
        <v>#N/A</v>
      </c>
      <c r="X33" s="2" t="e">
        <v>#N/A</v>
      </c>
      <c r="Y33" s="2" t="e">
        <v>#N/A</v>
      </c>
      <c r="Z33" s="2" t="e">
        <v>#N/A</v>
      </c>
      <c r="AA33" s="2" t="e">
        <v>#N/A</v>
      </c>
      <c r="AB33" s="2" t="e">
        <v>#N/A</v>
      </c>
      <c r="AC33" s="2" t="e">
        <v>#N/A</v>
      </c>
      <c r="AD33" s="2" t="e">
        <v>#N/A</v>
      </c>
      <c r="AE33" s="2" t="e">
        <v>#N/A</v>
      </c>
      <c r="AF33" s="2" t="e">
        <v>#N/A</v>
      </c>
      <c r="AG33" s="2" t="e">
        <v>#N/A</v>
      </c>
      <c r="AH33" s="2" t="e">
        <v>#N/A</v>
      </c>
      <c r="AI33" s="2" t="e">
        <v>#N/A</v>
      </c>
      <c r="AJ33" s="2" t="e">
        <v>#N/A</v>
      </c>
      <c r="AK33" s="2" t="e">
        <v>#N/A</v>
      </c>
      <c r="AL33" s="2" t="e">
        <v>#N/A</v>
      </c>
      <c r="AM33" s="2" t="e">
        <v>#N/A</v>
      </c>
      <c r="AN33" s="2" t="e">
        <v>#N/A</v>
      </c>
      <c r="AO33" s="2" t="e">
        <v>#N/A</v>
      </c>
      <c r="AP33" s="2" t="e">
        <v>#N/A</v>
      </c>
      <c r="AQ33" s="2" t="e">
        <v>#N/A</v>
      </c>
      <c r="AR33" s="2" t="e">
        <v>#N/A</v>
      </c>
      <c r="AS33" s="2" t="e">
        <v>#N/A</v>
      </c>
      <c r="AT33" s="2" t="e">
        <v>#N/A</v>
      </c>
      <c r="AU33" s="2" t="e">
        <v>#N/A</v>
      </c>
      <c r="AV33" s="2" t="e">
        <v>#N/A</v>
      </c>
      <c r="AW33" s="2" t="e">
        <v>#N/A</v>
      </c>
      <c r="AX33" s="2" t="e">
        <v>#N/A</v>
      </c>
      <c r="AY33" s="2" t="e">
        <v>#N/A</v>
      </c>
      <c r="AZ33" s="2" t="e">
        <v>#N/A</v>
      </c>
      <c r="BA33" s="2" t="e">
        <v>#N/A</v>
      </c>
      <c r="BB33" s="2" t="e">
        <v>#N/A</v>
      </c>
      <c r="BC33" s="2" t="e">
        <v>#N/A</v>
      </c>
      <c r="BD33" s="2" t="e">
        <v>#N/A</v>
      </c>
      <c r="BE33" s="2" t="e">
        <v>#N/A</v>
      </c>
      <c r="BF33" s="2" t="e">
        <v>#N/A</v>
      </c>
      <c r="BG33" s="2" t="e">
        <v>#N/A</v>
      </c>
      <c r="BH33" s="2" t="e">
        <v>#N/A</v>
      </c>
      <c r="BI33" s="2" t="e">
        <v>#N/A</v>
      </c>
      <c r="BJ33" s="2" t="e">
        <v>#N/A</v>
      </c>
      <c r="BK33" s="2" t="e">
        <v>#N/A</v>
      </c>
      <c r="BL33" s="2" t="e">
        <v>#N/A</v>
      </c>
      <c r="BM33" s="2" t="e">
        <v>#N/A</v>
      </c>
      <c r="BN33" s="2" t="e">
        <v>#N/A</v>
      </c>
      <c r="BO33" s="2" t="e">
        <v>#N/A</v>
      </c>
      <c r="BP33" s="2" t="e">
        <v>#N/A</v>
      </c>
      <c r="BQ33" s="2" t="e">
        <v>#N/A</v>
      </c>
      <c r="BR33" s="2" t="e">
        <v>#N/A</v>
      </c>
      <c r="BS33" s="2" t="e">
        <v>#N/A</v>
      </c>
      <c r="BT33" s="2" t="e">
        <v>#N/A</v>
      </c>
      <c r="BU33" s="2" t="e">
        <v>#N/A</v>
      </c>
      <c r="BV33" s="2" t="e">
        <v>#N/A</v>
      </c>
      <c r="BW33" s="2" t="e">
        <v>#N/A</v>
      </c>
      <c r="BX33" s="2" t="e">
        <v>#N/A</v>
      </c>
      <c r="BY33" s="2" t="e">
        <v>#N/A</v>
      </c>
      <c r="BZ33" s="2" t="e">
        <v>#N/A</v>
      </c>
      <c r="CA33" s="2" t="e">
        <v>#N/A</v>
      </c>
      <c r="CB33" s="2" t="e">
        <v>#N/A</v>
      </c>
      <c r="CC33" s="2" t="e">
        <v>#N/A</v>
      </c>
      <c r="CD33" s="2" t="e">
        <v>#N/A</v>
      </c>
      <c r="CE33" s="2" t="e">
        <v>#N/A</v>
      </c>
      <c r="CF33" s="2" t="e">
        <v>#N/A</v>
      </c>
      <c r="CG33" s="2" t="e">
        <v>#N/A</v>
      </c>
      <c r="CH33" s="2" t="e">
        <v>#N/A</v>
      </c>
      <c r="CI33" s="2" t="e">
        <v>#N/A</v>
      </c>
      <c r="CJ33" s="2" t="e">
        <v>#N/A</v>
      </c>
      <c r="CK33" s="2" t="e">
        <v>#N/A</v>
      </c>
      <c r="CL33" s="2" t="e">
        <v>#N/A</v>
      </c>
      <c r="CM33" s="2" t="e">
        <v>#N/A</v>
      </c>
      <c r="CN33" s="2" t="e">
        <v>#N/A</v>
      </c>
      <c r="CO33" s="2" t="e">
        <v>#N/A</v>
      </c>
      <c r="CP33" s="2" t="e">
        <v>#N/A</v>
      </c>
      <c r="CQ33" s="2" t="e">
        <v>#N/A</v>
      </c>
      <c r="CR33" s="2" t="e">
        <v>#N/A</v>
      </c>
      <c r="CS33" s="2" t="e">
        <v>#N/A</v>
      </c>
      <c r="CT33" s="2" t="e">
        <v>#N/A</v>
      </c>
      <c r="CU33" s="2" t="e">
        <v>#N/A</v>
      </c>
      <c r="CV33" s="2" t="e">
        <v>#N/A</v>
      </c>
      <c r="CW33" s="2" t="e">
        <v>#N/A</v>
      </c>
      <c r="CX33" s="2" t="e">
        <v>#N/A</v>
      </c>
      <c r="CY33" s="2" t="e">
        <v>#N/A</v>
      </c>
      <c r="CZ33" s="2" t="e">
        <v>#N/A</v>
      </c>
      <c r="DA33" s="2" t="e">
        <v>#N/A</v>
      </c>
      <c r="DB33" s="2" t="e">
        <v>#N/A</v>
      </c>
      <c r="DC33" s="2" t="e">
        <v>#N/A</v>
      </c>
      <c r="DD33" s="2" t="e">
        <v>#N/A</v>
      </c>
      <c r="DE33" s="2" t="e">
        <v>#N/A</v>
      </c>
      <c r="DF33" s="2" t="e">
        <v>#N/A</v>
      </c>
      <c r="DG33" s="2" t="e">
        <v>#N/A</v>
      </c>
      <c r="DH33" s="2" t="e">
        <v>#N/A</v>
      </c>
      <c r="DI33" s="2" t="e">
        <v>#N/A</v>
      </c>
      <c r="DJ33" s="2" t="e">
        <v>#N/A</v>
      </c>
      <c r="DK33" s="2" t="e">
        <v>#N/A</v>
      </c>
      <c r="DL33" s="2" t="e">
        <v>#N/A</v>
      </c>
      <c r="DM33" s="2" t="e">
        <v>#N/A</v>
      </c>
      <c r="DN33" s="2" t="e">
        <v>#N/A</v>
      </c>
      <c r="DO33" s="2" t="e">
        <v>#N/A</v>
      </c>
      <c r="DP33" s="2" t="e">
        <v>#N/A</v>
      </c>
      <c r="DQ33" s="2" t="e">
        <v>#N/A</v>
      </c>
      <c r="DR33" s="2" t="e">
        <v>#N/A</v>
      </c>
      <c r="DS33" s="2" t="e">
        <v>#N/A</v>
      </c>
      <c r="DT33" s="2" t="e">
        <v>#N/A</v>
      </c>
      <c r="DU33" s="2" t="e">
        <v>#N/A</v>
      </c>
      <c r="DV33" s="2" t="e">
        <v>#N/A</v>
      </c>
      <c r="DW33" s="2" t="e">
        <v>#N/A</v>
      </c>
      <c r="DX33" s="2" t="e">
        <v>#N/A</v>
      </c>
      <c r="DY33" s="2" t="e">
        <v>#N/A</v>
      </c>
      <c r="DZ33" s="2" t="e">
        <v>#N/A</v>
      </c>
      <c r="EA33" s="2" t="e">
        <v>#N/A</v>
      </c>
      <c r="EB33" s="2" t="e">
        <v>#N/A</v>
      </c>
      <c r="EC33" s="2" t="e">
        <v>#N/A</v>
      </c>
      <c r="ED33" s="2" t="e">
        <v>#N/A</v>
      </c>
      <c r="EE33" s="2" t="e">
        <v>#N/A</v>
      </c>
      <c r="EF33" s="2" t="e">
        <v>#N/A</v>
      </c>
      <c r="EG33" s="2" t="e">
        <v>#N/A</v>
      </c>
      <c r="EH33" s="2" t="e">
        <v>#N/A</v>
      </c>
      <c r="EI33" s="2" t="e">
        <v>#N/A</v>
      </c>
      <c r="EJ33" s="2" t="e">
        <v>#N/A</v>
      </c>
      <c r="EK33" s="2" t="e">
        <v>#N/A</v>
      </c>
      <c r="EL33" s="2" t="e">
        <v>#N/A</v>
      </c>
      <c r="EM33" s="2" t="e">
        <v>#N/A</v>
      </c>
      <c r="EN33" s="2" t="e">
        <v>#N/A</v>
      </c>
      <c r="EO33" s="2" t="e">
        <v>#N/A</v>
      </c>
      <c r="EP33" s="2" t="e">
        <v>#N/A</v>
      </c>
      <c r="EQ33" s="2" t="e">
        <v>#N/A</v>
      </c>
      <c r="ER33" s="2" t="e">
        <v>#N/A</v>
      </c>
      <c r="ES33" s="2" t="e">
        <v>#N/A</v>
      </c>
      <c r="ET33" s="2" t="e">
        <v>#N/A</v>
      </c>
      <c r="EU33" s="2" t="e">
        <v>#N/A</v>
      </c>
      <c r="EV33" s="2" t="e">
        <v>#N/A</v>
      </c>
      <c r="EW33" s="2" t="e">
        <v>#N/A</v>
      </c>
      <c r="EX33" s="2" t="e">
        <v>#N/A</v>
      </c>
      <c r="EY33" s="2" t="e">
        <v>#N/A</v>
      </c>
      <c r="EZ33" s="2" t="e">
        <v>#N/A</v>
      </c>
      <c r="FA33" s="2" t="e">
        <v>#N/A</v>
      </c>
      <c r="FB33" s="2" t="e">
        <v>#N/A</v>
      </c>
      <c r="FC33" s="2" t="e">
        <v>#N/A</v>
      </c>
      <c r="FD33" s="2" t="e">
        <v>#N/A</v>
      </c>
      <c r="FE33" s="2" t="e">
        <v>#N/A</v>
      </c>
      <c r="FF33" s="2" t="e">
        <v>#N/A</v>
      </c>
      <c r="FG33" s="2" t="e">
        <v>#N/A</v>
      </c>
      <c r="FH33" s="2" t="e">
        <v>#N/A</v>
      </c>
      <c r="FI33" s="2" t="e">
        <v>#N/A</v>
      </c>
      <c r="FJ33" s="2" t="e">
        <v>#N/A</v>
      </c>
      <c r="FK33" s="2" t="e">
        <v>#N/A</v>
      </c>
      <c r="FL33" s="2" t="e">
        <v>#N/A</v>
      </c>
      <c r="FM33" s="2" t="e">
        <v>#N/A</v>
      </c>
      <c r="FN33" s="2" t="e">
        <v>#N/A</v>
      </c>
      <c r="FO33" s="2" t="e">
        <v>#N/A</v>
      </c>
      <c r="FP33" s="2" t="e">
        <v>#N/A</v>
      </c>
      <c r="FQ33" s="2" t="e">
        <v>#N/A</v>
      </c>
      <c r="FR33" s="2" t="e">
        <v>#N/A</v>
      </c>
      <c r="FS33" s="2" t="e">
        <v>#N/A</v>
      </c>
      <c r="FT33" s="2" t="e">
        <v>#N/A</v>
      </c>
      <c r="FU33" s="2" t="e">
        <v>#N/A</v>
      </c>
      <c r="FV33" s="2" t="e">
        <v>#N/A</v>
      </c>
      <c r="FW33" s="2" t="e">
        <v>#N/A</v>
      </c>
      <c r="FX33" s="2" t="e">
        <v>#N/A</v>
      </c>
      <c r="FY33" s="2" t="e">
        <v>#N/A</v>
      </c>
      <c r="FZ33" s="2" t="e">
        <v>#N/A</v>
      </c>
      <c r="GA33" s="2" t="e">
        <v>#N/A</v>
      </c>
      <c r="GB33" s="2" t="e">
        <v>#N/A</v>
      </c>
      <c r="GC33" s="2" t="e">
        <v>#N/A</v>
      </c>
      <c r="GD33" s="2" t="e">
        <v>#N/A</v>
      </c>
      <c r="GE33" s="2" t="e">
        <v>#N/A</v>
      </c>
      <c r="GF33" s="2" t="e">
        <v>#N/A</v>
      </c>
      <c r="GG33" s="2" t="e">
        <v>#N/A</v>
      </c>
      <c r="GH33" s="2" t="e">
        <v>#N/A</v>
      </c>
      <c r="GI33" s="2" t="e">
        <v>#N/A</v>
      </c>
      <c r="GJ33" s="2" t="e">
        <v>#N/A</v>
      </c>
      <c r="GK33" s="2" t="e">
        <v>#N/A</v>
      </c>
      <c r="GL33" s="2" t="e">
        <v>#N/A</v>
      </c>
      <c r="GM33" s="2" t="e">
        <v>#N/A</v>
      </c>
      <c r="GN33" s="2" t="e">
        <v>#N/A</v>
      </c>
      <c r="GO33" s="2" t="e">
        <v>#N/A</v>
      </c>
      <c r="GP33" s="2" t="e">
        <v>#N/A</v>
      </c>
      <c r="GQ33" s="2" t="e">
        <v>#N/A</v>
      </c>
      <c r="GR33" s="2" t="e">
        <v>#N/A</v>
      </c>
      <c r="GS33" s="2" t="e">
        <v>#N/A</v>
      </c>
      <c r="GT33" s="2" t="e">
        <v>#N/A</v>
      </c>
      <c r="GU33" s="2" t="e">
        <v>#N/A</v>
      </c>
      <c r="GV33" s="2" t="e">
        <v>#N/A</v>
      </c>
      <c r="GW33" s="2" t="e">
        <v>#N/A</v>
      </c>
      <c r="GX33" s="2" t="e">
        <v>#N/A</v>
      </c>
      <c r="GY33" s="2" t="e">
        <v>#N/A</v>
      </c>
      <c r="GZ33" s="2" t="e">
        <v>#N/A</v>
      </c>
      <c r="HA33" s="2" t="e">
        <v>#N/A</v>
      </c>
      <c r="HB33" s="2" t="e">
        <v>#N/A</v>
      </c>
      <c r="HC33" s="2" t="e">
        <v>#N/A</v>
      </c>
      <c r="HD33" s="2" t="e">
        <v>#N/A</v>
      </c>
      <c r="HE33" s="2" t="e">
        <v>#N/A</v>
      </c>
      <c r="HF33" s="2" t="e">
        <v>#N/A</v>
      </c>
      <c r="HG33" s="2" t="e">
        <v>#N/A</v>
      </c>
      <c r="HH33" s="2" t="e">
        <v>#N/A</v>
      </c>
      <c r="HI33" s="2" t="e">
        <v>#N/A</v>
      </c>
      <c r="HJ33" s="2" t="e">
        <v>#N/A</v>
      </c>
      <c r="HK33" s="2" t="e">
        <v>#N/A</v>
      </c>
      <c r="HL33" s="2" t="e">
        <v>#N/A</v>
      </c>
      <c r="HM33" s="2" t="e">
        <v>#N/A</v>
      </c>
      <c r="HN33" s="2" t="e">
        <v>#N/A</v>
      </c>
      <c r="HO33" s="2" t="e">
        <v>#N/A</v>
      </c>
      <c r="HP33" s="2" t="e">
        <v>#N/A</v>
      </c>
      <c r="HQ33" s="2" t="e">
        <v>#N/A</v>
      </c>
      <c r="HR33" s="2" t="e">
        <v>#N/A</v>
      </c>
      <c r="HS33" s="2" t="e">
        <v>#N/A</v>
      </c>
      <c r="HT33" s="2" t="e">
        <v>#N/A</v>
      </c>
      <c r="HU33" s="2" t="e">
        <v>#N/A</v>
      </c>
      <c r="HV33" s="2" t="e">
        <v>#N/A</v>
      </c>
      <c r="HW33" s="2" t="e">
        <v>#N/A</v>
      </c>
      <c r="HX33" s="2" t="e">
        <v>#N/A</v>
      </c>
      <c r="HY33" s="2" t="e">
        <v>#N/A</v>
      </c>
      <c r="HZ33" s="2" t="e">
        <v>#N/A</v>
      </c>
      <c r="IA33" s="2" t="e">
        <v>#N/A</v>
      </c>
      <c r="IB33" s="2" t="e">
        <v>#N/A</v>
      </c>
      <c r="IC33" s="2" t="e">
        <v>#N/A</v>
      </c>
      <c r="ID33" s="2" t="e">
        <v>#N/A</v>
      </c>
      <c r="IE33" s="2" t="e">
        <v>#N/A</v>
      </c>
      <c r="IF33" s="2" t="e">
        <v>#N/A</v>
      </c>
      <c r="IG33" s="2" t="e">
        <v>#N/A</v>
      </c>
      <c r="IH33" s="2" t="e">
        <v>#N/A</v>
      </c>
      <c r="II33" s="2" t="e">
        <v>#N/A</v>
      </c>
      <c r="IJ33" s="2" t="e">
        <v>#N/A</v>
      </c>
      <c r="IK33" s="2" t="e">
        <v>#N/A</v>
      </c>
      <c r="IL33" s="2" t="e">
        <v>#N/A</v>
      </c>
      <c r="IM33" s="2" t="e">
        <v>#N/A</v>
      </c>
      <c r="IN33" s="2" t="e">
        <v>#N/A</v>
      </c>
      <c r="IO33" s="2" t="e">
        <v>#N/A</v>
      </c>
      <c r="IP33" s="2" t="e">
        <v>#N/A</v>
      </c>
      <c r="IQ33" s="2" t="e">
        <v>#N/A</v>
      </c>
      <c r="IR33" s="2" t="e">
        <v>#N/A</v>
      </c>
      <c r="IS33" s="2" t="e">
        <v>#N/A</v>
      </c>
      <c r="IT33" s="2" t="e">
        <v>#N/A</v>
      </c>
      <c r="IU33" s="2" t="e">
        <v>#N/A</v>
      </c>
      <c r="IV33" s="2" t="e">
        <v>#N/A</v>
      </c>
      <c r="IW33" s="2" t="e">
        <v>#N/A</v>
      </c>
      <c r="IX33" s="2" t="e">
        <v>#N/A</v>
      </c>
      <c r="IY33" s="2" t="e">
        <v>#N/A</v>
      </c>
      <c r="IZ33" s="2" t="e">
        <v>#N/A</v>
      </c>
      <c r="JA33" s="2" t="e">
        <v>#N/A</v>
      </c>
      <c r="JB33" s="2" t="e">
        <v>#N/A</v>
      </c>
      <c r="JC33" s="2" t="e">
        <v>#N/A</v>
      </c>
      <c r="JD33" s="2" t="e">
        <v>#N/A</v>
      </c>
      <c r="JE33" s="2" t="e">
        <v>#N/A</v>
      </c>
      <c r="JF33" s="2" t="e">
        <v>#N/A</v>
      </c>
      <c r="JG33" s="2" t="e">
        <v>#N/A</v>
      </c>
      <c r="JH33" s="2" t="e">
        <v>#N/A</v>
      </c>
      <c r="JI33" s="2" t="e">
        <v>#N/A</v>
      </c>
      <c r="JJ33" s="2" t="e">
        <v>#N/A</v>
      </c>
      <c r="JK33" s="2" t="e">
        <v>#N/A</v>
      </c>
      <c r="JL33" s="2" t="e">
        <v>#N/A</v>
      </c>
      <c r="JM33" s="2" t="e">
        <v>#N/A</v>
      </c>
      <c r="JN33" s="2" t="e">
        <v>#N/A</v>
      </c>
      <c r="JO33" s="2" t="e">
        <v>#N/A</v>
      </c>
      <c r="JP33" s="2" t="e">
        <v>#N/A</v>
      </c>
      <c r="JQ33" s="2" t="e">
        <v>#N/A</v>
      </c>
      <c r="JR33" s="2" t="e">
        <v>#N/A</v>
      </c>
      <c r="JS33" s="2" t="e">
        <v>#N/A</v>
      </c>
      <c r="JT33" s="2" t="e">
        <v>#N/A</v>
      </c>
      <c r="JU33" s="2" t="e">
        <v>#N/A</v>
      </c>
      <c r="JV33" s="2" t="e">
        <v>#N/A</v>
      </c>
      <c r="JW33" s="2" t="e">
        <v>#N/A</v>
      </c>
      <c r="JX33" s="2" t="e">
        <v>#N/A</v>
      </c>
      <c r="JY33" s="2" t="e">
        <v>#N/A</v>
      </c>
      <c r="JZ33" s="2" t="e">
        <v>#N/A</v>
      </c>
      <c r="KA33" s="2" t="e">
        <v>#N/A</v>
      </c>
      <c r="KB33" s="2" t="e">
        <v>#N/A</v>
      </c>
      <c r="KC33" s="2" t="e">
        <v>#N/A</v>
      </c>
      <c r="KD33" s="2" t="e">
        <v>#N/A</v>
      </c>
      <c r="KE33" s="2" t="e">
        <v>#N/A</v>
      </c>
      <c r="KF33" s="2" t="e">
        <v>#N/A</v>
      </c>
      <c r="KG33" s="2" t="e">
        <v>#N/A</v>
      </c>
      <c r="KH33" s="2" t="e">
        <v>#N/A</v>
      </c>
      <c r="KI33" s="2" t="e">
        <v>#N/A</v>
      </c>
      <c r="KJ33" s="2" t="e">
        <v>#N/A</v>
      </c>
      <c r="KK33" s="2" t="e">
        <v>#N/A</v>
      </c>
      <c r="KL33" s="2" t="e">
        <v>#N/A</v>
      </c>
      <c r="KM33" s="2" t="e">
        <v>#N/A</v>
      </c>
      <c r="KN33" s="2" t="e">
        <v>#N/A</v>
      </c>
      <c r="KO33" s="2" t="e">
        <v>#N/A</v>
      </c>
      <c r="KP33" s="2" t="e">
        <v>#N/A</v>
      </c>
      <c r="KQ33" s="2" t="e">
        <v>#N/A</v>
      </c>
      <c r="KR33" s="2" t="e">
        <v>#N/A</v>
      </c>
      <c r="KS33" s="2" t="e">
        <v>#N/A</v>
      </c>
      <c r="KT33" s="2" t="e">
        <v>#N/A</v>
      </c>
      <c r="KU33" s="2" t="e">
        <v>#N/A</v>
      </c>
      <c r="KV33" s="2" t="e">
        <v>#N/A</v>
      </c>
      <c r="KW33" s="2" t="e">
        <v>#N/A</v>
      </c>
      <c r="KX33" s="2" t="e">
        <v>#N/A</v>
      </c>
      <c r="KY33" s="2" t="e">
        <v>#N/A</v>
      </c>
      <c r="KZ33" s="2" t="e">
        <v>#N/A</v>
      </c>
      <c r="LA33" s="2" t="e">
        <v>#N/A</v>
      </c>
      <c r="LB33" s="2" t="e">
        <v>#N/A</v>
      </c>
      <c r="LC33" s="2" t="e">
        <v>#N/A</v>
      </c>
      <c r="LD33" s="2" t="e">
        <v>#N/A</v>
      </c>
      <c r="LE33" s="2" t="e">
        <v>#N/A</v>
      </c>
      <c r="LF33" s="2" t="e">
        <v>#N/A</v>
      </c>
      <c r="LG33" s="2" t="e">
        <v>#N/A</v>
      </c>
      <c r="LH33" s="2" t="e">
        <v>#N/A</v>
      </c>
      <c r="LI33" s="2" t="e">
        <v>#N/A</v>
      </c>
      <c r="LJ33" s="2" t="e">
        <v>#N/A</v>
      </c>
      <c r="LK33" s="2" t="e">
        <v>#N/A</v>
      </c>
      <c r="LL33" s="2" t="e">
        <v>#N/A</v>
      </c>
      <c r="LM33" s="2" t="e">
        <v>#N/A</v>
      </c>
      <c r="LN33" s="2" t="e">
        <v>#N/A</v>
      </c>
      <c r="LO33" s="2" t="e">
        <v>#N/A</v>
      </c>
      <c r="LP33" s="2" t="e">
        <v>#N/A</v>
      </c>
      <c r="LQ33" s="2" t="e">
        <v>#N/A</v>
      </c>
      <c r="LR33" s="2" t="e">
        <v>#N/A</v>
      </c>
      <c r="LS33" s="2" t="e">
        <v>#N/A</v>
      </c>
      <c r="LT33" s="2" t="e">
        <v>#N/A</v>
      </c>
      <c r="LU33" s="2" t="e">
        <v>#N/A</v>
      </c>
      <c r="LV33" s="2" t="e">
        <v>#N/A</v>
      </c>
      <c r="LW33" s="2" t="e">
        <v>#N/A</v>
      </c>
      <c r="LX33" s="2" t="e">
        <v>#N/A</v>
      </c>
      <c r="LY33" s="2" t="e">
        <v>#N/A</v>
      </c>
      <c r="LZ33" s="2" t="e">
        <v>#N/A</v>
      </c>
      <c r="MA33" s="2" t="e">
        <v>#N/A</v>
      </c>
      <c r="MB33" s="2" t="e">
        <v>#N/A</v>
      </c>
      <c r="MC33" s="2" t="e">
        <v>#N/A</v>
      </c>
      <c r="MD33" s="2" t="e">
        <v>#N/A</v>
      </c>
      <c r="ME33" s="2" t="e">
        <v>#N/A</v>
      </c>
      <c r="MF33" s="2" t="e">
        <v>#N/A</v>
      </c>
      <c r="MG33" s="2" t="e">
        <v>#N/A</v>
      </c>
      <c r="MH33" s="2" t="e">
        <v>#N/A</v>
      </c>
      <c r="MI33" s="2" t="e">
        <v>#N/A</v>
      </c>
      <c r="MJ33" s="2" t="e">
        <v>#N/A</v>
      </c>
      <c r="MK33" s="2" t="e">
        <v>#N/A</v>
      </c>
      <c r="ML33" s="2" t="e">
        <v>#N/A</v>
      </c>
      <c r="MM33" s="2" t="e">
        <v>#N/A</v>
      </c>
      <c r="MN33" s="2" t="e">
        <v>#N/A</v>
      </c>
      <c r="MO33" s="2" t="e">
        <v>#N/A</v>
      </c>
      <c r="MP33" s="2" t="e">
        <v>#N/A</v>
      </c>
      <c r="MQ33" s="2" t="e">
        <v>#N/A</v>
      </c>
      <c r="MR33" s="2" t="e">
        <v>#N/A</v>
      </c>
      <c r="MS33" s="2" t="e">
        <v>#N/A</v>
      </c>
      <c r="MT33" s="2" t="e">
        <v>#N/A</v>
      </c>
      <c r="MU33" s="2" t="e">
        <v>#N/A</v>
      </c>
      <c r="MV33" s="2" t="e">
        <v>#N/A</v>
      </c>
      <c r="MW33" s="2" t="e">
        <v>#N/A</v>
      </c>
      <c r="MX33" s="2" t="e">
        <v>#N/A</v>
      </c>
      <c r="MY33" s="2" t="e">
        <v>#N/A</v>
      </c>
      <c r="MZ33" s="2" t="e">
        <v>#N/A</v>
      </c>
      <c r="NA33" s="2" t="e">
        <v>#N/A</v>
      </c>
      <c r="NB33" s="2" t="e">
        <v>#N/A</v>
      </c>
      <c r="NC33" s="2" t="e">
        <v>#N/A</v>
      </c>
      <c r="ND33" s="2" t="e">
        <v>#N/A</v>
      </c>
    </row>
    <row r="34" spans="1:368" s="20" customFormat="1">
      <c r="A34" s="19" t="s">
        <v>83</v>
      </c>
      <c r="B34" s="20" t="str">
        <f>IF(B16="-",B28,B16)</f>
        <v>허지웅</v>
      </c>
      <c r="C34" s="20" t="str">
        <f t="shared" ref="C34:BN34" si="0">IF(C16="-",C28,C16)</f>
        <v>-</v>
      </c>
      <c r="D34" s="20" t="str">
        <f t="shared" si="0"/>
        <v>-</v>
      </c>
      <c r="E34" s="20" t="str">
        <f t="shared" si="0"/>
        <v>박성현</v>
      </c>
      <c r="F34" s="20" t="str">
        <f t="shared" si="0"/>
        <v>-</v>
      </c>
      <c r="G34" s="20" t="str">
        <f t="shared" si="0"/>
        <v>허지웅</v>
      </c>
      <c r="H34" s="20" t="str">
        <f t="shared" si="0"/>
        <v>이기수</v>
      </c>
      <c r="I34" s="20" t="str">
        <f t="shared" si="0"/>
        <v>-</v>
      </c>
      <c r="J34" s="20" t="str">
        <f t="shared" si="0"/>
        <v>박성현</v>
      </c>
      <c r="K34" s="20" t="str">
        <f t="shared" si="0"/>
        <v>정윤준</v>
      </c>
      <c r="L34" s="20" t="str">
        <f t="shared" si="0"/>
        <v>-</v>
      </c>
      <c r="M34" s="20" t="str">
        <f t="shared" si="0"/>
        <v>이기수</v>
      </c>
      <c r="N34" s="20" t="str">
        <f t="shared" si="0"/>
        <v>허지웅</v>
      </c>
      <c r="O34" s="20" t="str">
        <f t="shared" si="0"/>
        <v>-</v>
      </c>
      <c r="P34" s="20" t="str">
        <f t="shared" si="0"/>
        <v>정윤준</v>
      </c>
      <c r="Q34" s="20" t="str">
        <f t="shared" si="0"/>
        <v>박성현</v>
      </c>
      <c r="R34" s="20" t="str">
        <f t="shared" si="0"/>
        <v>-</v>
      </c>
      <c r="S34" s="20" t="str">
        <f t="shared" si="0"/>
        <v>-</v>
      </c>
      <c r="T34" s="20" t="str">
        <f t="shared" si="0"/>
        <v>이기수</v>
      </c>
      <c r="U34" s="20" t="str">
        <f t="shared" si="0"/>
        <v>-</v>
      </c>
      <c r="V34" s="20" t="str">
        <f t="shared" si="0"/>
        <v>허지웅</v>
      </c>
      <c r="W34" s="20" t="str">
        <f t="shared" si="0"/>
        <v>정윤준</v>
      </c>
      <c r="X34" s="20" t="str">
        <f t="shared" si="0"/>
        <v>-</v>
      </c>
      <c r="Y34" s="20" t="str">
        <f t="shared" si="0"/>
        <v>-</v>
      </c>
      <c r="Z34" s="20" t="str">
        <f t="shared" si="0"/>
        <v>허지웅</v>
      </c>
      <c r="AA34" s="20" t="str">
        <f t="shared" si="0"/>
        <v>-</v>
      </c>
      <c r="AB34" s="20" t="str">
        <f t="shared" si="0"/>
        <v>박성현</v>
      </c>
      <c r="AC34" s="20" t="str">
        <f t="shared" si="0"/>
        <v>박성현</v>
      </c>
      <c r="AD34" s="20" t="str">
        <f t="shared" si="0"/>
        <v>-</v>
      </c>
      <c r="AE34" s="20" t="str">
        <f t="shared" si="0"/>
        <v>이기수</v>
      </c>
      <c r="AF34" s="20" t="str">
        <f t="shared" si="0"/>
        <v>이기수</v>
      </c>
      <c r="AG34" s="20" t="str">
        <f t="shared" si="0"/>
        <v>-</v>
      </c>
      <c r="AH34" s="20" t="str">
        <f t="shared" si="0"/>
        <v>정윤준</v>
      </c>
      <c r="AI34" s="20" t="str">
        <f t="shared" si="0"/>
        <v>정윤준</v>
      </c>
      <c r="AJ34" s="20" t="str">
        <f t="shared" si="0"/>
        <v>-</v>
      </c>
      <c r="AK34" s="20" t="str">
        <f t="shared" si="0"/>
        <v>허지웅</v>
      </c>
      <c r="AL34" s="20" t="str">
        <f t="shared" si="0"/>
        <v>허지웅</v>
      </c>
      <c r="AM34" s="20" t="str">
        <f t="shared" si="0"/>
        <v>-</v>
      </c>
      <c r="AN34" s="20" t="str">
        <f t="shared" si="0"/>
        <v>-</v>
      </c>
      <c r="AO34" s="20" t="str">
        <f t="shared" si="0"/>
        <v>박성현</v>
      </c>
      <c r="AP34" s="20" t="str">
        <f t="shared" si="0"/>
        <v>-</v>
      </c>
      <c r="AQ34" s="20" t="str">
        <f t="shared" si="0"/>
        <v>박성현</v>
      </c>
      <c r="AR34" s="20" t="str">
        <f t="shared" si="0"/>
        <v>이기수</v>
      </c>
      <c r="AS34" s="20" t="str">
        <f t="shared" si="0"/>
        <v>-</v>
      </c>
      <c r="AT34" s="20" t="str">
        <f t="shared" si="0"/>
        <v>-</v>
      </c>
      <c r="AU34" s="20" t="str">
        <f t="shared" si="0"/>
        <v>정윤준</v>
      </c>
      <c r="AV34" s="20" t="str">
        <f t="shared" si="0"/>
        <v>-</v>
      </c>
      <c r="AW34" s="20" t="str">
        <f t="shared" si="0"/>
        <v>-</v>
      </c>
      <c r="AX34" s="20" t="str">
        <f t="shared" si="0"/>
        <v>허지웅</v>
      </c>
      <c r="AY34" s="20" t="str">
        <f t="shared" si="0"/>
        <v>-</v>
      </c>
      <c r="AZ34" s="20" t="str">
        <f t="shared" si="0"/>
        <v>이기수</v>
      </c>
      <c r="BA34" s="20" t="str">
        <f t="shared" si="0"/>
        <v>박성현</v>
      </c>
      <c r="BB34" s="20" t="str">
        <f t="shared" si="0"/>
        <v>-</v>
      </c>
      <c r="BC34" s="20" t="str">
        <f t="shared" si="0"/>
        <v>정윤준</v>
      </c>
      <c r="BD34" s="20" t="str">
        <f t="shared" si="0"/>
        <v>이기수</v>
      </c>
      <c r="BE34" s="20" t="str">
        <f t="shared" si="0"/>
        <v>-</v>
      </c>
      <c r="BF34" s="20" t="str">
        <f t="shared" si="0"/>
        <v>허지웅</v>
      </c>
      <c r="BG34" s="20" t="str">
        <f t="shared" si="0"/>
        <v>정윤준</v>
      </c>
      <c r="BH34" s="20" t="str">
        <f t="shared" si="0"/>
        <v>-</v>
      </c>
      <c r="BI34" s="20" t="str">
        <f t="shared" si="0"/>
        <v>-</v>
      </c>
      <c r="BJ34" s="20" t="str">
        <f t="shared" si="0"/>
        <v>허지웅</v>
      </c>
      <c r="BK34" s="20" t="str">
        <f t="shared" si="0"/>
        <v>-</v>
      </c>
      <c r="BL34" s="20" t="str">
        <f t="shared" si="0"/>
        <v>박성현</v>
      </c>
      <c r="BM34" s="20" t="str">
        <f t="shared" si="0"/>
        <v>박성현</v>
      </c>
      <c r="BN34" s="20" t="str">
        <f t="shared" si="0"/>
        <v>-</v>
      </c>
      <c r="BO34" s="20" t="str">
        <f t="shared" ref="BO34:DZ34" si="1">IF(BO16="-",BO28,BO16)</f>
        <v>-</v>
      </c>
      <c r="BP34" s="20" t="str">
        <f t="shared" si="1"/>
        <v>이기수</v>
      </c>
      <c r="BQ34" s="20" t="str">
        <f t="shared" si="1"/>
        <v>-</v>
      </c>
      <c r="BR34" s="20" t="str">
        <f t="shared" si="1"/>
        <v>이기수</v>
      </c>
      <c r="BS34" s="20" t="str">
        <f t="shared" si="1"/>
        <v>정윤준</v>
      </c>
      <c r="BT34" s="20" t="str">
        <f t="shared" si="1"/>
        <v>-</v>
      </c>
      <c r="BU34" s="20" t="str">
        <f t="shared" si="1"/>
        <v>정윤준</v>
      </c>
      <c r="BV34" s="20" t="str">
        <f t="shared" si="1"/>
        <v>허지웅</v>
      </c>
      <c r="BW34" s="20" t="str">
        <f t="shared" si="1"/>
        <v>-</v>
      </c>
      <c r="BX34" s="20" t="str">
        <f t="shared" si="1"/>
        <v>허지웅</v>
      </c>
      <c r="BY34" s="20" t="str">
        <f t="shared" si="1"/>
        <v>박성현</v>
      </c>
      <c r="BZ34" s="20" t="str">
        <f t="shared" si="1"/>
        <v>-</v>
      </c>
      <c r="CA34" s="20" t="str">
        <f t="shared" si="1"/>
        <v>박성현</v>
      </c>
      <c r="CB34" s="20" t="str">
        <f t="shared" si="1"/>
        <v>이기수</v>
      </c>
      <c r="CC34" s="20" t="str">
        <f t="shared" si="1"/>
        <v>-</v>
      </c>
      <c r="CD34" s="20" t="str">
        <f t="shared" si="1"/>
        <v>-</v>
      </c>
      <c r="CE34" s="20" t="str">
        <f t="shared" si="1"/>
        <v>정윤준</v>
      </c>
      <c r="CF34" s="20" t="str">
        <f t="shared" si="1"/>
        <v>-</v>
      </c>
      <c r="CG34" s="20" t="str">
        <f t="shared" si="1"/>
        <v>이기수</v>
      </c>
      <c r="CH34" s="20" t="str">
        <f t="shared" si="1"/>
        <v>허지웅</v>
      </c>
      <c r="CI34" s="20" t="str">
        <f t="shared" si="1"/>
        <v>-</v>
      </c>
      <c r="CJ34" s="20" t="str">
        <f t="shared" si="1"/>
        <v>-</v>
      </c>
      <c r="CK34" s="20" t="str">
        <f t="shared" si="1"/>
        <v>박성현</v>
      </c>
      <c r="CL34" s="20" t="str">
        <f t="shared" si="1"/>
        <v>-</v>
      </c>
      <c r="CM34" s="20" t="str">
        <f t="shared" si="1"/>
        <v>정윤준</v>
      </c>
      <c r="CN34" s="20" t="str">
        <f t="shared" si="1"/>
        <v>이기수</v>
      </c>
      <c r="CO34" s="20" t="str">
        <f t="shared" si="1"/>
        <v>-</v>
      </c>
      <c r="CP34" s="20" t="str">
        <f t="shared" si="1"/>
        <v>허지웅</v>
      </c>
      <c r="CQ34" s="20" t="str">
        <f t="shared" si="1"/>
        <v>정윤준</v>
      </c>
      <c r="CR34" s="20" t="str">
        <f t="shared" si="1"/>
        <v>-</v>
      </c>
      <c r="CS34" s="20" t="str">
        <f t="shared" si="1"/>
        <v>박성현</v>
      </c>
      <c r="CT34" s="20" t="str">
        <f t="shared" si="1"/>
        <v>허지웅</v>
      </c>
      <c r="CU34" s="20" t="str">
        <f t="shared" si="1"/>
        <v>-</v>
      </c>
      <c r="CV34" s="20" t="str">
        <f t="shared" si="1"/>
        <v>이기수</v>
      </c>
      <c r="CW34" s="20" t="str">
        <f t="shared" si="1"/>
        <v>박성현</v>
      </c>
      <c r="CX34" s="20" t="str">
        <f t="shared" si="1"/>
        <v>-</v>
      </c>
      <c r="CY34" s="20" t="str">
        <f t="shared" si="1"/>
        <v>-</v>
      </c>
      <c r="CZ34" s="20" t="str">
        <f t="shared" si="1"/>
        <v>이기수</v>
      </c>
      <c r="DA34" s="20" t="str">
        <f t="shared" si="1"/>
        <v>-</v>
      </c>
      <c r="DB34" s="20" t="str">
        <f t="shared" si="1"/>
        <v>정윤준</v>
      </c>
      <c r="DC34" s="20" t="str">
        <f t="shared" si="1"/>
        <v>정윤준</v>
      </c>
      <c r="DD34" s="20" t="str">
        <f t="shared" si="1"/>
        <v>-</v>
      </c>
      <c r="DE34" s="20" t="str">
        <f t="shared" si="1"/>
        <v>-</v>
      </c>
      <c r="DF34" s="20" t="str">
        <f t="shared" si="1"/>
        <v>허지웅</v>
      </c>
      <c r="DG34" s="20" t="str">
        <f t="shared" si="1"/>
        <v>-</v>
      </c>
      <c r="DH34" s="20" t="str">
        <f t="shared" si="1"/>
        <v>허지웅</v>
      </c>
      <c r="DI34" s="20" t="str">
        <f t="shared" si="1"/>
        <v>박성현</v>
      </c>
      <c r="DJ34" s="20" t="str">
        <f t="shared" si="1"/>
        <v>-</v>
      </c>
      <c r="DK34" s="20" t="str">
        <f t="shared" si="1"/>
        <v>박성현</v>
      </c>
      <c r="DL34" s="20" t="str">
        <f t="shared" si="1"/>
        <v>이기수</v>
      </c>
      <c r="DM34" s="20" t="str">
        <f t="shared" si="1"/>
        <v>-</v>
      </c>
      <c r="DN34" s="20" t="str">
        <f t="shared" si="1"/>
        <v>이기수</v>
      </c>
      <c r="DO34" s="20" t="str">
        <f t="shared" si="1"/>
        <v>정윤준</v>
      </c>
      <c r="DP34" s="20" t="str">
        <f t="shared" si="1"/>
        <v>-</v>
      </c>
      <c r="DQ34" s="20" t="str">
        <f t="shared" si="1"/>
        <v>정윤준</v>
      </c>
      <c r="DR34" s="20" t="str">
        <f t="shared" si="1"/>
        <v>허지웅</v>
      </c>
      <c r="DS34" s="20" t="str">
        <f t="shared" si="1"/>
        <v>-</v>
      </c>
      <c r="DT34" s="20" t="str">
        <f t="shared" si="1"/>
        <v>-</v>
      </c>
      <c r="DU34" s="20" t="str">
        <f t="shared" si="1"/>
        <v>박성현</v>
      </c>
      <c r="DV34" s="20" t="str">
        <f t="shared" si="1"/>
        <v>-</v>
      </c>
      <c r="DW34" s="20" t="str">
        <f t="shared" si="1"/>
        <v>허지웅</v>
      </c>
      <c r="DX34" s="20" t="str">
        <f t="shared" si="1"/>
        <v>이기수</v>
      </c>
      <c r="DY34" s="20" t="str">
        <f t="shared" si="1"/>
        <v>-</v>
      </c>
      <c r="DZ34" s="20" t="str">
        <f t="shared" si="1"/>
        <v>-</v>
      </c>
      <c r="EA34" s="20" t="str">
        <f t="shared" ref="EA34:GL34" si="2">IF(EA16="-",EA28,EA16)</f>
        <v>정윤준</v>
      </c>
      <c r="EB34" s="20" t="str">
        <f t="shared" si="2"/>
        <v>-</v>
      </c>
      <c r="EC34" s="20" t="str">
        <f t="shared" si="2"/>
        <v>박성현</v>
      </c>
      <c r="ED34" s="20" t="str">
        <f t="shared" si="2"/>
        <v>허지웅</v>
      </c>
      <c r="EE34" s="20" t="str">
        <f t="shared" si="2"/>
        <v>-</v>
      </c>
      <c r="EF34" s="20" t="str">
        <f t="shared" si="2"/>
        <v>이기수</v>
      </c>
      <c r="EG34" s="20" t="str">
        <f t="shared" si="2"/>
        <v>박성현</v>
      </c>
      <c r="EH34" s="20" t="str">
        <f t="shared" si="2"/>
        <v>-</v>
      </c>
      <c r="EI34" s="20" t="str">
        <f t="shared" si="2"/>
        <v>정윤준</v>
      </c>
      <c r="EJ34" s="20" t="str">
        <f t="shared" si="2"/>
        <v>이기수</v>
      </c>
      <c r="EK34" s="20" t="str">
        <f t="shared" si="2"/>
        <v>-</v>
      </c>
      <c r="EL34" s="20" t="str">
        <f t="shared" si="2"/>
        <v>허지웅</v>
      </c>
      <c r="EM34" s="20" t="str">
        <f t="shared" si="2"/>
        <v>정윤준</v>
      </c>
      <c r="EN34" s="20" t="str">
        <f t="shared" si="2"/>
        <v>-</v>
      </c>
      <c r="EO34" s="20" t="str">
        <f t="shared" si="2"/>
        <v>-</v>
      </c>
      <c r="EP34" s="20" t="str">
        <f t="shared" si="2"/>
        <v>허지웅</v>
      </c>
      <c r="EQ34" s="20" t="str">
        <f t="shared" si="2"/>
        <v>-</v>
      </c>
      <c r="ER34" s="20" t="str">
        <f t="shared" si="2"/>
        <v>박성현</v>
      </c>
      <c r="ES34" s="20" t="str">
        <f t="shared" si="2"/>
        <v>박성현</v>
      </c>
      <c r="ET34" s="20" t="str">
        <f t="shared" si="2"/>
        <v>-</v>
      </c>
      <c r="EU34" s="20" t="str">
        <f t="shared" si="2"/>
        <v>-</v>
      </c>
      <c r="EV34" s="20" t="str">
        <f t="shared" si="2"/>
        <v>이기수</v>
      </c>
      <c r="EW34" s="20" t="str">
        <f t="shared" si="2"/>
        <v>-</v>
      </c>
      <c r="EX34" s="20" t="str">
        <f t="shared" si="2"/>
        <v>이기수</v>
      </c>
      <c r="EY34" s="20" t="str">
        <f t="shared" si="2"/>
        <v>정윤준</v>
      </c>
      <c r="EZ34" s="20" t="str">
        <f t="shared" si="2"/>
        <v>-</v>
      </c>
      <c r="FA34" s="20" t="str">
        <f t="shared" si="2"/>
        <v>정윤준</v>
      </c>
      <c r="FB34" s="20" t="str">
        <f t="shared" si="2"/>
        <v>허지웅</v>
      </c>
      <c r="FC34" s="20" t="str">
        <f t="shared" si="2"/>
        <v>-</v>
      </c>
      <c r="FD34" s="20" t="str">
        <f t="shared" si="2"/>
        <v>허지웅</v>
      </c>
      <c r="FE34" s="20" t="str">
        <f t="shared" si="2"/>
        <v>박성현</v>
      </c>
      <c r="FF34" s="20" t="str">
        <f t="shared" si="2"/>
        <v>-</v>
      </c>
      <c r="FG34" s="20" t="str">
        <f t="shared" si="2"/>
        <v>박성현</v>
      </c>
      <c r="FH34" s="20" t="str">
        <f t="shared" si="2"/>
        <v>이기수</v>
      </c>
      <c r="FI34" s="20" t="str">
        <f t="shared" si="2"/>
        <v>-</v>
      </c>
      <c r="FJ34" s="20" t="str">
        <f t="shared" si="2"/>
        <v>-</v>
      </c>
      <c r="FK34" s="20" t="str">
        <f t="shared" si="2"/>
        <v>정윤준</v>
      </c>
      <c r="FL34" s="20" t="str">
        <f t="shared" si="2"/>
        <v>-</v>
      </c>
      <c r="FM34" s="20" t="str">
        <f t="shared" si="2"/>
        <v>이기수</v>
      </c>
      <c r="FN34" s="20" t="str">
        <f t="shared" si="2"/>
        <v>허지웅</v>
      </c>
      <c r="FO34" s="20" t="str">
        <f t="shared" si="2"/>
        <v>-</v>
      </c>
      <c r="FP34" s="20" t="str">
        <f t="shared" si="2"/>
        <v>-</v>
      </c>
      <c r="FQ34" s="20" t="str">
        <f t="shared" si="2"/>
        <v>박성현</v>
      </c>
      <c r="FR34" s="20" t="str">
        <f t="shared" si="2"/>
        <v>-</v>
      </c>
      <c r="FS34" s="20" t="str">
        <f t="shared" si="2"/>
        <v>정윤준</v>
      </c>
      <c r="FT34" s="20" t="str">
        <f t="shared" si="2"/>
        <v>이기수</v>
      </c>
      <c r="FU34" s="20" t="str">
        <f t="shared" si="2"/>
        <v>-</v>
      </c>
      <c r="FV34" s="20" t="str">
        <f t="shared" si="2"/>
        <v>허지웅</v>
      </c>
      <c r="FW34" s="20" t="str">
        <f t="shared" si="2"/>
        <v>정윤준</v>
      </c>
      <c r="FX34" s="20" t="str">
        <f t="shared" si="2"/>
        <v>-</v>
      </c>
      <c r="FY34" s="20" t="str">
        <f t="shared" si="2"/>
        <v>박성현</v>
      </c>
      <c r="FZ34" s="20" t="str">
        <f t="shared" si="2"/>
        <v>허지웅</v>
      </c>
      <c r="GA34" s="20" t="str">
        <f t="shared" si="2"/>
        <v>-</v>
      </c>
      <c r="GB34" s="20" t="str">
        <f t="shared" si="2"/>
        <v>이기수</v>
      </c>
      <c r="GC34" s="20" t="str">
        <f t="shared" si="2"/>
        <v>박성현</v>
      </c>
      <c r="GD34" s="20" t="str">
        <f t="shared" si="2"/>
        <v>-</v>
      </c>
      <c r="GE34" s="20" t="str">
        <f t="shared" si="2"/>
        <v>-</v>
      </c>
      <c r="GF34" s="20" t="str">
        <f t="shared" si="2"/>
        <v>이기수</v>
      </c>
      <c r="GG34" s="20" t="str">
        <f t="shared" si="2"/>
        <v>-</v>
      </c>
      <c r="GH34" s="20" t="str">
        <f t="shared" si="2"/>
        <v>정윤준</v>
      </c>
      <c r="GI34" s="20" t="str">
        <f t="shared" si="2"/>
        <v>정윤준</v>
      </c>
      <c r="GJ34" s="20" t="str">
        <f t="shared" si="2"/>
        <v>-</v>
      </c>
      <c r="GK34" s="20" t="str">
        <f t="shared" si="2"/>
        <v>-</v>
      </c>
      <c r="GL34" s="20" t="str">
        <f t="shared" si="2"/>
        <v>허지웅</v>
      </c>
      <c r="GM34" s="20" t="str">
        <f t="shared" ref="GM34:IX34" si="3">IF(GM16="-",GM28,GM16)</f>
        <v>-</v>
      </c>
      <c r="GN34" s="20" t="str">
        <f t="shared" si="3"/>
        <v>허지웅</v>
      </c>
      <c r="GO34" s="20" t="str">
        <f t="shared" si="3"/>
        <v>박성현</v>
      </c>
      <c r="GP34" s="20" t="str">
        <f t="shared" si="3"/>
        <v>-</v>
      </c>
      <c r="GQ34" s="20" t="str">
        <f t="shared" si="3"/>
        <v>-</v>
      </c>
      <c r="GR34" s="20" t="str">
        <f t="shared" si="3"/>
        <v>이기수</v>
      </c>
      <c r="GS34" s="20" t="str">
        <f t="shared" si="3"/>
        <v>-</v>
      </c>
      <c r="GT34" s="20" t="str">
        <f t="shared" si="3"/>
        <v>박성현</v>
      </c>
      <c r="GU34" s="20" t="str">
        <f t="shared" si="3"/>
        <v>정윤준</v>
      </c>
      <c r="GV34" s="20" t="str">
        <f t="shared" si="3"/>
        <v>-</v>
      </c>
      <c r="GW34" s="20" t="str">
        <f t="shared" si="3"/>
        <v>이기수</v>
      </c>
      <c r="GX34" s="20" t="str">
        <f t="shared" si="3"/>
        <v>허지웅</v>
      </c>
      <c r="GY34" s="20" t="str">
        <f t="shared" si="3"/>
        <v>-</v>
      </c>
      <c r="GZ34" s="20" t="str">
        <f t="shared" si="3"/>
        <v>-</v>
      </c>
      <c r="HA34" s="20" t="str">
        <f t="shared" si="3"/>
        <v>박성현</v>
      </c>
      <c r="HB34" s="20" t="str">
        <f t="shared" si="3"/>
        <v>-</v>
      </c>
      <c r="HC34" s="20" t="str">
        <f t="shared" si="3"/>
        <v>정윤준</v>
      </c>
      <c r="HD34" s="20" t="str">
        <f t="shared" si="3"/>
        <v>이기수</v>
      </c>
      <c r="HE34" s="20" t="str">
        <f t="shared" si="3"/>
        <v>-</v>
      </c>
      <c r="HF34" s="20" t="str">
        <f t="shared" si="3"/>
        <v>-</v>
      </c>
      <c r="HG34" s="20" t="str">
        <f t="shared" si="3"/>
        <v>정윤준</v>
      </c>
      <c r="HH34" s="20" t="str">
        <f t="shared" si="3"/>
        <v>-</v>
      </c>
      <c r="HI34" s="20" t="str">
        <f t="shared" si="3"/>
        <v>허지웅</v>
      </c>
      <c r="HJ34" s="20" t="str">
        <f t="shared" si="3"/>
        <v>허지웅</v>
      </c>
      <c r="HK34" s="20" t="str">
        <f t="shared" si="3"/>
        <v>-</v>
      </c>
      <c r="HL34" s="20" t="str">
        <f t="shared" si="3"/>
        <v>박성현</v>
      </c>
      <c r="HM34" s="20" t="str">
        <f t="shared" si="3"/>
        <v>박성현</v>
      </c>
      <c r="HN34" s="20" t="str">
        <f t="shared" si="3"/>
        <v>-</v>
      </c>
      <c r="HO34" s="20" t="str">
        <f t="shared" si="3"/>
        <v>이기수</v>
      </c>
      <c r="HP34" s="20" t="str">
        <f t="shared" si="3"/>
        <v>이기수</v>
      </c>
      <c r="HQ34" s="20" t="str">
        <f t="shared" si="3"/>
        <v>-</v>
      </c>
      <c r="HR34" s="20" t="str">
        <f t="shared" si="3"/>
        <v>정윤준</v>
      </c>
      <c r="HS34" s="20" t="str">
        <f t="shared" si="3"/>
        <v>정윤준</v>
      </c>
      <c r="HT34" s="20" t="str">
        <f t="shared" si="3"/>
        <v>-</v>
      </c>
      <c r="HU34" s="20" t="str">
        <f t="shared" si="3"/>
        <v>-</v>
      </c>
      <c r="HV34" s="20" t="str">
        <f t="shared" si="3"/>
        <v>허지웅</v>
      </c>
      <c r="HW34" s="20" t="str">
        <f t="shared" si="3"/>
        <v>-</v>
      </c>
      <c r="HX34" s="20" t="str">
        <f t="shared" si="3"/>
        <v>허지웅</v>
      </c>
      <c r="HY34" s="20" t="str">
        <f t="shared" si="3"/>
        <v>박성현</v>
      </c>
      <c r="HZ34" s="20" t="str">
        <f t="shared" si="3"/>
        <v>-</v>
      </c>
      <c r="IA34" s="20" t="str">
        <f t="shared" si="3"/>
        <v>-</v>
      </c>
      <c r="IB34" s="20" t="str">
        <f t="shared" si="3"/>
        <v>이기수</v>
      </c>
      <c r="IC34" s="20" t="str">
        <f t="shared" si="3"/>
        <v>-</v>
      </c>
      <c r="ID34" s="20" t="str">
        <f t="shared" si="3"/>
        <v>박성현</v>
      </c>
      <c r="IE34" s="20" t="str">
        <f t="shared" si="3"/>
        <v>정윤준</v>
      </c>
      <c r="IF34" s="20" t="str">
        <f t="shared" si="3"/>
        <v>-</v>
      </c>
      <c r="IG34" s="20" t="str">
        <f t="shared" si="3"/>
        <v>이기수</v>
      </c>
      <c r="IH34" s="20" t="str">
        <f t="shared" si="3"/>
        <v>허지웅</v>
      </c>
      <c r="II34" s="20" t="str">
        <f t="shared" si="3"/>
        <v>-</v>
      </c>
      <c r="IJ34" s="20" t="str">
        <f t="shared" si="3"/>
        <v>정윤준</v>
      </c>
      <c r="IK34" s="20" t="str">
        <f t="shared" si="3"/>
        <v>박성현</v>
      </c>
      <c r="IL34" s="20" t="str">
        <f t="shared" si="3"/>
        <v>-</v>
      </c>
      <c r="IM34" s="20" t="str">
        <f t="shared" si="3"/>
        <v>허지웅</v>
      </c>
      <c r="IN34" s="20" t="str">
        <f t="shared" si="3"/>
        <v>이기수</v>
      </c>
      <c r="IO34" s="20" t="str">
        <f t="shared" si="3"/>
        <v>-</v>
      </c>
      <c r="IP34" s="20" t="str">
        <f t="shared" si="3"/>
        <v>-</v>
      </c>
      <c r="IQ34" s="20" t="str">
        <f t="shared" si="3"/>
        <v>정윤준</v>
      </c>
      <c r="IR34" s="20" t="str">
        <f t="shared" si="3"/>
        <v>-</v>
      </c>
      <c r="IS34" s="20" t="str">
        <f t="shared" si="3"/>
        <v>박성현</v>
      </c>
      <c r="IT34" s="20" t="str">
        <f t="shared" si="3"/>
        <v>허지웅</v>
      </c>
      <c r="IU34" s="20" t="str">
        <f t="shared" si="3"/>
        <v>-</v>
      </c>
      <c r="IV34" s="20" t="str">
        <f t="shared" si="3"/>
        <v>-</v>
      </c>
      <c r="IW34" s="20" t="str">
        <f t="shared" si="3"/>
        <v>박성현</v>
      </c>
      <c r="IX34" s="20" t="str">
        <f t="shared" si="3"/>
        <v>-</v>
      </c>
      <c r="IY34" s="20" t="str">
        <f t="shared" ref="IY34:LJ34" si="4">IF(IY16="-",IY28,IY16)</f>
        <v>이기수</v>
      </c>
      <c r="IZ34" s="20" t="str">
        <f t="shared" si="4"/>
        <v>이기수</v>
      </c>
      <c r="JA34" s="20" t="str">
        <f t="shared" si="4"/>
        <v>-</v>
      </c>
      <c r="JB34" s="20" t="str">
        <f t="shared" si="4"/>
        <v>정윤준</v>
      </c>
      <c r="JC34" s="20" t="str">
        <f t="shared" si="4"/>
        <v>정윤준</v>
      </c>
      <c r="JD34" s="20" t="str">
        <f t="shared" si="4"/>
        <v>-</v>
      </c>
      <c r="JE34" s="20" t="str">
        <f t="shared" si="4"/>
        <v>허지웅</v>
      </c>
      <c r="JF34" s="20" t="str">
        <f t="shared" si="4"/>
        <v>허지웅</v>
      </c>
      <c r="JG34" s="20" t="str">
        <f t="shared" si="4"/>
        <v>-</v>
      </c>
      <c r="JH34" s="20" t="str">
        <f t="shared" si="4"/>
        <v>-</v>
      </c>
      <c r="JI34" s="20" t="str">
        <f t="shared" si="4"/>
        <v>박성현</v>
      </c>
      <c r="JJ34" s="20" t="str">
        <f t="shared" si="4"/>
        <v>-</v>
      </c>
      <c r="JK34" s="20" t="str">
        <f t="shared" si="4"/>
        <v>-</v>
      </c>
      <c r="JL34" s="20" t="str">
        <f t="shared" si="4"/>
        <v>이기수</v>
      </c>
      <c r="JM34" s="20" t="str">
        <f t="shared" si="4"/>
        <v>-</v>
      </c>
      <c r="JN34" s="20" t="str">
        <f t="shared" si="4"/>
        <v>박성현</v>
      </c>
      <c r="JO34" s="20" t="str">
        <f t="shared" si="4"/>
        <v>정윤준</v>
      </c>
      <c r="JP34" s="20" t="str">
        <f t="shared" si="4"/>
        <v>-</v>
      </c>
      <c r="JQ34" s="20" t="str">
        <f t="shared" si="4"/>
        <v>-</v>
      </c>
      <c r="JR34" s="20" t="str">
        <f t="shared" si="4"/>
        <v>허지웅</v>
      </c>
      <c r="JS34" s="20" t="str">
        <f t="shared" si="4"/>
        <v>-</v>
      </c>
      <c r="JT34" s="20" t="str">
        <f t="shared" si="4"/>
        <v>이기수</v>
      </c>
      <c r="JU34" s="20" t="str">
        <f t="shared" si="4"/>
        <v>박성현</v>
      </c>
      <c r="JV34" s="20" t="str">
        <f t="shared" si="4"/>
        <v>-</v>
      </c>
      <c r="JW34" s="20" t="str">
        <f t="shared" si="4"/>
        <v>-</v>
      </c>
      <c r="JX34" s="20" t="str">
        <f t="shared" si="4"/>
        <v>이기수</v>
      </c>
      <c r="JY34" s="20" t="str">
        <f t="shared" si="4"/>
        <v>-</v>
      </c>
      <c r="JZ34" s="20" t="str">
        <f t="shared" si="4"/>
        <v>정윤준</v>
      </c>
      <c r="KA34" s="20" t="str">
        <f t="shared" si="4"/>
        <v>정윤준</v>
      </c>
      <c r="KB34" s="20" t="str">
        <f t="shared" si="4"/>
        <v>-</v>
      </c>
      <c r="KC34" s="20" t="str">
        <f t="shared" si="4"/>
        <v>허지웅</v>
      </c>
      <c r="KD34" s="20" t="str">
        <f t="shared" si="4"/>
        <v>허지웅</v>
      </c>
      <c r="KE34" s="20" t="str">
        <f t="shared" si="4"/>
        <v>-</v>
      </c>
      <c r="KF34" s="20" t="str">
        <f t="shared" si="4"/>
        <v>-</v>
      </c>
      <c r="KG34" s="20" t="str">
        <f t="shared" si="4"/>
        <v>박성현</v>
      </c>
      <c r="KH34" s="20" t="str">
        <f t="shared" si="4"/>
        <v>-</v>
      </c>
      <c r="KI34" s="20" t="str">
        <f t="shared" si="4"/>
        <v>박성현</v>
      </c>
      <c r="KJ34" s="20" t="str">
        <f t="shared" si="4"/>
        <v>이기수</v>
      </c>
      <c r="KK34" s="20" t="str">
        <f t="shared" si="4"/>
        <v>-</v>
      </c>
      <c r="KL34" s="20" t="str">
        <f t="shared" si="4"/>
        <v>-</v>
      </c>
      <c r="KM34" s="20" t="str">
        <f t="shared" si="4"/>
        <v>정윤준</v>
      </c>
      <c r="KN34" s="20" t="str">
        <f t="shared" si="4"/>
        <v>-</v>
      </c>
      <c r="KO34" s="20" t="str">
        <f t="shared" si="4"/>
        <v>이기수</v>
      </c>
      <c r="KP34" s="20" t="str">
        <f t="shared" si="4"/>
        <v>허지웅</v>
      </c>
      <c r="KQ34" s="20" t="str">
        <f t="shared" si="4"/>
        <v>-</v>
      </c>
      <c r="KR34" s="20" t="str">
        <f t="shared" si="4"/>
        <v>정윤준</v>
      </c>
      <c r="KS34" s="20" t="str">
        <f t="shared" si="4"/>
        <v>박성현</v>
      </c>
      <c r="KT34" s="20" t="str">
        <f t="shared" si="4"/>
        <v>-</v>
      </c>
      <c r="KU34" s="20" t="str">
        <f t="shared" si="4"/>
        <v>허지웅</v>
      </c>
      <c r="KV34" s="20" t="str">
        <f t="shared" si="4"/>
        <v>이기수</v>
      </c>
      <c r="KW34" s="20" t="str">
        <f t="shared" si="4"/>
        <v>-</v>
      </c>
      <c r="KX34" s="20" t="str">
        <f t="shared" si="4"/>
        <v>박성현</v>
      </c>
      <c r="KY34" s="20" t="str">
        <f t="shared" si="4"/>
        <v>정윤준</v>
      </c>
      <c r="KZ34" s="20" t="str">
        <f t="shared" si="4"/>
        <v>-</v>
      </c>
      <c r="LA34" s="20" t="str">
        <f t="shared" si="4"/>
        <v>-</v>
      </c>
      <c r="LB34" s="20" t="str">
        <f t="shared" si="4"/>
        <v>허지웅</v>
      </c>
      <c r="LC34" s="20" t="str">
        <f t="shared" si="4"/>
        <v>-</v>
      </c>
      <c r="LD34" s="20" t="str">
        <f t="shared" si="4"/>
        <v>이기수</v>
      </c>
      <c r="LE34" s="20" t="str">
        <f t="shared" si="4"/>
        <v>박성현</v>
      </c>
      <c r="LF34" s="20" t="str">
        <f t="shared" si="4"/>
        <v>-</v>
      </c>
      <c r="LG34" s="20" t="str">
        <f t="shared" si="4"/>
        <v>-</v>
      </c>
      <c r="LH34" s="20" t="str">
        <f t="shared" si="4"/>
        <v>이기수</v>
      </c>
      <c r="LI34" s="20" t="str">
        <f t="shared" si="4"/>
        <v>-</v>
      </c>
      <c r="LJ34" s="20" t="str">
        <f t="shared" si="4"/>
        <v>정윤준</v>
      </c>
      <c r="LK34" s="20" t="str">
        <f t="shared" ref="LK34:ND34" si="5">IF(LK16="-",LK28,LK16)</f>
        <v>정윤준</v>
      </c>
      <c r="LL34" s="20" t="str">
        <f t="shared" si="5"/>
        <v>-</v>
      </c>
      <c r="LM34" s="20" t="str">
        <f t="shared" si="5"/>
        <v>허지웅</v>
      </c>
      <c r="LN34" s="20" t="str">
        <f t="shared" si="5"/>
        <v>허지웅</v>
      </c>
      <c r="LO34" s="20" t="str">
        <f t="shared" si="5"/>
        <v>-</v>
      </c>
      <c r="LP34" s="20" t="str">
        <f t="shared" si="5"/>
        <v>박성현</v>
      </c>
      <c r="LQ34" s="20" t="str">
        <f t="shared" si="5"/>
        <v>박성현</v>
      </c>
      <c r="LR34" s="20" t="str">
        <f t="shared" si="5"/>
        <v>-</v>
      </c>
      <c r="LS34" s="20" t="str">
        <f t="shared" si="5"/>
        <v>이기수</v>
      </c>
      <c r="LT34" s="20" t="str">
        <f t="shared" si="5"/>
        <v>이기수</v>
      </c>
      <c r="LU34" s="20" t="str">
        <f t="shared" si="5"/>
        <v>-</v>
      </c>
      <c r="LV34" s="20" t="str">
        <f t="shared" si="5"/>
        <v>-</v>
      </c>
      <c r="LW34" s="20" t="str">
        <f t="shared" si="5"/>
        <v>정윤준</v>
      </c>
      <c r="LX34" s="20" t="str">
        <f t="shared" si="5"/>
        <v>-</v>
      </c>
      <c r="LY34" s="20" t="str">
        <f t="shared" si="5"/>
        <v>정윤준</v>
      </c>
      <c r="LZ34" s="20" t="str">
        <f t="shared" si="5"/>
        <v>허지웅</v>
      </c>
      <c r="MA34" s="20" t="str">
        <f t="shared" si="5"/>
        <v>-</v>
      </c>
      <c r="MB34" s="20" t="str">
        <f t="shared" si="5"/>
        <v>-</v>
      </c>
      <c r="MC34" s="20" t="str">
        <f t="shared" si="5"/>
        <v>박성현</v>
      </c>
      <c r="MD34" s="20" t="str">
        <f t="shared" si="5"/>
        <v>-</v>
      </c>
      <c r="ME34" s="20" t="str">
        <f t="shared" si="5"/>
        <v>허지웅</v>
      </c>
      <c r="MF34" s="20" t="str">
        <f t="shared" si="5"/>
        <v>이기수</v>
      </c>
      <c r="MG34" s="20" t="str">
        <f t="shared" si="5"/>
        <v>-</v>
      </c>
      <c r="MH34" s="20" t="str">
        <f t="shared" si="5"/>
        <v>박성현</v>
      </c>
      <c r="MI34" s="20" t="str">
        <f t="shared" si="5"/>
        <v>정윤준</v>
      </c>
      <c r="MJ34" s="20" t="str">
        <f t="shared" si="5"/>
        <v>-</v>
      </c>
      <c r="MK34" s="20" t="str">
        <f t="shared" si="5"/>
        <v>이기수</v>
      </c>
      <c r="ML34" s="20" t="str">
        <f t="shared" si="5"/>
        <v>허지웅</v>
      </c>
      <c r="MM34" s="20" t="str">
        <f t="shared" si="5"/>
        <v>-</v>
      </c>
      <c r="MN34" s="20" t="str">
        <f t="shared" si="5"/>
        <v>정윤준</v>
      </c>
      <c r="MO34" s="20" t="str">
        <f t="shared" si="5"/>
        <v>박성현</v>
      </c>
      <c r="MP34" s="20" t="str">
        <f t="shared" si="5"/>
        <v>-</v>
      </c>
      <c r="MQ34" s="20" t="str">
        <f t="shared" si="5"/>
        <v>-</v>
      </c>
      <c r="MR34" s="20" t="str">
        <f t="shared" si="5"/>
        <v>이기수</v>
      </c>
      <c r="MS34" s="20" t="str">
        <f t="shared" si="5"/>
        <v>-</v>
      </c>
      <c r="MT34" s="20" t="str">
        <f t="shared" si="5"/>
        <v>허지웅</v>
      </c>
      <c r="MU34" s="20" t="str">
        <f t="shared" si="5"/>
        <v>정윤준</v>
      </c>
      <c r="MV34" s="20" t="str">
        <f t="shared" si="5"/>
        <v>-</v>
      </c>
      <c r="MW34" s="20" t="str">
        <f t="shared" si="5"/>
        <v>-</v>
      </c>
      <c r="MX34" s="20" t="str">
        <f t="shared" si="5"/>
        <v>허지웅</v>
      </c>
      <c r="MY34" s="20" t="str">
        <f t="shared" si="5"/>
        <v>-</v>
      </c>
      <c r="MZ34" s="20" t="str">
        <f t="shared" si="5"/>
        <v>박성현</v>
      </c>
      <c r="NA34" s="20" t="str">
        <f t="shared" si="5"/>
        <v>박성현</v>
      </c>
      <c r="NB34" s="20" t="str">
        <f t="shared" si="5"/>
        <v>-</v>
      </c>
      <c r="NC34" s="20" t="str">
        <f t="shared" si="5"/>
        <v>이기수</v>
      </c>
      <c r="ND34" s="20" t="e">
        <f t="shared" si="5"/>
        <v>#N/A</v>
      </c>
    </row>
    <row r="35" spans="1:368" s="22" customFormat="1" ht="18" thickBot="1">
      <c r="A35" s="21" t="s">
        <v>84</v>
      </c>
      <c r="B35" s="22" t="str">
        <f>IF(B17="-",B29,B17)</f>
        <v>정윤준</v>
      </c>
      <c r="C35" s="22" t="str">
        <f t="shared" ref="C35:BN35" si="6">IF(C17="-",C29,C17)</f>
        <v>-</v>
      </c>
      <c r="D35" s="22" t="str">
        <f t="shared" si="6"/>
        <v>-</v>
      </c>
      <c r="E35" s="22" t="str">
        <f t="shared" si="6"/>
        <v>허지웅</v>
      </c>
      <c r="F35" s="22" t="str">
        <f t="shared" si="6"/>
        <v>-</v>
      </c>
      <c r="G35" s="22" t="str">
        <f t="shared" si="6"/>
        <v>정윤준</v>
      </c>
      <c r="H35" s="22" t="str">
        <f t="shared" si="6"/>
        <v>박성현</v>
      </c>
      <c r="I35" s="22" t="str">
        <f t="shared" si="6"/>
        <v>-</v>
      </c>
      <c r="J35" s="22" t="str">
        <f t="shared" si="6"/>
        <v>허지웅</v>
      </c>
      <c r="K35" s="22" t="str">
        <f t="shared" si="6"/>
        <v>이기수</v>
      </c>
      <c r="L35" s="22" t="str">
        <f t="shared" si="6"/>
        <v>-</v>
      </c>
      <c r="M35" s="22" t="str">
        <f t="shared" si="6"/>
        <v>박성현</v>
      </c>
      <c r="N35" s="22" t="str">
        <f t="shared" si="6"/>
        <v>정윤준</v>
      </c>
      <c r="O35" s="22" t="str">
        <f t="shared" si="6"/>
        <v>-</v>
      </c>
      <c r="P35" s="22" t="str">
        <f t="shared" si="6"/>
        <v>이기수</v>
      </c>
      <c r="Q35" s="22" t="str">
        <f t="shared" si="6"/>
        <v>허지웅</v>
      </c>
      <c r="R35" s="22" t="str">
        <f t="shared" si="6"/>
        <v>-</v>
      </c>
      <c r="S35" s="22" t="str">
        <f t="shared" si="6"/>
        <v>-</v>
      </c>
      <c r="T35" s="22" t="str">
        <f t="shared" si="6"/>
        <v>박성현</v>
      </c>
      <c r="U35" s="22" t="str">
        <f t="shared" si="6"/>
        <v>-</v>
      </c>
      <c r="V35" s="22" t="str">
        <f t="shared" si="6"/>
        <v>정윤준</v>
      </c>
      <c r="W35" s="22" t="str">
        <f t="shared" si="6"/>
        <v>이기수</v>
      </c>
      <c r="X35" s="22" t="str">
        <f t="shared" si="6"/>
        <v>-</v>
      </c>
      <c r="Y35" s="22" t="str">
        <f t="shared" si="6"/>
        <v>-</v>
      </c>
      <c r="Z35" s="22" t="str">
        <f t="shared" si="6"/>
        <v>정윤준</v>
      </c>
      <c r="AA35" s="22" t="str">
        <f t="shared" si="6"/>
        <v>-</v>
      </c>
      <c r="AB35" s="22" t="str">
        <f t="shared" si="6"/>
        <v>허지웅</v>
      </c>
      <c r="AC35" s="22" t="str">
        <f t="shared" si="6"/>
        <v>허지웅</v>
      </c>
      <c r="AD35" s="22" t="str">
        <f t="shared" si="6"/>
        <v>-</v>
      </c>
      <c r="AE35" s="22" t="str">
        <f t="shared" si="6"/>
        <v>박성현</v>
      </c>
      <c r="AF35" s="22" t="str">
        <f t="shared" si="6"/>
        <v>박성현</v>
      </c>
      <c r="AG35" s="22" t="str">
        <f t="shared" si="6"/>
        <v>-</v>
      </c>
      <c r="AH35" s="22" t="str">
        <f t="shared" si="6"/>
        <v>이기수</v>
      </c>
      <c r="AI35" s="22" t="str">
        <f t="shared" si="6"/>
        <v>이기수</v>
      </c>
      <c r="AJ35" s="22" t="str">
        <f t="shared" si="6"/>
        <v>-</v>
      </c>
      <c r="AK35" s="22" t="str">
        <f t="shared" si="6"/>
        <v>정윤준</v>
      </c>
      <c r="AL35" s="22" t="str">
        <f t="shared" si="6"/>
        <v>정윤준</v>
      </c>
      <c r="AM35" s="22" t="str">
        <f t="shared" si="6"/>
        <v>-</v>
      </c>
      <c r="AN35" s="22" t="str">
        <f t="shared" si="6"/>
        <v>-</v>
      </c>
      <c r="AO35" s="22" t="str">
        <f t="shared" si="6"/>
        <v>허지웅</v>
      </c>
      <c r="AP35" s="22" t="str">
        <f t="shared" si="6"/>
        <v>-</v>
      </c>
      <c r="AQ35" s="22" t="str">
        <f t="shared" si="6"/>
        <v>허지웅</v>
      </c>
      <c r="AR35" s="22" t="str">
        <f t="shared" si="6"/>
        <v>박성현</v>
      </c>
      <c r="AS35" s="22" t="str">
        <f t="shared" si="6"/>
        <v>-</v>
      </c>
      <c r="AT35" s="22" t="str">
        <f t="shared" si="6"/>
        <v>-</v>
      </c>
      <c r="AU35" s="22" t="str">
        <f t="shared" si="6"/>
        <v>이기수</v>
      </c>
      <c r="AV35" s="22" t="str">
        <f t="shared" si="6"/>
        <v>-</v>
      </c>
      <c r="AW35" s="22" t="str">
        <f t="shared" si="6"/>
        <v>-</v>
      </c>
      <c r="AX35" s="22" t="str">
        <f t="shared" si="6"/>
        <v>정윤준</v>
      </c>
      <c r="AY35" s="22" t="str">
        <f t="shared" si="6"/>
        <v>-</v>
      </c>
      <c r="AZ35" s="22" t="str">
        <f t="shared" si="6"/>
        <v>박성현</v>
      </c>
      <c r="BA35" s="22" t="str">
        <f t="shared" si="6"/>
        <v>허지웅</v>
      </c>
      <c r="BB35" s="22" t="str">
        <f t="shared" si="6"/>
        <v>-</v>
      </c>
      <c r="BC35" s="22" t="str">
        <f t="shared" si="6"/>
        <v>이기수</v>
      </c>
      <c r="BD35" s="22" t="str">
        <f t="shared" si="6"/>
        <v>박성현</v>
      </c>
      <c r="BE35" s="22" t="str">
        <f t="shared" si="6"/>
        <v>-</v>
      </c>
      <c r="BF35" s="22" t="str">
        <f t="shared" si="6"/>
        <v>정윤준</v>
      </c>
      <c r="BG35" s="22" t="str">
        <f t="shared" si="6"/>
        <v>이기수</v>
      </c>
      <c r="BH35" s="22" t="str">
        <f t="shared" si="6"/>
        <v>-</v>
      </c>
      <c r="BI35" s="22" t="str">
        <f t="shared" si="6"/>
        <v>-</v>
      </c>
      <c r="BJ35" s="22" t="str">
        <f t="shared" si="6"/>
        <v>정윤준</v>
      </c>
      <c r="BK35" s="22" t="str">
        <f t="shared" si="6"/>
        <v>-</v>
      </c>
      <c r="BL35" s="22" t="str">
        <f t="shared" si="6"/>
        <v>허지웅</v>
      </c>
      <c r="BM35" s="22" t="str">
        <f t="shared" si="6"/>
        <v>허지웅</v>
      </c>
      <c r="BN35" s="22" t="str">
        <f t="shared" si="6"/>
        <v>-</v>
      </c>
      <c r="BO35" s="22" t="str">
        <f t="shared" ref="BO35:DZ35" si="7">IF(BO17="-",BO29,BO17)</f>
        <v>-</v>
      </c>
      <c r="BP35" s="22" t="str">
        <f t="shared" si="7"/>
        <v>박성현</v>
      </c>
      <c r="BQ35" s="22" t="str">
        <f t="shared" si="7"/>
        <v>-</v>
      </c>
      <c r="BR35" s="22" t="str">
        <f t="shared" si="7"/>
        <v>박성현</v>
      </c>
      <c r="BS35" s="22" t="str">
        <f t="shared" si="7"/>
        <v>이기수</v>
      </c>
      <c r="BT35" s="22" t="str">
        <f t="shared" si="7"/>
        <v>-</v>
      </c>
      <c r="BU35" s="22" t="str">
        <f t="shared" si="7"/>
        <v>이기수</v>
      </c>
      <c r="BV35" s="22" t="str">
        <f t="shared" si="7"/>
        <v>정윤준</v>
      </c>
      <c r="BW35" s="22" t="str">
        <f t="shared" si="7"/>
        <v>-</v>
      </c>
      <c r="BX35" s="22" t="str">
        <f t="shared" si="7"/>
        <v>정윤준</v>
      </c>
      <c r="BY35" s="22" t="str">
        <f t="shared" si="7"/>
        <v>허지웅</v>
      </c>
      <c r="BZ35" s="22" t="str">
        <f t="shared" si="7"/>
        <v>-</v>
      </c>
      <c r="CA35" s="22" t="str">
        <f t="shared" si="7"/>
        <v>허지웅</v>
      </c>
      <c r="CB35" s="22" t="str">
        <f t="shared" si="7"/>
        <v>박성현</v>
      </c>
      <c r="CC35" s="22" t="str">
        <f t="shared" si="7"/>
        <v>-</v>
      </c>
      <c r="CD35" s="22" t="str">
        <f t="shared" si="7"/>
        <v>-</v>
      </c>
      <c r="CE35" s="22" t="str">
        <f t="shared" si="7"/>
        <v>이기수</v>
      </c>
      <c r="CF35" s="22" t="str">
        <f t="shared" si="7"/>
        <v>-</v>
      </c>
      <c r="CG35" s="22" t="str">
        <f t="shared" si="7"/>
        <v>박성현</v>
      </c>
      <c r="CH35" s="22" t="str">
        <f t="shared" si="7"/>
        <v>정윤준</v>
      </c>
      <c r="CI35" s="22" t="str">
        <f t="shared" si="7"/>
        <v>-</v>
      </c>
      <c r="CJ35" s="22" t="str">
        <f t="shared" si="7"/>
        <v>-</v>
      </c>
      <c r="CK35" s="22" t="str">
        <f t="shared" si="7"/>
        <v>허지웅</v>
      </c>
      <c r="CL35" s="22" t="str">
        <f t="shared" si="7"/>
        <v>-</v>
      </c>
      <c r="CM35" s="22" t="str">
        <f t="shared" si="7"/>
        <v>이기수</v>
      </c>
      <c r="CN35" s="22" t="str">
        <f t="shared" si="7"/>
        <v>박성현</v>
      </c>
      <c r="CO35" s="22" t="str">
        <f t="shared" si="7"/>
        <v>-</v>
      </c>
      <c r="CP35" s="22" t="str">
        <f t="shared" si="7"/>
        <v>정윤준</v>
      </c>
      <c r="CQ35" s="22" t="str">
        <f t="shared" si="7"/>
        <v>이기수</v>
      </c>
      <c r="CR35" s="22" t="str">
        <f t="shared" si="7"/>
        <v>-</v>
      </c>
      <c r="CS35" s="22" t="str">
        <f t="shared" si="7"/>
        <v>허지웅</v>
      </c>
      <c r="CT35" s="22" t="str">
        <f t="shared" si="7"/>
        <v>정윤준</v>
      </c>
      <c r="CU35" s="22" t="str">
        <f t="shared" si="7"/>
        <v>-</v>
      </c>
      <c r="CV35" s="22" t="str">
        <f t="shared" si="7"/>
        <v>박성현</v>
      </c>
      <c r="CW35" s="22" t="str">
        <f t="shared" si="7"/>
        <v>허지웅</v>
      </c>
      <c r="CX35" s="22" t="str">
        <f t="shared" si="7"/>
        <v>-</v>
      </c>
      <c r="CY35" s="22" t="str">
        <f t="shared" si="7"/>
        <v>-</v>
      </c>
      <c r="CZ35" s="22" t="str">
        <f t="shared" si="7"/>
        <v>박성현</v>
      </c>
      <c r="DA35" s="22" t="str">
        <f t="shared" si="7"/>
        <v>-</v>
      </c>
      <c r="DB35" s="22" t="str">
        <f t="shared" si="7"/>
        <v>이기수</v>
      </c>
      <c r="DC35" s="22" t="str">
        <f t="shared" si="7"/>
        <v>이기수</v>
      </c>
      <c r="DD35" s="22" t="str">
        <f t="shared" si="7"/>
        <v>-</v>
      </c>
      <c r="DE35" s="22" t="str">
        <f t="shared" si="7"/>
        <v>-</v>
      </c>
      <c r="DF35" s="22" t="str">
        <f t="shared" si="7"/>
        <v>정윤준</v>
      </c>
      <c r="DG35" s="22" t="str">
        <f t="shared" si="7"/>
        <v>-</v>
      </c>
      <c r="DH35" s="22" t="str">
        <f t="shared" si="7"/>
        <v>정윤준</v>
      </c>
      <c r="DI35" s="22" t="str">
        <f t="shared" si="7"/>
        <v>허지웅</v>
      </c>
      <c r="DJ35" s="22" t="str">
        <f t="shared" si="7"/>
        <v>-</v>
      </c>
      <c r="DK35" s="22" t="str">
        <f t="shared" si="7"/>
        <v>허지웅</v>
      </c>
      <c r="DL35" s="22" t="str">
        <f t="shared" si="7"/>
        <v>박성현</v>
      </c>
      <c r="DM35" s="22" t="str">
        <f t="shared" si="7"/>
        <v>-</v>
      </c>
      <c r="DN35" s="22" t="str">
        <f t="shared" si="7"/>
        <v>박성현</v>
      </c>
      <c r="DO35" s="22" t="str">
        <f t="shared" si="7"/>
        <v>이기수</v>
      </c>
      <c r="DP35" s="22" t="str">
        <f t="shared" si="7"/>
        <v>-</v>
      </c>
      <c r="DQ35" s="22" t="str">
        <f t="shared" si="7"/>
        <v>이기수</v>
      </c>
      <c r="DR35" s="22" t="str">
        <f t="shared" si="7"/>
        <v>정윤준</v>
      </c>
      <c r="DS35" s="22" t="str">
        <f t="shared" si="7"/>
        <v>-</v>
      </c>
      <c r="DT35" s="22" t="str">
        <f t="shared" si="7"/>
        <v>-</v>
      </c>
      <c r="DU35" s="22" t="str">
        <f t="shared" si="7"/>
        <v>허지웅</v>
      </c>
      <c r="DV35" s="22" t="str">
        <f t="shared" si="7"/>
        <v>-</v>
      </c>
      <c r="DW35" s="22" t="str">
        <f t="shared" si="7"/>
        <v>정윤준</v>
      </c>
      <c r="DX35" s="22" t="str">
        <f t="shared" si="7"/>
        <v>박성현</v>
      </c>
      <c r="DY35" s="22" t="str">
        <f t="shared" si="7"/>
        <v>-</v>
      </c>
      <c r="DZ35" s="22" t="str">
        <f t="shared" si="7"/>
        <v>-</v>
      </c>
      <c r="EA35" s="22" t="str">
        <f t="shared" ref="EA35:GL35" si="8">IF(EA17="-",EA29,EA17)</f>
        <v>이기수</v>
      </c>
      <c r="EB35" s="22" t="str">
        <f t="shared" si="8"/>
        <v>-</v>
      </c>
      <c r="EC35" s="22" t="str">
        <f t="shared" si="8"/>
        <v>허지웅</v>
      </c>
      <c r="ED35" s="22" t="str">
        <f t="shared" si="8"/>
        <v>정윤준</v>
      </c>
      <c r="EE35" s="22" t="str">
        <f t="shared" si="8"/>
        <v>-</v>
      </c>
      <c r="EF35" s="22" t="str">
        <f t="shared" si="8"/>
        <v>박성현</v>
      </c>
      <c r="EG35" s="22" t="str">
        <f t="shared" si="8"/>
        <v>허지웅</v>
      </c>
      <c r="EH35" s="22" t="str">
        <f t="shared" si="8"/>
        <v>-</v>
      </c>
      <c r="EI35" s="22" t="str">
        <f t="shared" si="8"/>
        <v>이기수</v>
      </c>
      <c r="EJ35" s="22" t="str">
        <f t="shared" si="8"/>
        <v>박성현</v>
      </c>
      <c r="EK35" s="22" t="str">
        <f t="shared" si="8"/>
        <v>-</v>
      </c>
      <c r="EL35" s="22" t="str">
        <f t="shared" si="8"/>
        <v>정윤준</v>
      </c>
      <c r="EM35" s="22" t="str">
        <f t="shared" si="8"/>
        <v>이기수</v>
      </c>
      <c r="EN35" s="22" t="str">
        <f t="shared" si="8"/>
        <v>-</v>
      </c>
      <c r="EO35" s="22" t="str">
        <f t="shared" si="8"/>
        <v>-</v>
      </c>
      <c r="EP35" s="22" t="str">
        <f t="shared" si="8"/>
        <v>정윤준</v>
      </c>
      <c r="EQ35" s="22" t="str">
        <f t="shared" si="8"/>
        <v>-</v>
      </c>
      <c r="ER35" s="22" t="str">
        <f t="shared" si="8"/>
        <v>허지웅</v>
      </c>
      <c r="ES35" s="22" t="str">
        <f t="shared" si="8"/>
        <v>허지웅</v>
      </c>
      <c r="ET35" s="22" t="str">
        <f t="shared" si="8"/>
        <v>-</v>
      </c>
      <c r="EU35" s="22" t="str">
        <f t="shared" si="8"/>
        <v>-</v>
      </c>
      <c r="EV35" s="22" t="str">
        <f t="shared" si="8"/>
        <v>박성현</v>
      </c>
      <c r="EW35" s="22" t="str">
        <f t="shared" si="8"/>
        <v>-</v>
      </c>
      <c r="EX35" s="22" t="str">
        <f t="shared" si="8"/>
        <v>박성현</v>
      </c>
      <c r="EY35" s="22" t="str">
        <f t="shared" si="8"/>
        <v>이기수</v>
      </c>
      <c r="EZ35" s="22" t="str">
        <f t="shared" si="8"/>
        <v>-</v>
      </c>
      <c r="FA35" s="22" t="str">
        <f t="shared" si="8"/>
        <v>이기수</v>
      </c>
      <c r="FB35" s="22" t="str">
        <f t="shared" si="8"/>
        <v>정윤준</v>
      </c>
      <c r="FC35" s="22" t="str">
        <f t="shared" si="8"/>
        <v>-</v>
      </c>
      <c r="FD35" s="22" t="str">
        <f t="shared" si="8"/>
        <v>정윤준</v>
      </c>
      <c r="FE35" s="22" t="str">
        <f t="shared" si="8"/>
        <v>허지웅</v>
      </c>
      <c r="FF35" s="22" t="str">
        <f t="shared" si="8"/>
        <v>-</v>
      </c>
      <c r="FG35" s="22" t="str">
        <f t="shared" si="8"/>
        <v>허지웅</v>
      </c>
      <c r="FH35" s="22" t="str">
        <f t="shared" si="8"/>
        <v>박성현</v>
      </c>
      <c r="FI35" s="22" t="str">
        <f t="shared" si="8"/>
        <v>-</v>
      </c>
      <c r="FJ35" s="22" t="str">
        <f t="shared" si="8"/>
        <v>-</v>
      </c>
      <c r="FK35" s="22" t="str">
        <f t="shared" si="8"/>
        <v>이기수</v>
      </c>
      <c r="FL35" s="22" t="str">
        <f t="shared" si="8"/>
        <v>-</v>
      </c>
      <c r="FM35" s="22" t="str">
        <f t="shared" si="8"/>
        <v>박성현</v>
      </c>
      <c r="FN35" s="22" t="str">
        <f t="shared" si="8"/>
        <v>정윤준</v>
      </c>
      <c r="FO35" s="22" t="str">
        <f t="shared" si="8"/>
        <v>-</v>
      </c>
      <c r="FP35" s="22" t="str">
        <f t="shared" si="8"/>
        <v>-</v>
      </c>
      <c r="FQ35" s="22" t="str">
        <f t="shared" si="8"/>
        <v>허지웅</v>
      </c>
      <c r="FR35" s="22" t="str">
        <f t="shared" si="8"/>
        <v>-</v>
      </c>
      <c r="FS35" s="22" t="str">
        <f t="shared" si="8"/>
        <v>이기수</v>
      </c>
      <c r="FT35" s="22" t="str">
        <f t="shared" si="8"/>
        <v>박성현</v>
      </c>
      <c r="FU35" s="22" t="str">
        <f t="shared" si="8"/>
        <v>-</v>
      </c>
      <c r="FV35" s="22" t="str">
        <f t="shared" si="8"/>
        <v>정윤준</v>
      </c>
      <c r="FW35" s="22" t="str">
        <f t="shared" si="8"/>
        <v>이기수</v>
      </c>
      <c r="FX35" s="22" t="str">
        <f t="shared" si="8"/>
        <v>-</v>
      </c>
      <c r="FY35" s="22" t="str">
        <f t="shared" si="8"/>
        <v>허지웅</v>
      </c>
      <c r="FZ35" s="22" t="str">
        <f t="shared" si="8"/>
        <v>정윤준</v>
      </c>
      <c r="GA35" s="22" t="str">
        <f t="shared" si="8"/>
        <v>-</v>
      </c>
      <c r="GB35" s="22" t="str">
        <f t="shared" si="8"/>
        <v>박성현</v>
      </c>
      <c r="GC35" s="22" t="str">
        <f t="shared" si="8"/>
        <v>허지웅</v>
      </c>
      <c r="GD35" s="22" t="str">
        <f t="shared" si="8"/>
        <v>-</v>
      </c>
      <c r="GE35" s="22" t="str">
        <f t="shared" si="8"/>
        <v>-</v>
      </c>
      <c r="GF35" s="22" t="str">
        <f t="shared" si="8"/>
        <v>박성현</v>
      </c>
      <c r="GG35" s="22" t="str">
        <f t="shared" si="8"/>
        <v>-</v>
      </c>
      <c r="GH35" s="22" t="str">
        <f t="shared" si="8"/>
        <v>이기수</v>
      </c>
      <c r="GI35" s="22" t="str">
        <f t="shared" si="8"/>
        <v>이기수</v>
      </c>
      <c r="GJ35" s="22" t="str">
        <f t="shared" si="8"/>
        <v>-</v>
      </c>
      <c r="GK35" s="22" t="str">
        <f t="shared" si="8"/>
        <v>-</v>
      </c>
      <c r="GL35" s="22" t="str">
        <f t="shared" si="8"/>
        <v>정윤준</v>
      </c>
      <c r="GM35" s="22" t="str">
        <f t="shared" ref="GM35:IX35" si="9">IF(GM17="-",GM29,GM17)</f>
        <v>-</v>
      </c>
      <c r="GN35" s="22" t="str">
        <f t="shared" si="9"/>
        <v>정윤준</v>
      </c>
      <c r="GO35" s="22" t="str">
        <f t="shared" si="9"/>
        <v>허지웅</v>
      </c>
      <c r="GP35" s="22" t="str">
        <f t="shared" si="9"/>
        <v>-</v>
      </c>
      <c r="GQ35" s="22" t="str">
        <f t="shared" si="9"/>
        <v>-</v>
      </c>
      <c r="GR35" s="22" t="str">
        <f t="shared" si="9"/>
        <v>박성현</v>
      </c>
      <c r="GS35" s="22" t="str">
        <f t="shared" si="9"/>
        <v>-</v>
      </c>
      <c r="GT35" s="22" t="str">
        <f t="shared" si="9"/>
        <v>허지웅</v>
      </c>
      <c r="GU35" s="22" t="str">
        <f t="shared" si="9"/>
        <v>이기수</v>
      </c>
      <c r="GV35" s="22" t="str">
        <f t="shared" si="9"/>
        <v>-</v>
      </c>
      <c r="GW35" s="22" t="str">
        <f t="shared" si="9"/>
        <v>박성현</v>
      </c>
      <c r="GX35" s="22" t="str">
        <f t="shared" si="9"/>
        <v>정윤준</v>
      </c>
      <c r="GY35" s="22" t="str">
        <f t="shared" si="9"/>
        <v>-</v>
      </c>
      <c r="GZ35" s="22" t="str">
        <f t="shared" si="9"/>
        <v>-</v>
      </c>
      <c r="HA35" s="22" t="str">
        <f t="shared" si="9"/>
        <v>허지웅</v>
      </c>
      <c r="HB35" s="22" t="str">
        <f t="shared" si="9"/>
        <v>-</v>
      </c>
      <c r="HC35" s="22" t="str">
        <f t="shared" si="9"/>
        <v>이기수</v>
      </c>
      <c r="HD35" s="22" t="str">
        <f t="shared" si="9"/>
        <v>박성현</v>
      </c>
      <c r="HE35" s="22" t="str">
        <f t="shared" si="9"/>
        <v>-</v>
      </c>
      <c r="HF35" s="22" t="str">
        <f t="shared" si="9"/>
        <v>-</v>
      </c>
      <c r="HG35" s="22" t="str">
        <f t="shared" si="9"/>
        <v>이기수</v>
      </c>
      <c r="HH35" s="22" t="str">
        <f t="shared" si="9"/>
        <v>-</v>
      </c>
      <c r="HI35" s="22" t="str">
        <f t="shared" si="9"/>
        <v>정윤준</v>
      </c>
      <c r="HJ35" s="22" t="str">
        <f t="shared" si="9"/>
        <v>정윤준</v>
      </c>
      <c r="HK35" s="22" t="str">
        <f t="shared" si="9"/>
        <v>-</v>
      </c>
      <c r="HL35" s="22" t="str">
        <f t="shared" si="9"/>
        <v>허지웅</v>
      </c>
      <c r="HM35" s="22" t="str">
        <f t="shared" si="9"/>
        <v>허지웅</v>
      </c>
      <c r="HN35" s="22" t="str">
        <f t="shared" si="9"/>
        <v>-</v>
      </c>
      <c r="HO35" s="22" t="str">
        <f t="shared" si="9"/>
        <v>박성현</v>
      </c>
      <c r="HP35" s="22" t="str">
        <f t="shared" si="9"/>
        <v>박성현</v>
      </c>
      <c r="HQ35" s="22" t="str">
        <f t="shared" si="9"/>
        <v>-</v>
      </c>
      <c r="HR35" s="22" t="str">
        <f t="shared" si="9"/>
        <v>이기수</v>
      </c>
      <c r="HS35" s="22" t="str">
        <f t="shared" si="9"/>
        <v>이기수</v>
      </c>
      <c r="HT35" s="22" t="str">
        <f t="shared" si="9"/>
        <v>-</v>
      </c>
      <c r="HU35" s="22" t="str">
        <f t="shared" si="9"/>
        <v>-</v>
      </c>
      <c r="HV35" s="22" t="str">
        <f t="shared" si="9"/>
        <v>정윤준</v>
      </c>
      <c r="HW35" s="22" t="str">
        <f t="shared" si="9"/>
        <v>-</v>
      </c>
      <c r="HX35" s="22" t="str">
        <f t="shared" si="9"/>
        <v>정윤준</v>
      </c>
      <c r="HY35" s="22" t="str">
        <f t="shared" si="9"/>
        <v>허지웅</v>
      </c>
      <c r="HZ35" s="22" t="str">
        <f t="shared" si="9"/>
        <v>-</v>
      </c>
      <c r="IA35" s="22" t="str">
        <f t="shared" si="9"/>
        <v>-</v>
      </c>
      <c r="IB35" s="22" t="str">
        <f t="shared" si="9"/>
        <v>박성현</v>
      </c>
      <c r="IC35" s="22" t="str">
        <f t="shared" si="9"/>
        <v>-</v>
      </c>
      <c r="ID35" s="22" t="str">
        <f t="shared" si="9"/>
        <v>허지웅</v>
      </c>
      <c r="IE35" s="22" t="str">
        <f t="shared" si="9"/>
        <v>이기수</v>
      </c>
      <c r="IF35" s="22" t="str">
        <f t="shared" si="9"/>
        <v>-</v>
      </c>
      <c r="IG35" s="22" t="str">
        <f t="shared" si="9"/>
        <v>박성현</v>
      </c>
      <c r="IH35" s="22" t="str">
        <f t="shared" si="9"/>
        <v>정윤준</v>
      </c>
      <c r="II35" s="22" t="str">
        <f t="shared" si="9"/>
        <v>-</v>
      </c>
      <c r="IJ35" s="22" t="str">
        <f t="shared" si="9"/>
        <v>이기수</v>
      </c>
      <c r="IK35" s="22" t="str">
        <f t="shared" si="9"/>
        <v>허지웅</v>
      </c>
      <c r="IL35" s="22" t="str">
        <f t="shared" si="9"/>
        <v>-</v>
      </c>
      <c r="IM35" s="22" t="str">
        <f t="shared" si="9"/>
        <v>정윤준</v>
      </c>
      <c r="IN35" s="22" t="str">
        <f t="shared" si="9"/>
        <v>박성현</v>
      </c>
      <c r="IO35" s="22" t="str">
        <f t="shared" si="9"/>
        <v>-</v>
      </c>
      <c r="IP35" s="22" t="str">
        <f t="shared" si="9"/>
        <v>-</v>
      </c>
      <c r="IQ35" s="22" t="str">
        <f t="shared" si="9"/>
        <v>이기수</v>
      </c>
      <c r="IR35" s="22" t="str">
        <f t="shared" si="9"/>
        <v>-</v>
      </c>
      <c r="IS35" s="22" t="str">
        <f t="shared" si="9"/>
        <v>허지웅</v>
      </c>
      <c r="IT35" s="22" t="str">
        <f t="shared" si="9"/>
        <v>정윤준</v>
      </c>
      <c r="IU35" s="22" t="str">
        <f t="shared" si="9"/>
        <v>-</v>
      </c>
      <c r="IV35" s="22" t="str">
        <f t="shared" si="9"/>
        <v>-</v>
      </c>
      <c r="IW35" s="22" t="str">
        <f t="shared" si="9"/>
        <v>허지웅</v>
      </c>
      <c r="IX35" s="22" t="str">
        <f t="shared" si="9"/>
        <v>-</v>
      </c>
      <c r="IY35" s="22" t="str">
        <f t="shared" ref="IY35:LJ35" si="10">IF(IY17="-",IY29,IY17)</f>
        <v>박성현</v>
      </c>
      <c r="IZ35" s="22" t="str">
        <f t="shared" si="10"/>
        <v>박성현</v>
      </c>
      <c r="JA35" s="22" t="str">
        <f t="shared" si="10"/>
        <v>-</v>
      </c>
      <c r="JB35" s="22" t="str">
        <f t="shared" si="10"/>
        <v>이기수</v>
      </c>
      <c r="JC35" s="22" t="str">
        <f t="shared" si="10"/>
        <v>이기수</v>
      </c>
      <c r="JD35" s="22" t="str">
        <f t="shared" si="10"/>
        <v>-</v>
      </c>
      <c r="JE35" s="22" t="str">
        <f t="shared" si="10"/>
        <v>정윤준</v>
      </c>
      <c r="JF35" s="22" t="str">
        <f t="shared" si="10"/>
        <v>정윤준</v>
      </c>
      <c r="JG35" s="22" t="str">
        <f t="shared" si="10"/>
        <v>-</v>
      </c>
      <c r="JH35" s="22" t="str">
        <f t="shared" si="10"/>
        <v>-</v>
      </c>
      <c r="JI35" s="22" t="str">
        <f t="shared" si="10"/>
        <v>허지웅</v>
      </c>
      <c r="JJ35" s="22" t="str">
        <f t="shared" si="10"/>
        <v>-</v>
      </c>
      <c r="JK35" s="22" t="str">
        <f t="shared" si="10"/>
        <v>-</v>
      </c>
      <c r="JL35" s="22" t="str">
        <f t="shared" si="10"/>
        <v>박성현</v>
      </c>
      <c r="JM35" s="22" t="str">
        <f t="shared" si="10"/>
        <v>-</v>
      </c>
      <c r="JN35" s="22" t="str">
        <f t="shared" si="10"/>
        <v>허지웅</v>
      </c>
      <c r="JO35" s="22" t="str">
        <f t="shared" si="10"/>
        <v>이기수</v>
      </c>
      <c r="JP35" s="22" t="str">
        <f t="shared" si="10"/>
        <v>-</v>
      </c>
      <c r="JQ35" s="22" t="str">
        <f t="shared" si="10"/>
        <v>-</v>
      </c>
      <c r="JR35" s="22" t="str">
        <f t="shared" si="10"/>
        <v>정윤준</v>
      </c>
      <c r="JS35" s="22" t="str">
        <f t="shared" si="10"/>
        <v>-</v>
      </c>
      <c r="JT35" s="22" t="str">
        <f t="shared" si="10"/>
        <v>박성현</v>
      </c>
      <c r="JU35" s="22" t="str">
        <f t="shared" si="10"/>
        <v>허지웅</v>
      </c>
      <c r="JV35" s="22" t="str">
        <f t="shared" si="10"/>
        <v>-</v>
      </c>
      <c r="JW35" s="22" t="str">
        <f t="shared" si="10"/>
        <v>-</v>
      </c>
      <c r="JX35" s="22" t="str">
        <f t="shared" si="10"/>
        <v>박성현</v>
      </c>
      <c r="JY35" s="22" t="str">
        <f t="shared" si="10"/>
        <v>-</v>
      </c>
      <c r="JZ35" s="22" t="str">
        <f t="shared" si="10"/>
        <v>이기수</v>
      </c>
      <c r="KA35" s="22" t="str">
        <f t="shared" si="10"/>
        <v>이기수</v>
      </c>
      <c r="KB35" s="22" t="str">
        <f t="shared" si="10"/>
        <v>-</v>
      </c>
      <c r="KC35" s="22" t="str">
        <f t="shared" si="10"/>
        <v>정윤준</v>
      </c>
      <c r="KD35" s="22" t="str">
        <f t="shared" si="10"/>
        <v>정윤준</v>
      </c>
      <c r="KE35" s="22" t="str">
        <f t="shared" si="10"/>
        <v>-</v>
      </c>
      <c r="KF35" s="22" t="str">
        <f t="shared" si="10"/>
        <v>-</v>
      </c>
      <c r="KG35" s="22" t="str">
        <f t="shared" si="10"/>
        <v>허지웅</v>
      </c>
      <c r="KH35" s="22" t="str">
        <f t="shared" si="10"/>
        <v>-</v>
      </c>
      <c r="KI35" s="22" t="str">
        <f t="shared" si="10"/>
        <v>허지웅</v>
      </c>
      <c r="KJ35" s="22" t="str">
        <f t="shared" si="10"/>
        <v>박성현</v>
      </c>
      <c r="KK35" s="22" t="str">
        <f t="shared" si="10"/>
        <v>-</v>
      </c>
      <c r="KL35" s="22" t="str">
        <f t="shared" si="10"/>
        <v>-</v>
      </c>
      <c r="KM35" s="22" t="str">
        <f t="shared" si="10"/>
        <v>이기수</v>
      </c>
      <c r="KN35" s="22" t="str">
        <f t="shared" si="10"/>
        <v>-</v>
      </c>
      <c r="KO35" s="22" t="str">
        <f t="shared" si="10"/>
        <v>박성현</v>
      </c>
      <c r="KP35" s="22" t="str">
        <f t="shared" si="10"/>
        <v>정윤준</v>
      </c>
      <c r="KQ35" s="22" t="str">
        <f t="shared" si="10"/>
        <v>-</v>
      </c>
      <c r="KR35" s="22" t="str">
        <f t="shared" si="10"/>
        <v>이기수</v>
      </c>
      <c r="KS35" s="22" t="str">
        <f t="shared" si="10"/>
        <v>허지웅</v>
      </c>
      <c r="KT35" s="22" t="str">
        <f t="shared" si="10"/>
        <v>-</v>
      </c>
      <c r="KU35" s="22" t="str">
        <f t="shared" si="10"/>
        <v>정윤준</v>
      </c>
      <c r="KV35" s="22" t="str">
        <f t="shared" si="10"/>
        <v>박성현</v>
      </c>
      <c r="KW35" s="22" t="str">
        <f t="shared" si="10"/>
        <v>-</v>
      </c>
      <c r="KX35" s="22" t="str">
        <f t="shared" si="10"/>
        <v>허지웅</v>
      </c>
      <c r="KY35" s="22" t="str">
        <f t="shared" si="10"/>
        <v>이기수</v>
      </c>
      <c r="KZ35" s="22" t="str">
        <f t="shared" si="10"/>
        <v>-</v>
      </c>
      <c r="LA35" s="22" t="str">
        <f t="shared" si="10"/>
        <v>-</v>
      </c>
      <c r="LB35" s="22" t="str">
        <f t="shared" si="10"/>
        <v>정윤준</v>
      </c>
      <c r="LC35" s="22" t="str">
        <f t="shared" si="10"/>
        <v>-</v>
      </c>
      <c r="LD35" s="22" t="str">
        <f t="shared" si="10"/>
        <v>박성현</v>
      </c>
      <c r="LE35" s="22" t="str">
        <f t="shared" si="10"/>
        <v>허지웅</v>
      </c>
      <c r="LF35" s="22" t="str">
        <f t="shared" si="10"/>
        <v>-</v>
      </c>
      <c r="LG35" s="22" t="str">
        <f t="shared" si="10"/>
        <v>-</v>
      </c>
      <c r="LH35" s="22" t="str">
        <f t="shared" si="10"/>
        <v>박성현</v>
      </c>
      <c r="LI35" s="22" t="str">
        <f t="shared" si="10"/>
        <v>-</v>
      </c>
      <c r="LJ35" s="22" t="str">
        <f t="shared" si="10"/>
        <v>이기수</v>
      </c>
      <c r="LK35" s="22" t="str">
        <f t="shared" ref="LK35:ND35" si="11">IF(LK17="-",LK29,LK17)</f>
        <v>이기수</v>
      </c>
      <c r="LL35" s="22" t="str">
        <f t="shared" si="11"/>
        <v>-</v>
      </c>
      <c r="LM35" s="22" t="str">
        <f t="shared" si="11"/>
        <v>정윤준</v>
      </c>
      <c r="LN35" s="22" t="str">
        <f t="shared" si="11"/>
        <v>정윤준</v>
      </c>
      <c r="LO35" s="22" t="str">
        <f t="shared" si="11"/>
        <v>-</v>
      </c>
      <c r="LP35" s="22" t="str">
        <f t="shared" si="11"/>
        <v>허지웅</v>
      </c>
      <c r="LQ35" s="22" t="str">
        <f t="shared" si="11"/>
        <v>허지웅</v>
      </c>
      <c r="LR35" s="22" t="str">
        <f t="shared" si="11"/>
        <v>-</v>
      </c>
      <c r="LS35" s="22" t="str">
        <f t="shared" si="11"/>
        <v>박성현</v>
      </c>
      <c r="LT35" s="22" t="str">
        <f t="shared" si="11"/>
        <v>박성현</v>
      </c>
      <c r="LU35" s="22" t="str">
        <f t="shared" si="11"/>
        <v>-</v>
      </c>
      <c r="LV35" s="22" t="str">
        <f t="shared" si="11"/>
        <v>-</v>
      </c>
      <c r="LW35" s="22" t="str">
        <f t="shared" si="11"/>
        <v>이기수</v>
      </c>
      <c r="LX35" s="22" t="str">
        <f t="shared" si="11"/>
        <v>-</v>
      </c>
      <c r="LY35" s="22" t="str">
        <f t="shared" si="11"/>
        <v>이기수</v>
      </c>
      <c r="LZ35" s="22" t="str">
        <f t="shared" si="11"/>
        <v>정윤준</v>
      </c>
      <c r="MA35" s="22" t="str">
        <f t="shared" si="11"/>
        <v>-</v>
      </c>
      <c r="MB35" s="22" t="str">
        <f t="shared" si="11"/>
        <v>-</v>
      </c>
      <c r="MC35" s="22" t="str">
        <f t="shared" si="11"/>
        <v>허지웅</v>
      </c>
      <c r="MD35" s="22" t="str">
        <f t="shared" si="11"/>
        <v>-</v>
      </c>
      <c r="ME35" s="22" t="str">
        <f t="shared" si="11"/>
        <v>정윤준</v>
      </c>
      <c r="MF35" s="22" t="str">
        <f t="shared" si="11"/>
        <v>박성현</v>
      </c>
      <c r="MG35" s="22" t="str">
        <f t="shared" si="11"/>
        <v>-</v>
      </c>
      <c r="MH35" s="22" t="str">
        <f t="shared" si="11"/>
        <v>허지웅</v>
      </c>
      <c r="MI35" s="22" t="str">
        <f t="shared" si="11"/>
        <v>이기수</v>
      </c>
      <c r="MJ35" s="22" t="str">
        <f t="shared" si="11"/>
        <v>-</v>
      </c>
      <c r="MK35" s="22" t="str">
        <f t="shared" si="11"/>
        <v>박성현</v>
      </c>
      <c r="ML35" s="22" t="str">
        <f t="shared" si="11"/>
        <v>정윤준</v>
      </c>
      <c r="MM35" s="22" t="str">
        <f t="shared" si="11"/>
        <v>-</v>
      </c>
      <c r="MN35" s="22" t="str">
        <f t="shared" si="11"/>
        <v>이기수</v>
      </c>
      <c r="MO35" s="22" t="str">
        <f t="shared" si="11"/>
        <v>허지웅</v>
      </c>
      <c r="MP35" s="22" t="str">
        <f t="shared" si="11"/>
        <v>-</v>
      </c>
      <c r="MQ35" s="22" t="str">
        <f t="shared" si="11"/>
        <v>-</v>
      </c>
      <c r="MR35" s="22" t="str">
        <f t="shared" si="11"/>
        <v>박성현</v>
      </c>
      <c r="MS35" s="22" t="str">
        <f t="shared" si="11"/>
        <v>-</v>
      </c>
      <c r="MT35" s="22" t="str">
        <f t="shared" si="11"/>
        <v>정윤준</v>
      </c>
      <c r="MU35" s="22" t="str">
        <f t="shared" si="11"/>
        <v>이기수</v>
      </c>
      <c r="MV35" s="22" t="str">
        <f t="shared" si="11"/>
        <v>-</v>
      </c>
      <c r="MW35" s="22" t="str">
        <f t="shared" si="11"/>
        <v>-</v>
      </c>
      <c r="MX35" s="22" t="str">
        <f t="shared" si="11"/>
        <v>정윤준</v>
      </c>
      <c r="MY35" s="22" t="str">
        <f t="shared" si="11"/>
        <v>-</v>
      </c>
      <c r="MZ35" s="22" t="str">
        <f t="shared" si="11"/>
        <v>허지웅</v>
      </c>
      <c r="NA35" s="22" t="str">
        <f t="shared" si="11"/>
        <v>허지웅</v>
      </c>
      <c r="NB35" s="22" t="str">
        <f t="shared" si="11"/>
        <v>-</v>
      </c>
      <c r="NC35" s="22" t="str">
        <f t="shared" si="11"/>
        <v>박성현</v>
      </c>
      <c r="ND35" s="22" t="e">
        <f t="shared" si="11"/>
        <v>#N/A</v>
      </c>
    </row>
    <row r="36" spans="1:368">
      <c r="A36" s="17" t="s">
        <v>85</v>
      </c>
      <c r="B36" s="2" t="str">
        <f>IF(B18="-",B30,B18)</f>
        <v>이기수</v>
      </c>
      <c r="C36" s="2" t="str">
        <f t="shared" ref="C36:BN37" si="12">IF(C18="-",C30,C18)</f>
        <v>-</v>
      </c>
      <c r="D36" s="2" t="str">
        <f t="shared" si="12"/>
        <v>-</v>
      </c>
      <c r="E36" s="2" t="str">
        <f t="shared" si="12"/>
        <v>정윤준</v>
      </c>
      <c r="F36" s="2" t="str">
        <f t="shared" si="12"/>
        <v>-</v>
      </c>
      <c r="G36" s="2" t="str">
        <f t="shared" si="12"/>
        <v>이기수</v>
      </c>
      <c r="H36" s="2" t="str">
        <f t="shared" si="12"/>
        <v>허지웅</v>
      </c>
      <c r="I36" s="2" t="str">
        <f t="shared" si="12"/>
        <v>-</v>
      </c>
      <c r="J36" s="2" t="str">
        <f t="shared" si="12"/>
        <v>정윤준</v>
      </c>
      <c r="K36" s="2" t="str">
        <f t="shared" si="12"/>
        <v>박성현</v>
      </c>
      <c r="L36" s="2" t="str">
        <f t="shared" si="12"/>
        <v>-</v>
      </c>
      <c r="M36" s="2" t="str">
        <f t="shared" si="12"/>
        <v>허지웅</v>
      </c>
      <c r="N36" s="2" t="str">
        <f t="shared" si="12"/>
        <v>이기수</v>
      </c>
      <c r="O36" s="2" t="str">
        <f t="shared" si="12"/>
        <v>-</v>
      </c>
      <c r="P36" s="2" t="str">
        <f t="shared" si="12"/>
        <v>박성현</v>
      </c>
      <c r="Q36" s="2" t="str">
        <f t="shared" si="12"/>
        <v>정윤준</v>
      </c>
      <c r="R36" s="2" t="str">
        <f t="shared" si="12"/>
        <v>-</v>
      </c>
      <c r="S36" s="2" t="str">
        <f t="shared" si="12"/>
        <v>-</v>
      </c>
      <c r="T36" s="2" t="str">
        <f t="shared" si="12"/>
        <v>허지웅</v>
      </c>
      <c r="U36" s="2" t="str">
        <f t="shared" si="12"/>
        <v>-</v>
      </c>
      <c r="V36" s="2" t="str">
        <f t="shared" si="12"/>
        <v>이기수</v>
      </c>
      <c r="W36" s="2" t="str">
        <f t="shared" si="12"/>
        <v>박성현</v>
      </c>
      <c r="X36" s="2" t="str">
        <f t="shared" si="12"/>
        <v>-</v>
      </c>
      <c r="Y36" s="2" t="str">
        <f t="shared" si="12"/>
        <v>-</v>
      </c>
      <c r="Z36" s="2" t="str">
        <f t="shared" si="12"/>
        <v>이기수</v>
      </c>
      <c r="AA36" s="2" t="str">
        <f t="shared" si="12"/>
        <v>-</v>
      </c>
      <c r="AB36" s="2" t="str">
        <f t="shared" si="12"/>
        <v>정윤준</v>
      </c>
      <c r="AC36" s="2" t="str">
        <f t="shared" si="12"/>
        <v>정윤준</v>
      </c>
      <c r="AD36" s="2" t="str">
        <f t="shared" si="12"/>
        <v>-</v>
      </c>
      <c r="AE36" s="2" t="str">
        <f t="shared" si="12"/>
        <v>허지웅</v>
      </c>
      <c r="AF36" s="2" t="str">
        <f t="shared" si="12"/>
        <v>허지웅</v>
      </c>
      <c r="AG36" s="2" t="str">
        <f t="shared" si="12"/>
        <v>-</v>
      </c>
      <c r="AH36" s="2" t="str">
        <f t="shared" si="12"/>
        <v>박성현</v>
      </c>
      <c r="AI36" s="2" t="str">
        <f t="shared" si="12"/>
        <v>박성현</v>
      </c>
      <c r="AJ36" s="2" t="str">
        <f t="shared" si="12"/>
        <v>-</v>
      </c>
      <c r="AK36" s="2" t="str">
        <f t="shared" si="12"/>
        <v>이기수</v>
      </c>
      <c r="AL36" s="2" t="str">
        <f t="shared" si="12"/>
        <v>이기수</v>
      </c>
      <c r="AM36" s="2" t="str">
        <f t="shared" si="12"/>
        <v>-</v>
      </c>
      <c r="AN36" s="2" t="str">
        <f t="shared" si="12"/>
        <v>-</v>
      </c>
      <c r="AO36" s="2" t="str">
        <f t="shared" si="12"/>
        <v>정윤준</v>
      </c>
      <c r="AP36" s="2" t="str">
        <f t="shared" si="12"/>
        <v>-</v>
      </c>
      <c r="AQ36" s="2" t="str">
        <f t="shared" si="12"/>
        <v>정윤준</v>
      </c>
      <c r="AR36" s="2" t="str">
        <f t="shared" si="12"/>
        <v>허지웅</v>
      </c>
      <c r="AS36" s="2" t="str">
        <f t="shared" si="12"/>
        <v>-</v>
      </c>
      <c r="AT36" s="2" t="str">
        <f t="shared" si="12"/>
        <v>-</v>
      </c>
      <c r="AU36" s="2" t="str">
        <f t="shared" si="12"/>
        <v>박성현</v>
      </c>
      <c r="AV36" s="2" t="str">
        <f t="shared" si="12"/>
        <v>-</v>
      </c>
      <c r="AW36" s="2" t="str">
        <f t="shared" si="12"/>
        <v>-</v>
      </c>
      <c r="AX36" s="2" t="str">
        <f t="shared" si="12"/>
        <v>이기수</v>
      </c>
      <c r="AY36" s="2" t="str">
        <f t="shared" si="12"/>
        <v>-</v>
      </c>
      <c r="AZ36" s="2" t="str">
        <f t="shared" si="12"/>
        <v>허지웅</v>
      </c>
      <c r="BA36" s="2" t="str">
        <f t="shared" si="12"/>
        <v>정윤준</v>
      </c>
      <c r="BB36" s="2" t="str">
        <f t="shared" si="12"/>
        <v>-</v>
      </c>
      <c r="BC36" s="2" t="str">
        <f t="shared" si="12"/>
        <v>박성현</v>
      </c>
      <c r="BD36" s="2" t="str">
        <f t="shared" si="12"/>
        <v>허지웅</v>
      </c>
      <c r="BE36" s="2" t="str">
        <f t="shared" si="12"/>
        <v>-</v>
      </c>
      <c r="BF36" s="2" t="str">
        <f t="shared" si="12"/>
        <v>이기수</v>
      </c>
      <c r="BG36" s="2" t="str">
        <f t="shared" si="12"/>
        <v>박성현</v>
      </c>
      <c r="BH36" s="2" t="str">
        <f t="shared" si="12"/>
        <v>-</v>
      </c>
      <c r="BI36" s="2" t="str">
        <f t="shared" si="12"/>
        <v>-</v>
      </c>
      <c r="BJ36" s="2" t="str">
        <f t="shared" si="12"/>
        <v>이기수</v>
      </c>
      <c r="BK36" s="2" t="str">
        <f t="shared" si="12"/>
        <v>-</v>
      </c>
      <c r="BL36" s="2" t="str">
        <f t="shared" si="12"/>
        <v>정윤준</v>
      </c>
      <c r="BM36" s="2" t="str">
        <f t="shared" si="12"/>
        <v>정윤준</v>
      </c>
      <c r="BN36" s="2" t="str">
        <f t="shared" si="12"/>
        <v>-</v>
      </c>
      <c r="BO36" s="2" t="str">
        <f t="shared" ref="BO36:DZ37" si="13">IF(BO18="-",BO30,BO18)</f>
        <v>-</v>
      </c>
      <c r="BP36" s="2" t="str">
        <f t="shared" si="13"/>
        <v>허지웅</v>
      </c>
      <c r="BQ36" s="2" t="str">
        <f t="shared" si="13"/>
        <v>-</v>
      </c>
      <c r="BR36" s="2" t="str">
        <f t="shared" si="13"/>
        <v>허지웅</v>
      </c>
      <c r="BS36" s="2" t="str">
        <f t="shared" si="13"/>
        <v>박성현</v>
      </c>
      <c r="BT36" s="2" t="str">
        <f t="shared" si="13"/>
        <v>-</v>
      </c>
      <c r="BU36" s="2" t="str">
        <f t="shared" si="13"/>
        <v>박성현</v>
      </c>
      <c r="BV36" s="2" t="str">
        <f t="shared" si="13"/>
        <v>이기수</v>
      </c>
      <c r="BW36" s="2" t="str">
        <f t="shared" si="13"/>
        <v>-</v>
      </c>
      <c r="BX36" s="2" t="str">
        <f t="shared" si="13"/>
        <v>이기수</v>
      </c>
      <c r="BY36" s="2" t="str">
        <f t="shared" si="13"/>
        <v>정윤준</v>
      </c>
      <c r="BZ36" s="2" t="str">
        <f t="shared" si="13"/>
        <v>-</v>
      </c>
      <c r="CA36" s="2" t="str">
        <f t="shared" si="13"/>
        <v>정윤준</v>
      </c>
      <c r="CB36" s="2" t="str">
        <f t="shared" si="13"/>
        <v>허지웅</v>
      </c>
      <c r="CC36" s="2" t="str">
        <f t="shared" si="13"/>
        <v>-</v>
      </c>
      <c r="CD36" s="2" t="str">
        <f t="shared" si="13"/>
        <v>-</v>
      </c>
      <c r="CE36" s="2" t="str">
        <f t="shared" si="13"/>
        <v>박성현</v>
      </c>
      <c r="CF36" s="2" t="str">
        <f t="shared" si="13"/>
        <v>-</v>
      </c>
      <c r="CG36" s="2" t="str">
        <f t="shared" si="13"/>
        <v>허지웅</v>
      </c>
      <c r="CH36" s="2" t="str">
        <f t="shared" si="13"/>
        <v>이기수</v>
      </c>
      <c r="CI36" s="2" t="str">
        <f t="shared" si="13"/>
        <v>-</v>
      </c>
      <c r="CJ36" s="2" t="str">
        <f t="shared" si="13"/>
        <v>-</v>
      </c>
      <c r="CK36" s="2" t="str">
        <f t="shared" si="13"/>
        <v>정윤준</v>
      </c>
      <c r="CL36" s="2" t="str">
        <f t="shared" si="13"/>
        <v>-</v>
      </c>
      <c r="CM36" s="2" t="str">
        <f t="shared" si="13"/>
        <v>박성현</v>
      </c>
      <c r="CN36" s="2" t="str">
        <f t="shared" si="13"/>
        <v>허지웅</v>
      </c>
      <c r="CO36" s="2" t="str">
        <f t="shared" si="13"/>
        <v>-</v>
      </c>
      <c r="CP36" s="2" t="str">
        <f t="shared" si="13"/>
        <v>이기수</v>
      </c>
      <c r="CQ36" s="2" t="str">
        <f t="shared" si="13"/>
        <v>박성현</v>
      </c>
      <c r="CR36" s="2" t="str">
        <f t="shared" si="13"/>
        <v>-</v>
      </c>
      <c r="CS36" s="2" t="str">
        <f t="shared" si="13"/>
        <v>정윤준</v>
      </c>
      <c r="CT36" s="2" t="str">
        <f t="shared" si="13"/>
        <v>이기수</v>
      </c>
      <c r="CU36" s="2" t="str">
        <f t="shared" si="13"/>
        <v>-</v>
      </c>
      <c r="CV36" s="2" t="str">
        <f t="shared" si="13"/>
        <v>허지웅</v>
      </c>
      <c r="CW36" s="2" t="str">
        <f t="shared" si="13"/>
        <v>정윤준</v>
      </c>
      <c r="CX36" s="2" t="str">
        <f t="shared" si="13"/>
        <v>-</v>
      </c>
      <c r="CY36" s="2" t="str">
        <f t="shared" si="13"/>
        <v>-</v>
      </c>
      <c r="CZ36" s="2" t="str">
        <f t="shared" si="13"/>
        <v>허지웅</v>
      </c>
      <c r="DA36" s="2" t="str">
        <f t="shared" si="13"/>
        <v>-</v>
      </c>
      <c r="DB36" s="2" t="str">
        <f t="shared" si="13"/>
        <v>박성현</v>
      </c>
      <c r="DC36" s="2" t="str">
        <f t="shared" si="13"/>
        <v>박성현</v>
      </c>
      <c r="DD36" s="2" t="str">
        <f t="shared" si="13"/>
        <v>-</v>
      </c>
      <c r="DE36" s="2" t="str">
        <f t="shared" si="13"/>
        <v>-</v>
      </c>
      <c r="DF36" s="2" t="str">
        <f t="shared" si="13"/>
        <v>이기수</v>
      </c>
      <c r="DG36" s="2" t="str">
        <f t="shared" si="13"/>
        <v>-</v>
      </c>
      <c r="DH36" s="2" t="str">
        <f t="shared" si="13"/>
        <v>이기수</v>
      </c>
      <c r="DI36" s="2" t="str">
        <f t="shared" si="13"/>
        <v>정윤준</v>
      </c>
      <c r="DJ36" s="2" t="str">
        <f t="shared" si="13"/>
        <v>-</v>
      </c>
      <c r="DK36" s="2" t="str">
        <f t="shared" si="13"/>
        <v>정윤준</v>
      </c>
      <c r="DL36" s="2" t="str">
        <f t="shared" si="13"/>
        <v>허지웅</v>
      </c>
      <c r="DM36" s="2" t="str">
        <f t="shared" si="13"/>
        <v>-</v>
      </c>
      <c r="DN36" s="2" t="str">
        <f t="shared" si="13"/>
        <v>허지웅</v>
      </c>
      <c r="DO36" s="2" t="str">
        <f t="shared" si="13"/>
        <v>박성현</v>
      </c>
      <c r="DP36" s="2" t="str">
        <f t="shared" si="13"/>
        <v>-</v>
      </c>
      <c r="DQ36" s="2" t="str">
        <f t="shared" si="13"/>
        <v>박성현</v>
      </c>
      <c r="DR36" s="2" t="str">
        <f t="shared" si="13"/>
        <v>이기수</v>
      </c>
      <c r="DS36" s="2" t="str">
        <f t="shared" si="13"/>
        <v>-</v>
      </c>
      <c r="DT36" s="2" t="str">
        <f t="shared" si="13"/>
        <v>-</v>
      </c>
      <c r="DU36" s="2" t="str">
        <f t="shared" si="13"/>
        <v>정윤준</v>
      </c>
      <c r="DV36" s="2" t="str">
        <f t="shared" si="13"/>
        <v>-</v>
      </c>
      <c r="DW36" s="2" t="str">
        <f t="shared" si="13"/>
        <v>이기수</v>
      </c>
      <c r="DX36" s="2" t="str">
        <f t="shared" si="13"/>
        <v>허지웅</v>
      </c>
      <c r="DY36" s="2" t="str">
        <f t="shared" si="13"/>
        <v>-</v>
      </c>
      <c r="DZ36" s="2" t="str">
        <f t="shared" si="13"/>
        <v>-</v>
      </c>
      <c r="EA36" s="2" t="str">
        <f t="shared" ref="EA36:GL37" si="14">IF(EA18="-",EA30,EA18)</f>
        <v>박성현</v>
      </c>
      <c r="EB36" s="2" t="str">
        <f t="shared" si="14"/>
        <v>-</v>
      </c>
      <c r="EC36" s="2" t="str">
        <f t="shared" si="14"/>
        <v>정윤준</v>
      </c>
      <c r="ED36" s="2" t="str">
        <f t="shared" si="14"/>
        <v>이기수</v>
      </c>
      <c r="EE36" s="2" t="str">
        <f t="shared" si="14"/>
        <v>-</v>
      </c>
      <c r="EF36" s="2" t="str">
        <f t="shared" si="14"/>
        <v>허지웅</v>
      </c>
      <c r="EG36" s="2" t="str">
        <f t="shared" si="14"/>
        <v>정윤준</v>
      </c>
      <c r="EH36" s="2" t="str">
        <f t="shared" si="14"/>
        <v>-</v>
      </c>
      <c r="EI36" s="2" t="str">
        <f t="shared" si="14"/>
        <v>박성현</v>
      </c>
      <c r="EJ36" s="2" t="str">
        <f t="shared" si="14"/>
        <v>허지웅</v>
      </c>
      <c r="EK36" s="2" t="str">
        <f t="shared" si="14"/>
        <v>-</v>
      </c>
      <c r="EL36" s="2" t="str">
        <f t="shared" si="14"/>
        <v>이기수</v>
      </c>
      <c r="EM36" s="2" t="str">
        <f t="shared" si="14"/>
        <v>박성현</v>
      </c>
      <c r="EN36" s="2" t="str">
        <f t="shared" si="14"/>
        <v>-</v>
      </c>
      <c r="EO36" s="2" t="str">
        <f t="shared" si="14"/>
        <v>-</v>
      </c>
      <c r="EP36" s="2" t="str">
        <f t="shared" si="14"/>
        <v>이기수</v>
      </c>
      <c r="EQ36" s="2" t="str">
        <f t="shared" si="14"/>
        <v>-</v>
      </c>
      <c r="ER36" s="2" t="str">
        <f t="shared" si="14"/>
        <v>정윤준</v>
      </c>
      <c r="ES36" s="2" t="str">
        <f t="shared" si="14"/>
        <v>정윤준</v>
      </c>
      <c r="ET36" s="2" t="str">
        <f t="shared" si="14"/>
        <v>-</v>
      </c>
      <c r="EU36" s="2" t="str">
        <f t="shared" si="14"/>
        <v>-</v>
      </c>
      <c r="EV36" s="2" t="str">
        <f t="shared" si="14"/>
        <v>허지웅</v>
      </c>
      <c r="EW36" s="2" t="str">
        <f t="shared" si="14"/>
        <v>-</v>
      </c>
      <c r="EX36" s="2" t="str">
        <f t="shared" si="14"/>
        <v>허지웅</v>
      </c>
      <c r="EY36" s="2" t="str">
        <f t="shared" si="14"/>
        <v>박성현</v>
      </c>
      <c r="EZ36" s="2" t="str">
        <f t="shared" si="14"/>
        <v>-</v>
      </c>
      <c r="FA36" s="2" t="str">
        <f t="shared" si="14"/>
        <v>박성현</v>
      </c>
      <c r="FB36" s="2" t="str">
        <f t="shared" si="14"/>
        <v>이기수</v>
      </c>
      <c r="FC36" s="2" t="str">
        <f t="shared" si="14"/>
        <v>-</v>
      </c>
      <c r="FD36" s="2" t="str">
        <f t="shared" si="14"/>
        <v>이기수</v>
      </c>
      <c r="FE36" s="2" t="str">
        <f t="shared" si="14"/>
        <v>정윤준</v>
      </c>
      <c r="FF36" s="2" t="str">
        <f t="shared" si="14"/>
        <v>-</v>
      </c>
      <c r="FG36" s="2" t="str">
        <f t="shared" si="14"/>
        <v>정윤준</v>
      </c>
      <c r="FH36" s="2" t="str">
        <f t="shared" si="14"/>
        <v>허지웅</v>
      </c>
      <c r="FI36" s="2" t="str">
        <f t="shared" si="14"/>
        <v>-</v>
      </c>
      <c r="FJ36" s="2" t="str">
        <f t="shared" si="14"/>
        <v>-</v>
      </c>
      <c r="FK36" s="2" t="str">
        <f t="shared" si="14"/>
        <v>박성현</v>
      </c>
      <c r="FL36" s="2" t="str">
        <f t="shared" si="14"/>
        <v>-</v>
      </c>
      <c r="FM36" s="2" t="str">
        <f t="shared" si="14"/>
        <v>허지웅</v>
      </c>
      <c r="FN36" s="2" t="str">
        <f t="shared" si="14"/>
        <v>이기수</v>
      </c>
      <c r="FO36" s="2" t="str">
        <f t="shared" si="14"/>
        <v>-</v>
      </c>
      <c r="FP36" s="2" t="str">
        <f t="shared" si="14"/>
        <v>-</v>
      </c>
      <c r="FQ36" s="2" t="str">
        <f t="shared" si="14"/>
        <v>정윤준</v>
      </c>
      <c r="FR36" s="2" t="str">
        <f t="shared" si="14"/>
        <v>-</v>
      </c>
      <c r="FS36" s="2" t="str">
        <f t="shared" si="14"/>
        <v>박성현</v>
      </c>
      <c r="FT36" s="2" t="str">
        <f t="shared" si="14"/>
        <v>허지웅</v>
      </c>
      <c r="FU36" s="2" t="str">
        <f t="shared" si="14"/>
        <v>-</v>
      </c>
      <c r="FV36" s="2" t="str">
        <f t="shared" si="14"/>
        <v>이기수</v>
      </c>
      <c r="FW36" s="2" t="str">
        <f t="shared" si="14"/>
        <v>박성현</v>
      </c>
      <c r="FX36" s="2" t="str">
        <f t="shared" si="14"/>
        <v>-</v>
      </c>
      <c r="FY36" s="2" t="str">
        <f t="shared" si="14"/>
        <v>정윤준</v>
      </c>
      <c r="FZ36" s="2" t="str">
        <f t="shared" si="14"/>
        <v>이기수</v>
      </c>
      <c r="GA36" s="2" t="str">
        <f t="shared" si="14"/>
        <v>-</v>
      </c>
      <c r="GB36" s="2" t="str">
        <f t="shared" si="14"/>
        <v>허지웅</v>
      </c>
      <c r="GC36" s="2" t="str">
        <f t="shared" si="14"/>
        <v>정윤준</v>
      </c>
      <c r="GD36" s="2" t="str">
        <f t="shared" si="14"/>
        <v>-</v>
      </c>
      <c r="GE36" s="2" t="str">
        <f t="shared" si="14"/>
        <v>-</v>
      </c>
      <c r="GF36" s="2" t="str">
        <f t="shared" si="14"/>
        <v>허지웅</v>
      </c>
      <c r="GG36" s="2" t="str">
        <f t="shared" si="14"/>
        <v>-</v>
      </c>
      <c r="GH36" s="2" t="str">
        <f t="shared" si="14"/>
        <v>박성현</v>
      </c>
      <c r="GI36" s="2" t="str">
        <f t="shared" si="14"/>
        <v>박성현</v>
      </c>
      <c r="GJ36" s="2" t="str">
        <f t="shared" si="14"/>
        <v>-</v>
      </c>
      <c r="GK36" s="2" t="str">
        <f t="shared" si="14"/>
        <v>-</v>
      </c>
      <c r="GL36" s="2" t="str">
        <f t="shared" si="14"/>
        <v>이기수</v>
      </c>
      <c r="GM36" s="2" t="str">
        <f t="shared" ref="GM36:IX37" si="15">IF(GM18="-",GM30,GM18)</f>
        <v>-</v>
      </c>
      <c r="GN36" s="2" t="str">
        <f t="shared" si="15"/>
        <v>이기수</v>
      </c>
      <c r="GO36" s="2" t="str">
        <f t="shared" si="15"/>
        <v>정윤준</v>
      </c>
      <c r="GP36" s="2" t="str">
        <f t="shared" si="15"/>
        <v>-</v>
      </c>
      <c r="GQ36" s="2" t="str">
        <f t="shared" si="15"/>
        <v>-</v>
      </c>
      <c r="GR36" s="2" t="str">
        <f t="shared" si="15"/>
        <v>허지웅</v>
      </c>
      <c r="GS36" s="2" t="str">
        <f t="shared" si="15"/>
        <v>-</v>
      </c>
      <c r="GT36" s="2" t="str">
        <f t="shared" si="15"/>
        <v>정윤준</v>
      </c>
      <c r="GU36" s="2" t="str">
        <f t="shared" si="15"/>
        <v>박성현</v>
      </c>
      <c r="GV36" s="2" t="str">
        <f t="shared" si="15"/>
        <v>-</v>
      </c>
      <c r="GW36" s="2" t="str">
        <f t="shared" si="15"/>
        <v>허지웅</v>
      </c>
      <c r="GX36" s="2" t="str">
        <f t="shared" si="15"/>
        <v>이기수</v>
      </c>
      <c r="GY36" s="2" t="str">
        <f t="shared" si="15"/>
        <v>-</v>
      </c>
      <c r="GZ36" s="2" t="str">
        <f t="shared" si="15"/>
        <v>-</v>
      </c>
      <c r="HA36" s="2" t="str">
        <f t="shared" si="15"/>
        <v>정윤준</v>
      </c>
      <c r="HB36" s="2" t="str">
        <f t="shared" si="15"/>
        <v>-</v>
      </c>
      <c r="HC36" s="2" t="str">
        <f t="shared" si="15"/>
        <v>박성현</v>
      </c>
      <c r="HD36" s="2" t="str">
        <f t="shared" si="15"/>
        <v>허지웅</v>
      </c>
      <c r="HE36" s="2" t="str">
        <f t="shared" si="15"/>
        <v>-</v>
      </c>
      <c r="HF36" s="2" t="str">
        <f t="shared" si="15"/>
        <v>-</v>
      </c>
      <c r="HG36" s="2" t="str">
        <f t="shared" si="15"/>
        <v>박성현</v>
      </c>
      <c r="HH36" s="2" t="str">
        <f t="shared" si="15"/>
        <v>-</v>
      </c>
      <c r="HI36" s="2" t="str">
        <f t="shared" si="15"/>
        <v>이기수</v>
      </c>
      <c r="HJ36" s="2" t="str">
        <f t="shared" si="15"/>
        <v>이기수</v>
      </c>
      <c r="HK36" s="2" t="str">
        <f t="shared" si="15"/>
        <v>-</v>
      </c>
      <c r="HL36" s="2" t="str">
        <f t="shared" si="15"/>
        <v>정윤준</v>
      </c>
      <c r="HM36" s="2" t="str">
        <f t="shared" si="15"/>
        <v>정윤준</v>
      </c>
      <c r="HN36" s="2" t="str">
        <f t="shared" si="15"/>
        <v>-</v>
      </c>
      <c r="HO36" s="2" t="str">
        <f t="shared" si="15"/>
        <v>허지웅</v>
      </c>
      <c r="HP36" s="2" t="str">
        <f t="shared" si="15"/>
        <v>허지웅</v>
      </c>
      <c r="HQ36" s="2" t="str">
        <f t="shared" si="15"/>
        <v>-</v>
      </c>
      <c r="HR36" s="2" t="str">
        <f t="shared" si="15"/>
        <v>박성현</v>
      </c>
      <c r="HS36" s="2" t="str">
        <f t="shared" si="15"/>
        <v>박성현</v>
      </c>
      <c r="HT36" s="2" t="str">
        <f t="shared" si="15"/>
        <v>-</v>
      </c>
      <c r="HU36" s="2" t="str">
        <f t="shared" si="15"/>
        <v>-</v>
      </c>
      <c r="HV36" s="2" t="str">
        <f t="shared" si="15"/>
        <v>이기수</v>
      </c>
      <c r="HW36" s="2" t="str">
        <f t="shared" si="15"/>
        <v>-</v>
      </c>
      <c r="HX36" s="2" t="str">
        <f t="shared" si="15"/>
        <v>이기수</v>
      </c>
      <c r="HY36" s="2" t="str">
        <f t="shared" si="15"/>
        <v>정윤준</v>
      </c>
      <c r="HZ36" s="2" t="str">
        <f t="shared" si="15"/>
        <v>-</v>
      </c>
      <c r="IA36" s="2" t="str">
        <f t="shared" si="15"/>
        <v>-</v>
      </c>
      <c r="IB36" s="2" t="str">
        <f t="shared" si="15"/>
        <v>허지웅</v>
      </c>
      <c r="IC36" s="2" t="str">
        <f t="shared" si="15"/>
        <v>-</v>
      </c>
      <c r="ID36" s="2" t="str">
        <f t="shared" si="15"/>
        <v>정윤준</v>
      </c>
      <c r="IE36" s="2" t="str">
        <f t="shared" si="15"/>
        <v>박성현</v>
      </c>
      <c r="IF36" s="2" t="str">
        <f t="shared" si="15"/>
        <v>-</v>
      </c>
      <c r="IG36" s="2" t="str">
        <f t="shared" si="15"/>
        <v>허지웅</v>
      </c>
      <c r="IH36" s="2" t="str">
        <f t="shared" si="15"/>
        <v>이기수</v>
      </c>
      <c r="II36" s="2" t="str">
        <f t="shared" si="15"/>
        <v>-</v>
      </c>
      <c r="IJ36" s="2" t="str">
        <f t="shared" si="15"/>
        <v>박성현</v>
      </c>
      <c r="IK36" s="2" t="str">
        <f t="shared" si="15"/>
        <v>정윤준</v>
      </c>
      <c r="IL36" s="2" t="str">
        <f t="shared" si="15"/>
        <v>-</v>
      </c>
      <c r="IM36" s="2" t="str">
        <f t="shared" si="15"/>
        <v>이기수</v>
      </c>
      <c r="IN36" s="2" t="str">
        <f t="shared" si="15"/>
        <v>허지웅</v>
      </c>
      <c r="IO36" s="2" t="str">
        <f t="shared" si="15"/>
        <v>-</v>
      </c>
      <c r="IP36" s="2" t="str">
        <f t="shared" si="15"/>
        <v>-</v>
      </c>
      <c r="IQ36" s="2" t="str">
        <f t="shared" si="15"/>
        <v>박성현</v>
      </c>
      <c r="IR36" s="2" t="str">
        <f t="shared" si="15"/>
        <v>-</v>
      </c>
      <c r="IS36" s="2" t="str">
        <f t="shared" si="15"/>
        <v>정윤준</v>
      </c>
      <c r="IT36" s="2" t="str">
        <f t="shared" si="15"/>
        <v>이기수</v>
      </c>
      <c r="IU36" s="2" t="str">
        <f t="shared" si="15"/>
        <v>-</v>
      </c>
      <c r="IV36" s="2" t="str">
        <f t="shared" si="15"/>
        <v>-</v>
      </c>
      <c r="IW36" s="2" t="str">
        <f t="shared" si="15"/>
        <v>정윤준</v>
      </c>
      <c r="IX36" s="2" t="str">
        <f t="shared" si="15"/>
        <v>-</v>
      </c>
      <c r="IY36" s="2" t="str">
        <f t="shared" ref="IY36:LJ37" si="16">IF(IY18="-",IY30,IY18)</f>
        <v>허지웅</v>
      </c>
      <c r="IZ36" s="2" t="str">
        <f t="shared" si="16"/>
        <v>허지웅</v>
      </c>
      <c r="JA36" s="2" t="str">
        <f t="shared" si="16"/>
        <v>-</v>
      </c>
      <c r="JB36" s="2" t="str">
        <f t="shared" si="16"/>
        <v>박성현</v>
      </c>
      <c r="JC36" s="2" t="str">
        <f t="shared" si="16"/>
        <v>박성현</v>
      </c>
      <c r="JD36" s="2" t="str">
        <f t="shared" si="16"/>
        <v>-</v>
      </c>
      <c r="JE36" s="2" t="str">
        <f t="shared" si="16"/>
        <v>이기수</v>
      </c>
      <c r="JF36" s="2" t="str">
        <f t="shared" si="16"/>
        <v>이기수</v>
      </c>
      <c r="JG36" s="2" t="str">
        <f t="shared" si="16"/>
        <v>-</v>
      </c>
      <c r="JH36" s="2" t="str">
        <f t="shared" si="16"/>
        <v>-</v>
      </c>
      <c r="JI36" s="2" t="str">
        <f t="shared" si="16"/>
        <v>정윤준</v>
      </c>
      <c r="JJ36" s="2" t="str">
        <f t="shared" si="16"/>
        <v>-</v>
      </c>
      <c r="JK36" s="2" t="str">
        <f t="shared" si="16"/>
        <v>-</v>
      </c>
      <c r="JL36" s="2" t="str">
        <f t="shared" si="16"/>
        <v>허지웅</v>
      </c>
      <c r="JM36" s="2" t="str">
        <f t="shared" si="16"/>
        <v>-</v>
      </c>
      <c r="JN36" s="2" t="str">
        <f t="shared" si="16"/>
        <v>정윤준</v>
      </c>
      <c r="JO36" s="2" t="str">
        <f t="shared" si="16"/>
        <v>박성현</v>
      </c>
      <c r="JP36" s="2" t="str">
        <f t="shared" si="16"/>
        <v>-</v>
      </c>
      <c r="JQ36" s="2" t="str">
        <f t="shared" si="16"/>
        <v>-</v>
      </c>
      <c r="JR36" s="2" t="str">
        <f t="shared" si="16"/>
        <v>이기수</v>
      </c>
      <c r="JS36" s="2" t="str">
        <f t="shared" si="16"/>
        <v>-</v>
      </c>
      <c r="JT36" s="2" t="str">
        <f t="shared" si="16"/>
        <v>허지웅</v>
      </c>
      <c r="JU36" s="2" t="str">
        <f t="shared" si="16"/>
        <v>정윤준</v>
      </c>
      <c r="JV36" s="2" t="str">
        <f t="shared" si="16"/>
        <v>-</v>
      </c>
      <c r="JW36" s="2" t="str">
        <f t="shared" si="16"/>
        <v>-</v>
      </c>
      <c r="JX36" s="2" t="str">
        <f t="shared" si="16"/>
        <v>허지웅</v>
      </c>
      <c r="JY36" s="2" t="str">
        <f t="shared" si="16"/>
        <v>-</v>
      </c>
      <c r="JZ36" s="2" t="str">
        <f t="shared" si="16"/>
        <v>박성현</v>
      </c>
      <c r="KA36" s="2" t="str">
        <f t="shared" si="16"/>
        <v>박성현</v>
      </c>
      <c r="KB36" s="2" t="str">
        <f t="shared" si="16"/>
        <v>-</v>
      </c>
      <c r="KC36" s="2" t="str">
        <f t="shared" si="16"/>
        <v>이기수</v>
      </c>
      <c r="KD36" s="2" t="str">
        <f t="shared" si="16"/>
        <v>이기수</v>
      </c>
      <c r="KE36" s="2" t="str">
        <f t="shared" si="16"/>
        <v>-</v>
      </c>
      <c r="KF36" s="2" t="str">
        <f t="shared" si="16"/>
        <v>-</v>
      </c>
      <c r="KG36" s="2" t="str">
        <f t="shared" si="16"/>
        <v>정윤준</v>
      </c>
      <c r="KH36" s="2" t="str">
        <f t="shared" si="16"/>
        <v>-</v>
      </c>
      <c r="KI36" s="2" t="str">
        <f t="shared" si="16"/>
        <v>정윤준</v>
      </c>
      <c r="KJ36" s="2" t="str">
        <f t="shared" si="16"/>
        <v>허지웅</v>
      </c>
      <c r="KK36" s="2" t="str">
        <f t="shared" si="16"/>
        <v>-</v>
      </c>
      <c r="KL36" s="2" t="str">
        <f t="shared" si="16"/>
        <v>-</v>
      </c>
      <c r="KM36" s="2" t="str">
        <f t="shared" si="16"/>
        <v>박성현</v>
      </c>
      <c r="KN36" s="2" t="str">
        <f t="shared" si="16"/>
        <v>-</v>
      </c>
      <c r="KO36" s="2" t="str">
        <f t="shared" si="16"/>
        <v>허지웅</v>
      </c>
      <c r="KP36" s="2" t="str">
        <f t="shared" si="16"/>
        <v>이기수</v>
      </c>
      <c r="KQ36" s="2" t="str">
        <f t="shared" si="16"/>
        <v>-</v>
      </c>
      <c r="KR36" s="2" t="str">
        <f t="shared" si="16"/>
        <v>박성현</v>
      </c>
      <c r="KS36" s="2" t="str">
        <f t="shared" si="16"/>
        <v>정윤준</v>
      </c>
      <c r="KT36" s="2" t="str">
        <f t="shared" si="16"/>
        <v>-</v>
      </c>
      <c r="KU36" s="2" t="str">
        <f t="shared" si="16"/>
        <v>이기수</v>
      </c>
      <c r="KV36" s="2" t="str">
        <f t="shared" si="16"/>
        <v>허지웅</v>
      </c>
      <c r="KW36" s="2" t="str">
        <f t="shared" si="16"/>
        <v>-</v>
      </c>
      <c r="KX36" s="2" t="str">
        <f t="shared" si="16"/>
        <v>정윤준</v>
      </c>
      <c r="KY36" s="2" t="str">
        <f t="shared" si="16"/>
        <v>박성현</v>
      </c>
      <c r="KZ36" s="2" t="str">
        <f t="shared" si="16"/>
        <v>-</v>
      </c>
      <c r="LA36" s="2" t="str">
        <f t="shared" si="16"/>
        <v>-</v>
      </c>
      <c r="LB36" s="2" t="str">
        <f t="shared" si="16"/>
        <v>이기수</v>
      </c>
      <c r="LC36" s="2" t="str">
        <f t="shared" si="16"/>
        <v>-</v>
      </c>
      <c r="LD36" s="2" t="str">
        <f t="shared" si="16"/>
        <v>허지웅</v>
      </c>
      <c r="LE36" s="2" t="str">
        <f t="shared" si="16"/>
        <v>정윤준</v>
      </c>
      <c r="LF36" s="2" t="str">
        <f t="shared" si="16"/>
        <v>-</v>
      </c>
      <c r="LG36" s="2" t="str">
        <f t="shared" si="16"/>
        <v>-</v>
      </c>
      <c r="LH36" s="2" t="str">
        <f t="shared" si="16"/>
        <v>허지웅</v>
      </c>
      <c r="LI36" s="2" t="str">
        <f t="shared" si="16"/>
        <v>-</v>
      </c>
      <c r="LJ36" s="2" t="str">
        <f t="shared" si="16"/>
        <v>박성현</v>
      </c>
      <c r="LK36" s="2" t="str">
        <f t="shared" ref="LK36:ND37" si="17">IF(LK18="-",LK30,LK18)</f>
        <v>박성현</v>
      </c>
      <c r="LL36" s="2" t="str">
        <f t="shared" si="17"/>
        <v>-</v>
      </c>
      <c r="LM36" s="2" t="str">
        <f t="shared" si="17"/>
        <v>이기수</v>
      </c>
      <c r="LN36" s="2" t="str">
        <f t="shared" si="17"/>
        <v>이기수</v>
      </c>
      <c r="LO36" s="2" t="str">
        <f t="shared" si="17"/>
        <v>-</v>
      </c>
      <c r="LP36" s="2" t="str">
        <f t="shared" si="17"/>
        <v>정윤준</v>
      </c>
      <c r="LQ36" s="2" t="str">
        <f t="shared" si="17"/>
        <v>정윤준</v>
      </c>
      <c r="LR36" s="2" t="str">
        <f t="shared" si="17"/>
        <v>-</v>
      </c>
      <c r="LS36" s="2" t="str">
        <f t="shared" si="17"/>
        <v>허지웅</v>
      </c>
      <c r="LT36" s="2" t="str">
        <f t="shared" si="17"/>
        <v>허지웅</v>
      </c>
      <c r="LU36" s="2" t="str">
        <f t="shared" si="17"/>
        <v>-</v>
      </c>
      <c r="LV36" s="2" t="str">
        <f t="shared" si="17"/>
        <v>-</v>
      </c>
      <c r="LW36" s="2" t="str">
        <f t="shared" si="17"/>
        <v>박성현</v>
      </c>
      <c r="LX36" s="2" t="str">
        <f t="shared" si="17"/>
        <v>-</v>
      </c>
      <c r="LY36" s="2" t="str">
        <f t="shared" si="17"/>
        <v>박성현</v>
      </c>
      <c r="LZ36" s="2" t="str">
        <f t="shared" si="17"/>
        <v>이기수</v>
      </c>
      <c r="MA36" s="2" t="str">
        <f t="shared" si="17"/>
        <v>-</v>
      </c>
      <c r="MB36" s="2" t="str">
        <f t="shared" si="17"/>
        <v>-</v>
      </c>
      <c r="MC36" s="2" t="str">
        <f t="shared" si="17"/>
        <v>정윤준</v>
      </c>
      <c r="MD36" s="2" t="str">
        <f t="shared" si="17"/>
        <v>-</v>
      </c>
      <c r="ME36" s="2" t="str">
        <f t="shared" si="17"/>
        <v>이기수</v>
      </c>
      <c r="MF36" s="2" t="str">
        <f t="shared" si="17"/>
        <v>허지웅</v>
      </c>
      <c r="MG36" s="2" t="str">
        <f t="shared" si="17"/>
        <v>-</v>
      </c>
      <c r="MH36" s="2" t="str">
        <f t="shared" si="17"/>
        <v>정윤준</v>
      </c>
      <c r="MI36" s="2" t="str">
        <f t="shared" si="17"/>
        <v>박성현</v>
      </c>
      <c r="MJ36" s="2" t="str">
        <f t="shared" si="17"/>
        <v>-</v>
      </c>
      <c r="MK36" s="2" t="str">
        <f t="shared" si="17"/>
        <v>허지웅</v>
      </c>
      <c r="ML36" s="2" t="str">
        <f t="shared" si="17"/>
        <v>이기수</v>
      </c>
      <c r="MM36" s="2" t="str">
        <f t="shared" si="17"/>
        <v>-</v>
      </c>
      <c r="MN36" s="2" t="str">
        <f t="shared" si="17"/>
        <v>박성현</v>
      </c>
      <c r="MO36" s="2" t="str">
        <f t="shared" si="17"/>
        <v>정윤준</v>
      </c>
      <c r="MP36" s="2" t="str">
        <f t="shared" si="17"/>
        <v>-</v>
      </c>
      <c r="MQ36" s="2" t="str">
        <f t="shared" si="17"/>
        <v>-</v>
      </c>
      <c r="MR36" s="2" t="str">
        <f t="shared" si="17"/>
        <v>허지웅</v>
      </c>
      <c r="MS36" s="2" t="str">
        <f t="shared" si="17"/>
        <v>-</v>
      </c>
      <c r="MT36" s="2" t="str">
        <f t="shared" si="17"/>
        <v>이기수</v>
      </c>
      <c r="MU36" s="2" t="str">
        <f t="shared" si="17"/>
        <v>박성현</v>
      </c>
      <c r="MV36" s="2" t="str">
        <f t="shared" si="17"/>
        <v>-</v>
      </c>
      <c r="MW36" s="2" t="str">
        <f t="shared" si="17"/>
        <v>-</v>
      </c>
      <c r="MX36" s="2" t="str">
        <f t="shared" si="17"/>
        <v>이기수</v>
      </c>
      <c r="MY36" s="2" t="str">
        <f t="shared" si="17"/>
        <v>-</v>
      </c>
      <c r="MZ36" s="2" t="str">
        <f t="shared" si="17"/>
        <v>정윤준</v>
      </c>
      <c r="NA36" s="2" t="str">
        <f t="shared" si="17"/>
        <v>정윤준</v>
      </c>
      <c r="NB36" s="2" t="str">
        <f t="shared" si="17"/>
        <v>-</v>
      </c>
      <c r="NC36" s="2" t="str">
        <f t="shared" si="17"/>
        <v>허지웅</v>
      </c>
      <c r="ND36" s="2" t="e">
        <f t="shared" si="17"/>
        <v>#N/A</v>
      </c>
    </row>
    <row r="37" spans="1:368">
      <c r="A37" s="17" t="s">
        <v>86</v>
      </c>
      <c r="B37" s="2" t="str">
        <f>IF(B19="-",B31,B19)</f>
        <v>박성현</v>
      </c>
      <c r="C37" s="2" t="str">
        <f t="shared" ref="C37:Q37" si="18">IF(C19="-",C31,C19)</f>
        <v>-</v>
      </c>
      <c r="D37" s="2" t="str">
        <f t="shared" si="18"/>
        <v>-</v>
      </c>
      <c r="E37" s="2" t="str">
        <f t="shared" si="18"/>
        <v>이기수</v>
      </c>
      <c r="F37" s="2" t="str">
        <f t="shared" si="18"/>
        <v>-</v>
      </c>
      <c r="G37" s="2" t="str">
        <f t="shared" si="18"/>
        <v>박성현</v>
      </c>
      <c r="H37" s="2" t="str">
        <f t="shared" si="18"/>
        <v>정윤준</v>
      </c>
      <c r="I37" s="2" t="str">
        <f t="shared" si="18"/>
        <v>-</v>
      </c>
      <c r="J37" s="2" t="str">
        <f t="shared" si="18"/>
        <v>이기수</v>
      </c>
      <c r="K37" s="2" t="str">
        <f t="shared" si="18"/>
        <v>허지웅</v>
      </c>
      <c r="L37" s="2" t="str">
        <f t="shared" si="18"/>
        <v>-</v>
      </c>
      <c r="M37" s="2" t="str">
        <f t="shared" si="18"/>
        <v>정윤준</v>
      </c>
      <c r="N37" s="2" t="str">
        <f t="shared" si="18"/>
        <v>박성현</v>
      </c>
      <c r="O37" s="2" t="str">
        <f t="shared" si="18"/>
        <v>-</v>
      </c>
      <c r="P37" s="2" t="str">
        <f t="shared" si="18"/>
        <v>허지웅</v>
      </c>
      <c r="Q37" s="2" t="str">
        <f t="shared" si="18"/>
        <v>이기수</v>
      </c>
      <c r="R37" s="2" t="str">
        <f t="shared" si="12"/>
        <v>-</v>
      </c>
      <c r="S37" s="2" t="str">
        <f t="shared" si="12"/>
        <v>-</v>
      </c>
      <c r="T37" s="2" t="str">
        <f t="shared" si="12"/>
        <v>정윤준</v>
      </c>
      <c r="U37" s="2" t="str">
        <f t="shared" si="12"/>
        <v>-</v>
      </c>
      <c r="V37" s="2" t="str">
        <f t="shared" si="12"/>
        <v>박성현</v>
      </c>
      <c r="W37" s="2" t="str">
        <f t="shared" si="12"/>
        <v>허지웅</v>
      </c>
      <c r="X37" s="2" t="str">
        <f t="shared" si="12"/>
        <v>-</v>
      </c>
      <c r="Y37" s="2" t="str">
        <f t="shared" si="12"/>
        <v>-</v>
      </c>
      <c r="Z37" s="2" t="str">
        <f t="shared" si="12"/>
        <v>박성현</v>
      </c>
      <c r="AA37" s="2" t="str">
        <f t="shared" si="12"/>
        <v>-</v>
      </c>
      <c r="AB37" s="2" t="str">
        <f t="shared" si="12"/>
        <v>이기수</v>
      </c>
      <c r="AC37" s="2" t="str">
        <f t="shared" si="12"/>
        <v>이기수</v>
      </c>
      <c r="AD37" s="2" t="str">
        <f t="shared" si="12"/>
        <v>-</v>
      </c>
      <c r="AE37" s="2" t="str">
        <f t="shared" si="12"/>
        <v>정윤준</v>
      </c>
      <c r="AF37" s="2" t="str">
        <f t="shared" si="12"/>
        <v>정윤준</v>
      </c>
      <c r="AG37" s="2" t="str">
        <f t="shared" si="12"/>
        <v>-</v>
      </c>
      <c r="AH37" s="2" t="str">
        <f t="shared" si="12"/>
        <v>허지웅</v>
      </c>
      <c r="AI37" s="2" t="str">
        <f t="shared" si="12"/>
        <v>허지웅</v>
      </c>
      <c r="AJ37" s="2" t="str">
        <f t="shared" si="12"/>
        <v>-</v>
      </c>
      <c r="AK37" s="2" t="str">
        <f t="shared" si="12"/>
        <v>박성현</v>
      </c>
      <c r="AL37" s="2" t="str">
        <f t="shared" si="12"/>
        <v>박성현</v>
      </c>
      <c r="AM37" s="2" t="str">
        <f t="shared" si="12"/>
        <v>-</v>
      </c>
      <c r="AN37" s="2" t="str">
        <f t="shared" si="12"/>
        <v>-</v>
      </c>
      <c r="AO37" s="2" t="str">
        <f t="shared" si="12"/>
        <v>이기수</v>
      </c>
      <c r="AP37" s="2" t="str">
        <f t="shared" si="12"/>
        <v>-</v>
      </c>
      <c r="AQ37" s="2" t="str">
        <f t="shared" si="12"/>
        <v>이기수</v>
      </c>
      <c r="AR37" s="2" t="str">
        <f t="shared" si="12"/>
        <v>정윤준</v>
      </c>
      <c r="AS37" s="2" t="str">
        <f t="shared" si="12"/>
        <v>-</v>
      </c>
      <c r="AT37" s="2" t="str">
        <f t="shared" si="12"/>
        <v>-</v>
      </c>
      <c r="AU37" s="2" t="str">
        <f t="shared" si="12"/>
        <v>허지웅</v>
      </c>
      <c r="AV37" s="2" t="str">
        <f t="shared" si="12"/>
        <v>-</v>
      </c>
      <c r="AW37" s="2" t="str">
        <f t="shared" si="12"/>
        <v>-</v>
      </c>
      <c r="AX37" s="2" t="str">
        <f t="shared" si="12"/>
        <v>박성현</v>
      </c>
      <c r="AY37" s="2" t="str">
        <f t="shared" si="12"/>
        <v>-</v>
      </c>
      <c r="AZ37" s="2" t="str">
        <f t="shared" si="12"/>
        <v>정윤준</v>
      </c>
      <c r="BA37" s="2" t="str">
        <f t="shared" si="12"/>
        <v>이기수</v>
      </c>
      <c r="BB37" s="2" t="str">
        <f t="shared" si="12"/>
        <v>-</v>
      </c>
      <c r="BC37" s="2" t="str">
        <f t="shared" si="12"/>
        <v>허지웅</v>
      </c>
      <c r="BD37" s="2" t="str">
        <f t="shared" si="12"/>
        <v>정윤준</v>
      </c>
      <c r="BE37" s="2" t="str">
        <f t="shared" si="12"/>
        <v>-</v>
      </c>
      <c r="BF37" s="2" t="str">
        <f t="shared" si="12"/>
        <v>박성현</v>
      </c>
      <c r="BG37" s="2" t="str">
        <f t="shared" si="12"/>
        <v>허지웅</v>
      </c>
      <c r="BH37" s="2" t="str">
        <f t="shared" si="12"/>
        <v>-</v>
      </c>
      <c r="BI37" s="2" t="str">
        <f t="shared" si="12"/>
        <v>-</v>
      </c>
      <c r="BJ37" s="2" t="str">
        <f t="shared" si="12"/>
        <v>박성현</v>
      </c>
      <c r="BK37" s="2" t="str">
        <f t="shared" si="12"/>
        <v>-</v>
      </c>
      <c r="BL37" s="2" t="str">
        <f t="shared" si="12"/>
        <v>이기수</v>
      </c>
      <c r="BM37" s="2" t="str">
        <f t="shared" si="12"/>
        <v>이기수</v>
      </c>
      <c r="BN37" s="2" t="str">
        <f t="shared" si="12"/>
        <v>-</v>
      </c>
      <c r="BO37" s="2" t="str">
        <f t="shared" si="13"/>
        <v>-</v>
      </c>
      <c r="BP37" s="2" t="str">
        <f t="shared" si="13"/>
        <v>정윤준</v>
      </c>
      <c r="BQ37" s="2" t="str">
        <f t="shared" si="13"/>
        <v>-</v>
      </c>
      <c r="BR37" s="2" t="str">
        <f t="shared" si="13"/>
        <v>정윤준</v>
      </c>
      <c r="BS37" s="2" t="str">
        <f t="shared" si="13"/>
        <v>허지웅</v>
      </c>
      <c r="BT37" s="2" t="str">
        <f t="shared" si="13"/>
        <v>-</v>
      </c>
      <c r="BU37" s="2" t="str">
        <f t="shared" si="13"/>
        <v>허지웅</v>
      </c>
      <c r="BV37" s="2" t="str">
        <f t="shared" si="13"/>
        <v>박성현</v>
      </c>
      <c r="BW37" s="2" t="str">
        <f t="shared" si="13"/>
        <v>-</v>
      </c>
      <c r="BX37" s="2" t="str">
        <f t="shared" si="13"/>
        <v>박성현</v>
      </c>
      <c r="BY37" s="2" t="str">
        <f t="shared" si="13"/>
        <v>이기수</v>
      </c>
      <c r="BZ37" s="2" t="str">
        <f t="shared" si="13"/>
        <v>-</v>
      </c>
      <c r="CA37" s="2" t="str">
        <f t="shared" si="13"/>
        <v>이기수</v>
      </c>
      <c r="CB37" s="2" t="str">
        <f t="shared" si="13"/>
        <v>정윤준</v>
      </c>
      <c r="CC37" s="2" t="str">
        <f t="shared" si="13"/>
        <v>-</v>
      </c>
      <c r="CD37" s="2" t="str">
        <f t="shared" si="13"/>
        <v>-</v>
      </c>
      <c r="CE37" s="2" t="str">
        <f t="shared" si="13"/>
        <v>허지웅</v>
      </c>
      <c r="CF37" s="2" t="str">
        <f t="shared" si="13"/>
        <v>-</v>
      </c>
      <c r="CG37" s="2" t="str">
        <f t="shared" si="13"/>
        <v>정윤준</v>
      </c>
      <c r="CH37" s="2" t="str">
        <f t="shared" si="13"/>
        <v>박성현</v>
      </c>
      <c r="CI37" s="2" t="str">
        <f t="shared" si="13"/>
        <v>-</v>
      </c>
      <c r="CJ37" s="2" t="str">
        <f t="shared" si="13"/>
        <v>-</v>
      </c>
      <c r="CK37" s="2" t="str">
        <f t="shared" si="13"/>
        <v>이기수</v>
      </c>
      <c r="CL37" s="2" t="str">
        <f t="shared" si="13"/>
        <v>-</v>
      </c>
      <c r="CM37" s="2" t="str">
        <f t="shared" si="13"/>
        <v>허지웅</v>
      </c>
      <c r="CN37" s="2" t="str">
        <f t="shared" si="13"/>
        <v>정윤준</v>
      </c>
      <c r="CO37" s="2" t="str">
        <f t="shared" si="13"/>
        <v>-</v>
      </c>
      <c r="CP37" s="2" t="str">
        <f t="shared" si="13"/>
        <v>박성현</v>
      </c>
      <c r="CQ37" s="2" t="str">
        <f t="shared" si="13"/>
        <v>허지웅</v>
      </c>
      <c r="CR37" s="2" t="str">
        <f t="shared" si="13"/>
        <v>-</v>
      </c>
      <c r="CS37" s="2" t="str">
        <f t="shared" si="13"/>
        <v>이기수</v>
      </c>
      <c r="CT37" s="2" t="str">
        <f t="shared" si="13"/>
        <v>박성현</v>
      </c>
      <c r="CU37" s="2" t="str">
        <f t="shared" si="13"/>
        <v>-</v>
      </c>
      <c r="CV37" s="2" t="str">
        <f t="shared" si="13"/>
        <v>정윤준</v>
      </c>
      <c r="CW37" s="2" t="str">
        <f t="shared" si="13"/>
        <v>이기수</v>
      </c>
      <c r="CX37" s="2" t="str">
        <f t="shared" si="13"/>
        <v>-</v>
      </c>
      <c r="CY37" s="2" t="str">
        <f t="shared" si="13"/>
        <v>-</v>
      </c>
      <c r="CZ37" s="2" t="str">
        <f t="shared" si="13"/>
        <v>정윤준</v>
      </c>
      <c r="DA37" s="2" t="str">
        <f t="shared" si="13"/>
        <v>-</v>
      </c>
      <c r="DB37" s="2" t="str">
        <f t="shared" si="13"/>
        <v>허지웅</v>
      </c>
      <c r="DC37" s="2" t="str">
        <f t="shared" si="13"/>
        <v>허지웅</v>
      </c>
      <c r="DD37" s="2" t="str">
        <f t="shared" si="13"/>
        <v>-</v>
      </c>
      <c r="DE37" s="2" t="str">
        <f t="shared" si="13"/>
        <v>-</v>
      </c>
      <c r="DF37" s="2" t="str">
        <f t="shared" si="13"/>
        <v>박성현</v>
      </c>
      <c r="DG37" s="2" t="str">
        <f t="shared" si="13"/>
        <v>-</v>
      </c>
      <c r="DH37" s="2" t="str">
        <f t="shared" si="13"/>
        <v>박성현</v>
      </c>
      <c r="DI37" s="2" t="str">
        <f t="shared" si="13"/>
        <v>이기수</v>
      </c>
      <c r="DJ37" s="2" t="str">
        <f t="shared" si="13"/>
        <v>-</v>
      </c>
      <c r="DK37" s="2" t="str">
        <f t="shared" si="13"/>
        <v>이기수</v>
      </c>
      <c r="DL37" s="2" t="str">
        <f t="shared" si="13"/>
        <v>정윤준</v>
      </c>
      <c r="DM37" s="2" t="str">
        <f t="shared" si="13"/>
        <v>-</v>
      </c>
      <c r="DN37" s="2" t="str">
        <f t="shared" si="13"/>
        <v>정윤준</v>
      </c>
      <c r="DO37" s="2" t="str">
        <f t="shared" si="13"/>
        <v>허지웅</v>
      </c>
      <c r="DP37" s="2" t="str">
        <f t="shared" si="13"/>
        <v>-</v>
      </c>
      <c r="DQ37" s="2" t="str">
        <f t="shared" si="13"/>
        <v>허지웅</v>
      </c>
      <c r="DR37" s="2" t="str">
        <f t="shared" si="13"/>
        <v>박성현</v>
      </c>
      <c r="DS37" s="2" t="str">
        <f t="shared" si="13"/>
        <v>-</v>
      </c>
      <c r="DT37" s="2" t="str">
        <f t="shared" si="13"/>
        <v>-</v>
      </c>
      <c r="DU37" s="2" t="str">
        <f t="shared" si="13"/>
        <v>이기수</v>
      </c>
      <c r="DV37" s="2" t="str">
        <f t="shared" si="13"/>
        <v>-</v>
      </c>
      <c r="DW37" s="2" t="str">
        <f t="shared" si="13"/>
        <v>박성현</v>
      </c>
      <c r="DX37" s="2" t="str">
        <f t="shared" si="13"/>
        <v>정윤준</v>
      </c>
      <c r="DY37" s="2" t="str">
        <f t="shared" si="13"/>
        <v>-</v>
      </c>
      <c r="DZ37" s="2" t="str">
        <f t="shared" si="13"/>
        <v>-</v>
      </c>
      <c r="EA37" s="2" t="str">
        <f t="shared" si="14"/>
        <v>허지웅</v>
      </c>
      <c r="EB37" s="2" t="str">
        <f t="shared" si="14"/>
        <v>-</v>
      </c>
      <c r="EC37" s="2" t="str">
        <f t="shared" si="14"/>
        <v>이기수</v>
      </c>
      <c r="ED37" s="2" t="str">
        <f t="shared" si="14"/>
        <v>박성현</v>
      </c>
      <c r="EE37" s="2" t="str">
        <f t="shared" si="14"/>
        <v>-</v>
      </c>
      <c r="EF37" s="2" t="str">
        <f t="shared" si="14"/>
        <v>정윤준</v>
      </c>
      <c r="EG37" s="2" t="str">
        <f t="shared" si="14"/>
        <v>이기수</v>
      </c>
      <c r="EH37" s="2" t="str">
        <f t="shared" si="14"/>
        <v>-</v>
      </c>
      <c r="EI37" s="2" t="str">
        <f t="shared" si="14"/>
        <v>허지웅</v>
      </c>
      <c r="EJ37" s="2" t="str">
        <f t="shared" si="14"/>
        <v>정윤준</v>
      </c>
      <c r="EK37" s="2" t="str">
        <f t="shared" si="14"/>
        <v>-</v>
      </c>
      <c r="EL37" s="2" t="str">
        <f t="shared" si="14"/>
        <v>박성현</v>
      </c>
      <c r="EM37" s="2" t="str">
        <f t="shared" si="14"/>
        <v>허지웅</v>
      </c>
      <c r="EN37" s="2" t="str">
        <f t="shared" si="14"/>
        <v>-</v>
      </c>
      <c r="EO37" s="2" t="str">
        <f t="shared" si="14"/>
        <v>-</v>
      </c>
      <c r="EP37" s="2" t="str">
        <f t="shared" si="14"/>
        <v>박성현</v>
      </c>
      <c r="EQ37" s="2" t="str">
        <f t="shared" si="14"/>
        <v>-</v>
      </c>
      <c r="ER37" s="2" t="str">
        <f t="shared" si="14"/>
        <v>이기수</v>
      </c>
      <c r="ES37" s="2" t="str">
        <f t="shared" si="14"/>
        <v>이기수</v>
      </c>
      <c r="ET37" s="2" t="str">
        <f t="shared" si="14"/>
        <v>-</v>
      </c>
      <c r="EU37" s="2" t="str">
        <f t="shared" si="14"/>
        <v>-</v>
      </c>
      <c r="EV37" s="2" t="str">
        <f t="shared" si="14"/>
        <v>정윤준</v>
      </c>
      <c r="EW37" s="2" t="str">
        <f t="shared" si="14"/>
        <v>-</v>
      </c>
      <c r="EX37" s="2" t="str">
        <f t="shared" si="14"/>
        <v>정윤준</v>
      </c>
      <c r="EY37" s="2" t="str">
        <f t="shared" si="14"/>
        <v>허지웅</v>
      </c>
      <c r="EZ37" s="2" t="str">
        <f t="shared" si="14"/>
        <v>-</v>
      </c>
      <c r="FA37" s="2" t="str">
        <f t="shared" si="14"/>
        <v>허지웅</v>
      </c>
      <c r="FB37" s="2" t="str">
        <f t="shared" si="14"/>
        <v>박성현</v>
      </c>
      <c r="FC37" s="2" t="str">
        <f t="shared" si="14"/>
        <v>-</v>
      </c>
      <c r="FD37" s="2" t="str">
        <f t="shared" si="14"/>
        <v>박성현</v>
      </c>
      <c r="FE37" s="2" t="str">
        <f t="shared" si="14"/>
        <v>이기수</v>
      </c>
      <c r="FF37" s="2" t="str">
        <f t="shared" si="14"/>
        <v>-</v>
      </c>
      <c r="FG37" s="2" t="str">
        <f t="shared" si="14"/>
        <v>이기수</v>
      </c>
      <c r="FH37" s="2" t="str">
        <f t="shared" si="14"/>
        <v>정윤준</v>
      </c>
      <c r="FI37" s="2" t="str">
        <f t="shared" si="14"/>
        <v>-</v>
      </c>
      <c r="FJ37" s="2" t="str">
        <f t="shared" si="14"/>
        <v>-</v>
      </c>
      <c r="FK37" s="2" t="str">
        <f t="shared" si="14"/>
        <v>허지웅</v>
      </c>
      <c r="FL37" s="2" t="str">
        <f t="shared" si="14"/>
        <v>-</v>
      </c>
      <c r="FM37" s="2" t="str">
        <f t="shared" si="14"/>
        <v>정윤준</v>
      </c>
      <c r="FN37" s="2" t="str">
        <f t="shared" si="14"/>
        <v>박성현</v>
      </c>
      <c r="FO37" s="2" t="str">
        <f t="shared" si="14"/>
        <v>-</v>
      </c>
      <c r="FP37" s="2" t="str">
        <f t="shared" si="14"/>
        <v>-</v>
      </c>
      <c r="FQ37" s="2" t="str">
        <f t="shared" si="14"/>
        <v>이기수</v>
      </c>
      <c r="FR37" s="2" t="str">
        <f t="shared" si="14"/>
        <v>-</v>
      </c>
      <c r="FS37" s="2" t="str">
        <f t="shared" si="14"/>
        <v>허지웅</v>
      </c>
      <c r="FT37" s="2" t="str">
        <f t="shared" si="14"/>
        <v>정윤준</v>
      </c>
      <c r="FU37" s="2" t="str">
        <f t="shared" si="14"/>
        <v>-</v>
      </c>
      <c r="FV37" s="2" t="str">
        <f t="shared" si="14"/>
        <v>박성현</v>
      </c>
      <c r="FW37" s="2" t="str">
        <f t="shared" si="14"/>
        <v>허지웅</v>
      </c>
      <c r="FX37" s="2" t="str">
        <f t="shared" si="14"/>
        <v>-</v>
      </c>
      <c r="FY37" s="2" t="str">
        <f t="shared" si="14"/>
        <v>이기수</v>
      </c>
      <c r="FZ37" s="2" t="str">
        <f t="shared" si="14"/>
        <v>박성현</v>
      </c>
      <c r="GA37" s="2" t="str">
        <f t="shared" si="14"/>
        <v>-</v>
      </c>
      <c r="GB37" s="2" t="str">
        <f t="shared" si="14"/>
        <v>정윤준</v>
      </c>
      <c r="GC37" s="2" t="str">
        <f t="shared" si="14"/>
        <v>이기수</v>
      </c>
      <c r="GD37" s="2" t="str">
        <f t="shared" si="14"/>
        <v>-</v>
      </c>
      <c r="GE37" s="2" t="str">
        <f t="shared" si="14"/>
        <v>-</v>
      </c>
      <c r="GF37" s="2" t="str">
        <f t="shared" si="14"/>
        <v>정윤준</v>
      </c>
      <c r="GG37" s="2" t="str">
        <f t="shared" si="14"/>
        <v>-</v>
      </c>
      <c r="GH37" s="2" t="str">
        <f t="shared" si="14"/>
        <v>허지웅</v>
      </c>
      <c r="GI37" s="2" t="str">
        <f t="shared" si="14"/>
        <v>허지웅</v>
      </c>
      <c r="GJ37" s="2" t="str">
        <f t="shared" si="14"/>
        <v>-</v>
      </c>
      <c r="GK37" s="2" t="str">
        <f t="shared" si="14"/>
        <v>-</v>
      </c>
      <c r="GL37" s="2" t="str">
        <f t="shared" si="14"/>
        <v>박성현</v>
      </c>
      <c r="GM37" s="2" t="str">
        <f t="shared" si="15"/>
        <v>-</v>
      </c>
      <c r="GN37" s="2" t="str">
        <f t="shared" si="15"/>
        <v>박성현</v>
      </c>
      <c r="GO37" s="2" t="str">
        <f t="shared" si="15"/>
        <v>이기수</v>
      </c>
      <c r="GP37" s="2" t="str">
        <f t="shared" si="15"/>
        <v>-</v>
      </c>
      <c r="GQ37" s="2" t="str">
        <f t="shared" si="15"/>
        <v>-</v>
      </c>
      <c r="GR37" s="2" t="str">
        <f t="shared" si="15"/>
        <v>정윤준</v>
      </c>
      <c r="GS37" s="2" t="str">
        <f t="shared" si="15"/>
        <v>-</v>
      </c>
      <c r="GT37" s="2" t="str">
        <f t="shared" si="15"/>
        <v>이기수</v>
      </c>
      <c r="GU37" s="2" t="str">
        <f t="shared" si="15"/>
        <v>허지웅</v>
      </c>
      <c r="GV37" s="2" t="str">
        <f t="shared" si="15"/>
        <v>-</v>
      </c>
      <c r="GW37" s="2" t="str">
        <f t="shared" si="15"/>
        <v>정윤준</v>
      </c>
      <c r="GX37" s="2" t="str">
        <f t="shared" si="15"/>
        <v>박성현</v>
      </c>
      <c r="GY37" s="2" t="str">
        <f t="shared" si="15"/>
        <v>-</v>
      </c>
      <c r="GZ37" s="2" t="str">
        <f t="shared" si="15"/>
        <v>-</v>
      </c>
      <c r="HA37" s="2" t="str">
        <f t="shared" si="15"/>
        <v>이기수</v>
      </c>
      <c r="HB37" s="2" t="str">
        <f t="shared" si="15"/>
        <v>-</v>
      </c>
      <c r="HC37" s="2" t="str">
        <f t="shared" si="15"/>
        <v>허지웅</v>
      </c>
      <c r="HD37" s="2" t="str">
        <f t="shared" si="15"/>
        <v>정윤준</v>
      </c>
      <c r="HE37" s="2" t="str">
        <f t="shared" si="15"/>
        <v>-</v>
      </c>
      <c r="HF37" s="2" t="str">
        <f t="shared" si="15"/>
        <v>-</v>
      </c>
      <c r="HG37" s="2" t="str">
        <f t="shared" si="15"/>
        <v>허지웅</v>
      </c>
      <c r="HH37" s="2" t="str">
        <f t="shared" si="15"/>
        <v>-</v>
      </c>
      <c r="HI37" s="2" t="str">
        <f t="shared" si="15"/>
        <v>박성현</v>
      </c>
      <c r="HJ37" s="2" t="str">
        <f t="shared" si="15"/>
        <v>박성현</v>
      </c>
      <c r="HK37" s="2" t="str">
        <f t="shared" si="15"/>
        <v>-</v>
      </c>
      <c r="HL37" s="2" t="str">
        <f t="shared" si="15"/>
        <v>이기수</v>
      </c>
      <c r="HM37" s="2" t="str">
        <f t="shared" si="15"/>
        <v>이기수</v>
      </c>
      <c r="HN37" s="2" t="str">
        <f t="shared" si="15"/>
        <v>-</v>
      </c>
      <c r="HO37" s="2" t="str">
        <f t="shared" si="15"/>
        <v>정윤준</v>
      </c>
      <c r="HP37" s="2" t="str">
        <f t="shared" si="15"/>
        <v>정윤준</v>
      </c>
      <c r="HQ37" s="2" t="str">
        <f t="shared" si="15"/>
        <v>-</v>
      </c>
      <c r="HR37" s="2" t="str">
        <f t="shared" si="15"/>
        <v>허지웅</v>
      </c>
      <c r="HS37" s="2" t="str">
        <f t="shared" si="15"/>
        <v>허지웅</v>
      </c>
      <c r="HT37" s="2" t="str">
        <f t="shared" si="15"/>
        <v>-</v>
      </c>
      <c r="HU37" s="2" t="str">
        <f t="shared" si="15"/>
        <v>-</v>
      </c>
      <c r="HV37" s="2" t="str">
        <f t="shared" si="15"/>
        <v>박성현</v>
      </c>
      <c r="HW37" s="2" t="str">
        <f t="shared" si="15"/>
        <v>-</v>
      </c>
      <c r="HX37" s="2" t="str">
        <f t="shared" si="15"/>
        <v>박성현</v>
      </c>
      <c r="HY37" s="2" t="str">
        <f t="shared" si="15"/>
        <v>이기수</v>
      </c>
      <c r="HZ37" s="2" t="str">
        <f t="shared" si="15"/>
        <v>-</v>
      </c>
      <c r="IA37" s="2" t="str">
        <f t="shared" si="15"/>
        <v>-</v>
      </c>
      <c r="IB37" s="2" t="str">
        <f t="shared" si="15"/>
        <v>정윤준</v>
      </c>
      <c r="IC37" s="2" t="str">
        <f t="shared" si="15"/>
        <v>-</v>
      </c>
      <c r="ID37" s="2" t="str">
        <f t="shared" si="15"/>
        <v>이기수</v>
      </c>
      <c r="IE37" s="2" t="str">
        <f t="shared" si="15"/>
        <v>허지웅</v>
      </c>
      <c r="IF37" s="2" t="str">
        <f t="shared" si="15"/>
        <v>-</v>
      </c>
      <c r="IG37" s="2" t="str">
        <f t="shared" si="15"/>
        <v>정윤준</v>
      </c>
      <c r="IH37" s="2" t="str">
        <f t="shared" si="15"/>
        <v>박성현</v>
      </c>
      <c r="II37" s="2" t="str">
        <f t="shared" si="15"/>
        <v>-</v>
      </c>
      <c r="IJ37" s="2" t="str">
        <f t="shared" si="15"/>
        <v>허지웅</v>
      </c>
      <c r="IK37" s="2" t="str">
        <f t="shared" si="15"/>
        <v>이기수</v>
      </c>
      <c r="IL37" s="2" t="str">
        <f t="shared" si="15"/>
        <v>-</v>
      </c>
      <c r="IM37" s="2" t="str">
        <f t="shared" si="15"/>
        <v>박성현</v>
      </c>
      <c r="IN37" s="2" t="str">
        <f t="shared" si="15"/>
        <v>정윤준</v>
      </c>
      <c r="IO37" s="2" t="str">
        <f t="shared" si="15"/>
        <v>-</v>
      </c>
      <c r="IP37" s="2" t="str">
        <f t="shared" si="15"/>
        <v>-</v>
      </c>
      <c r="IQ37" s="2" t="str">
        <f t="shared" si="15"/>
        <v>허지웅</v>
      </c>
      <c r="IR37" s="2" t="str">
        <f t="shared" si="15"/>
        <v>-</v>
      </c>
      <c r="IS37" s="2" t="str">
        <f t="shared" si="15"/>
        <v>이기수</v>
      </c>
      <c r="IT37" s="2" t="str">
        <f t="shared" si="15"/>
        <v>박성현</v>
      </c>
      <c r="IU37" s="2" t="str">
        <f t="shared" si="15"/>
        <v>-</v>
      </c>
      <c r="IV37" s="2" t="str">
        <f t="shared" si="15"/>
        <v>-</v>
      </c>
      <c r="IW37" s="2" t="str">
        <f t="shared" si="15"/>
        <v>이기수</v>
      </c>
      <c r="IX37" s="2" t="str">
        <f t="shared" si="15"/>
        <v>-</v>
      </c>
      <c r="IY37" s="2" t="str">
        <f t="shared" si="16"/>
        <v>정윤준</v>
      </c>
      <c r="IZ37" s="2" t="str">
        <f t="shared" si="16"/>
        <v>정윤준</v>
      </c>
      <c r="JA37" s="2" t="str">
        <f t="shared" si="16"/>
        <v>-</v>
      </c>
      <c r="JB37" s="2" t="str">
        <f t="shared" si="16"/>
        <v>허지웅</v>
      </c>
      <c r="JC37" s="2" t="str">
        <f t="shared" si="16"/>
        <v>허지웅</v>
      </c>
      <c r="JD37" s="2" t="str">
        <f t="shared" si="16"/>
        <v>-</v>
      </c>
      <c r="JE37" s="2" t="str">
        <f t="shared" si="16"/>
        <v>박성현</v>
      </c>
      <c r="JF37" s="2" t="str">
        <f t="shared" si="16"/>
        <v>박성현</v>
      </c>
      <c r="JG37" s="2" t="str">
        <f t="shared" si="16"/>
        <v>-</v>
      </c>
      <c r="JH37" s="2" t="str">
        <f t="shared" si="16"/>
        <v>-</v>
      </c>
      <c r="JI37" s="2" t="str">
        <f t="shared" si="16"/>
        <v>이기수</v>
      </c>
      <c r="JJ37" s="2" t="str">
        <f t="shared" si="16"/>
        <v>-</v>
      </c>
      <c r="JK37" s="2" t="str">
        <f t="shared" si="16"/>
        <v>-</v>
      </c>
      <c r="JL37" s="2" t="str">
        <f t="shared" si="16"/>
        <v>정윤준</v>
      </c>
      <c r="JM37" s="2" t="str">
        <f t="shared" si="16"/>
        <v>-</v>
      </c>
      <c r="JN37" s="2" t="str">
        <f t="shared" si="16"/>
        <v>이기수</v>
      </c>
      <c r="JO37" s="2" t="str">
        <f t="shared" si="16"/>
        <v>허지웅</v>
      </c>
      <c r="JP37" s="2" t="str">
        <f t="shared" si="16"/>
        <v>-</v>
      </c>
      <c r="JQ37" s="2" t="str">
        <f t="shared" si="16"/>
        <v>-</v>
      </c>
      <c r="JR37" s="2" t="str">
        <f t="shared" si="16"/>
        <v>박성현</v>
      </c>
      <c r="JS37" s="2" t="str">
        <f t="shared" si="16"/>
        <v>-</v>
      </c>
      <c r="JT37" s="2" t="str">
        <f t="shared" si="16"/>
        <v>정윤준</v>
      </c>
      <c r="JU37" s="2" t="str">
        <f t="shared" si="16"/>
        <v>이기수</v>
      </c>
      <c r="JV37" s="2" t="str">
        <f t="shared" si="16"/>
        <v>-</v>
      </c>
      <c r="JW37" s="2" t="str">
        <f t="shared" si="16"/>
        <v>-</v>
      </c>
      <c r="JX37" s="2" t="str">
        <f t="shared" si="16"/>
        <v>정윤준</v>
      </c>
      <c r="JY37" s="2" t="str">
        <f t="shared" si="16"/>
        <v>-</v>
      </c>
      <c r="JZ37" s="2" t="str">
        <f t="shared" si="16"/>
        <v>허지웅</v>
      </c>
      <c r="KA37" s="2" t="str">
        <f t="shared" si="16"/>
        <v>허지웅</v>
      </c>
      <c r="KB37" s="2" t="str">
        <f t="shared" si="16"/>
        <v>-</v>
      </c>
      <c r="KC37" s="2" t="str">
        <f t="shared" si="16"/>
        <v>박성현</v>
      </c>
      <c r="KD37" s="2" t="str">
        <f t="shared" si="16"/>
        <v>박성현</v>
      </c>
      <c r="KE37" s="2" t="str">
        <f t="shared" si="16"/>
        <v>-</v>
      </c>
      <c r="KF37" s="2" t="str">
        <f t="shared" si="16"/>
        <v>-</v>
      </c>
      <c r="KG37" s="2" t="str">
        <f t="shared" si="16"/>
        <v>이기수</v>
      </c>
      <c r="KH37" s="2" t="str">
        <f t="shared" si="16"/>
        <v>-</v>
      </c>
      <c r="KI37" s="2" t="str">
        <f t="shared" si="16"/>
        <v>이기수</v>
      </c>
      <c r="KJ37" s="2" t="str">
        <f t="shared" si="16"/>
        <v>정윤준</v>
      </c>
      <c r="KK37" s="2" t="str">
        <f t="shared" si="16"/>
        <v>-</v>
      </c>
      <c r="KL37" s="2" t="str">
        <f t="shared" si="16"/>
        <v>-</v>
      </c>
      <c r="KM37" s="2" t="str">
        <f t="shared" si="16"/>
        <v>허지웅</v>
      </c>
      <c r="KN37" s="2" t="str">
        <f t="shared" si="16"/>
        <v>-</v>
      </c>
      <c r="KO37" s="2" t="str">
        <f t="shared" si="16"/>
        <v>정윤준</v>
      </c>
      <c r="KP37" s="2" t="str">
        <f t="shared" si="16"/>
        <v>박성현</v>
      </c>
      <c r="KQ37" s="2" t="str">
        <f t="shared" si="16"/>
        <v>-</v>
      </c>
      <c r="KR37" s="2" t="str">
        <f t="shared" si="16"/>
        <v>허지웅</v>
      </c>
      <c r="KS37" s="2" t="str">
        <f t="shared" si="16"/>
        <v>이기수</v>
      </c>
      <c r="KT37" s="2" t="str">
        <f t="shared" si="16"/>
        <v>-</v>
      </c>
      <c r="KU37" s="2" t="str">
        <f t="shared" si="16"/>
        <v>박성현</v>
      </c>
      <c r="KV37" s="2" t="str">
        <f t="shared" si="16"/>
        <v>정윤준</v>
      </c>
      <c r="KW37" s="2" t="str">
        <f t="shared" si="16"/>
        <v>-</v>
      </c>
      <c r="KX37" s="2" t="str">
        <f t="shared" si="16"/>
        <v>이기수</v>
      </c>
      <c r="KY37" s="2" t="str">
        <f t="shared" si="16"/>
        <v>허지웅</v>
      </c>
      <c r="KZ37" s="2" t="str">
        <f t="shared" si="16"/>
        <v>-</v>
      </c>
      <c r="LA37" s="2" t="str">
        <f t="shared" si="16"/>
        <v>-</v>
      </c>
      <c r="LB37" s="2" t="str">
        <f t="shared" si="16"/>
        <v>박성현</v>
      </c>
      <c r="LC37" s="2" t="str">
        <f t="shared" si="16"/>
        <v>-</v>
      </c>
      <c r="LD37" s="2" t="str">
        <f t="shared" si="16"/>
        <v>정윤준</v>
      </c>
      <c r="LE37" s="2" t="str">
        <f t="shared" si="16"/>
        <v>이기수</v>
      </c>
      <c r="LF37" s="2" t="str">
        <f t="shared" si="16"/>
        <v>-</v>
      </c>
      <c r="LG37" s="2" t="str">
        <f t="shared" si="16"/>
        <v>-</v>
      </c>
      <c r="LH37" s="2" t="str">
        <f t="shared" si="16"/>
        <v>정윤준</v>
      </c>
      <c r="LI37" s="2" t="str">
        <f t="shared" si="16"/>
        <v>-</v>
      </c>
      <c r="LJ37" s="2" t="str">
        <f t="shared" si="16"/>
        <v>허지웅</v>
      </c>
      <c r="LK37" s="2" t="str">
        <f t="shared" si="17"/>
        <v>허지웅</v>
      </c>
      <c r="LL37" s="2" t="str">
        <f t="shared" si="17"/>
        <v>-</v>
      </c>
      <c r="LM37" s="2" t="str">
        <f t="shared" si="17"/>
        <v>박성현</v>
      </c>
      <c r="LN37" s="2" t="str">
        <f t="shared" si="17"/>
        <v>박성현</v>
      </c>
      <c r="LO37" s="2" t="str">
        <f t="shared" si="17"/>
        <v>-</v>
      </c>
      <c r="LP37" s="2" t="str">
        <f t="shared" si="17"/>
        <v>이기수</v>
      </c>
      <c r="LQ37" s="2" t="str">
        <f t="shared" si="17"/>
        <v>이기수</v>
      </c>
      <c r="LR37" s="2" t="str">
        <f t="shared" si="17"/>
        <v>-</v>
      </c>
      <c r="LS37" s="2" t="str">
        <f t="shared" si="17"/>
        <v>정윤준</v>
      </c>
      <c r="LT37" s="2" t="str">
        <f t="shared" si="17"/>
        <v>정윤준</v>
      </c>
      <c r="LU37" s="2" t="str">
        <f t="shared" si="17"/>
        <v>-</v>
      </c>
      <c r="LV37" s="2" t="str">
        <f t="shared" si="17"/>
        <v>-</v>
      </c>
      <c r="LW37" s="2" t="str">
        <f t="shared" si="17"/>
        <v>허지웅</v>
      </c>
      <c r="LX37" s="2" t="str">
        <f t="shared" si="17"/>
        <v>-</v>
      </c>
      <c r="LY37" s="2" t="str">
        <f t="shared" si="17"/>
        <v>허지웅</v>
      </c>
      <c r="LZ37" s="2" t="str">
        <f t="shared" si="17"/>
        <v>박성현</v>
      </c>
      <c r="MA37" s="2" t="str">
        <f t="shared" si="17"/>
        <v>-</v>
      </c>
      <c r="MB37" s="2" t="str">
        <f t="shared" si="17"/>
        <v>-</v>
      </c>
      <c r="MC37" s="2" t="str">
        <f t="shared" si="17"/>
        <v>이기수</v>
      </c>
      <c r="MD37" s="2" t="str">
        <f t="shared" si="17"/>
        <v>-</v>
      </c>
      <c r="ME37" s="2" t="str">
        <f t="shared" si="17"/>
        <v>박성현</v>
      </c>
      <c r="MF37" s="2" t="str">
        <f t="shared" si="17"/>
        <v>정윤준</v>
      </c>
      <c r="MG37" s="2" t="str">
        <f t="shared" si="17"/>
        <v>-</v>
      </c>
      <c r="MH37" s="2" t="str">
        <f t="shared" si="17"/>
        <v>이기수</v>
      </c>
      <c r="MI37" s="2" t="str">
        <f t="shared" si="17"/>
        <v>허지웅</v>
      </c>
      <c r="MJ37" s="2" t="str">
        <f t="shared" si="17"/>
        <v>-</v>
      </c>
      <c r="MK37" s="2" t="str">
        <f t="shared" si="17"/>
        <v>정윤준</v>
      </c>
      <c r="ML37" s="2" t="str">
        <f t="shared" si="17"/>
        <v>박성현</v>
      </c>
      <c r="MM37" s="2" t="str">
        <f t="shared" si="17"/>
        <v>-</v>
      </c>
      <c r="MN37" s="2" t="str">
        <f t="shared" si="17"/>
        <v>허지웅</v>
      </c>
      <c r="MO37" s="2" t="str">
        <f t="shared" si="17"/>
        <v>이기수</v>
      </c>
      <c r="MP37" s="2" t="str">
        <f t="shared" si="17"/>
        <v>-</v>
      </c>
      <c r="MQ37" s="2" t="str">
        <f t="shared" si="17"/>
        <v>-</v>
      </c>
      <c r="MR37" s="2" t="str">
        <f t="shared" si="17"/>
        <v>정윤준</v>
      </c>
      <c r="MS37" s="2" t="str">
        <f t="shared" si="17"/>
        <v>-</v>
      </c>
      <c r="MT37" s="2" t="str">
        <f t="shared" si="17"/>
        <v>박성현</v>
      </c>
      <c r="MU37" s="2" t="str">
        <f t="shared" si="17"/>
        <v>허지웅</v>
      </c>
      <c r="MV37" s="2" t="str">
        <f t="shared" si="17"/>
        <v>-</v>
      </c>
      <c r="MW37" s="2" t="str">
        <f t="shared" si="17"/>
        <v>-</v>
      </c>
      <c r="MX37" s="2" t="str">
        <f t="shared" si="17"/>
        <v>박성현</v>
      </c>
      <c r="MY37" s="2" t="str">
        <f t="shared" si="17"/>
        <v>-</v>
      </c>
      <c r="MZ37" s="2" t="str">
        <f t="shared" si="17"/>
        <v>이기수</v>
      </c>
      <c r="NA37" s="2" t="str">
        <f t="shared" si="17"/>
        <v>이기수</v>
      </c>
      <c r="NB37" s="2" t="str">
        <f t="shared" si="17"/>
        <v>-</v>
      </c>
      <c r="NC37" s="2" t="str">
        <f t="shared" si="17"/>
        <v>정윤준</v>
      </c>
      <c r="ND37" s="2" t="e">
        <f t="shared" si="17"/>
        <v>#N/A</v>
      </c>
    </row>
  </sheetData>
  <phoneticPr fontId="1" type="noConversion"/>
  <conditionalFormatting sqref="A1:XFD36 B37:ND37">
    <cfRule type="expression" dxfId="334" priority="6">
      <formula>A$8="휴무"</formula>
    </cfRule>
    <cfRule type="expression" dxfId="333" priority="7">
      <formula>A$8="야간"</formula>
    </cfRule>
    <cfRule type="expression" dxfId="332" priority="8">
      <formula>A$8="비번"</formula>
    </cfRule>
    <cfRule type="expression" dxfId="331" priority="9">
      <formula>A$8="주간"</formula>
    </cfRule>
    <cfRule type="expression" dxfId="330" priority="10">
      <formula>A$8="당직"</formula>
    </cfRule>
  </conditionalFormatting>
  <conditionalFormatting sqref="A37">
    <cfRule type="expression" dxfId="329" priority="1">
      <formula>A$8="휴무"</formula>
    </cfRule>
    <cfRule type="expression" dxfId="328" priority="2">
      <formula>A$8="야간"</formula>
    </cfRule>
    <cfRule type="expression" dxfId="327" priority="3">
      <formula>A$8="비번"</formula>
    </cfRule>
    <cfRule type="expression" dxfId="326" priority="4">
      <formula>A$8="주간"</formula>
    </cfRule>
    <cfRule type="expression" dxfId="325" priority="5">
      <formula>A$8="당직"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C8"/>
  <sheetViews>
    <sheetView workbookViewId="0">
      <selection activeCell="B1" sqref="B1:E8"/>
    </sheetView>
  </sheetViews>
  <sheetFormatPr defaultColWidth="9.75" defaultRowHeight="17.45"/>
  <cols>
    <col min="1" max="16384" width="9.75" style="2"/>
  </cols>
  <sheetData>
    <row r="1" spans="1:367" s="35" customFormat="1" ht="18.600000000000001" thickTop="1" thickBot="1">
      <c r="A1" s="33" t="str">
        <f t="array" ref="A1:NC1">TRANSPOSE('cal1'!B2:B368)</f>
        <v>날   짜</v>
      </c>
      <c r="B1" s="34">
        <v>46023</v>
      </c>
      <c r="C1" s="34">
        <v>46024</v>
      </c>
      <c r="D1" s="34">
        <v>46025</v>
      </c>
      <c r="E1" s="34">
        <v>46026</v>
      </c>
      <c r="F1" s="34">
        <v>46027</v>
      </c>
      <c r="G1" s="34">
        <v>46028</v>
      </c>
      <c r="H1" s="34">
        <v>46029</v>
      </c>
      <c r="I1" s="34">
        <v>46030</v>
      </c>
      <c r="J1" s="34">
        <v>46031</v>
      </c>
      <c r="K1" s="34">
        <v>46032</v>
      </c>
      <c r="L1" s="34">
        <v>46033</v>
      </c>
      <c r="M1" s="34">
        <v>46034</v>
      </c>
      <c r="N1" s="34">
        <v>46035</v>
      </c>
      <c r="O1" s="34">
        <v>46036</v>
      </c>
      <c r="P1" s="34">
        <v>46037</v>
      </c>
      <c r="Q1" s="34">
        <v>46038</v>
      </c>
      <c r="R1" s="34">
        <v>46039</v>
      </c>
      <c r="S1" s="34">
        <v>46040</v>
      </c>
      <c r="T1" s="34">
        <v>46041</v>
      </c>
      <c r="U1" s="34">
        <v>46042</v>
      </c>
      <c r="V1" s="34">
        <v>46043</v>
      </c>
      <c r="W1" s="34">
        <v>46044</v>
      </c>
      <c r="X1" s="34">
        <v>46045</v>
      </c>
      <c r="Y1" s="34">
        <v>46046</v>
      </c>
      <c r="Z1" s="34">
        <v>46047</v>
      </c>
      <c r="AA1" s="34">
        <v>46048</v>
      </c>
      <c r="AB1" s="34">
        <v>46049</v>
      </c>
      <c r="AC1" s="34">
        <v>46050</v>
      </c>
      <c r="AD1" s="34">
        <v>46051</v>
      </c>
      <c r="AE1" s="34">
        <v>46052</v>
      </c>
      <c r="AF1" s="34">
        <v>46053</v>
      </c>
      <c r="AG1" s="34">
        <v>46054</v>
      </c>
      <c r="AH1" s="34">
        <v>46055</v>
      </c>
      <c r="AI1" s="34">
        <v>46056</v>
      </c>
      <c r="AJ1" s="34">
        <v>46057</v>
      </c>
      <c r="AK1" s="34">
        <v>46058</v>
      </c>
      <c r="AL1" s="34">
        <v>46059</v>
      </c>
      <c r="AM1" s="34">
        <v>46060</v>
      </c>
      <c r="AN1" s="34">
        <v>46061</v>
      </c>
      <c r="AO1" s="34">
        <v>46062</v>
      </c>
      <c r="AP1" s="34">
        <v>46063</v>
      </c>
      <c r="AQ1" s="34">
        <v>46064</v>
      </c>
      <c r="AR1" s="34">
        <v>46065</v>
      </c>
      <c r="AS1" s="34">
        <v>46066</v>
      </c>
      <c r="AT1" s="34">
        <v>46067</v>
      </c>
      <c r="AU1" s="34">
        <v>46068</v>
      </c>
      <c r="AV1" s="34">
        <v>46069</v>
      </c>
      <c r="AW1" s="34">
        <v>46070</v>
      </c>
      <c r="AX1" s="34">
        <v>46071</v>
      </c>
      <c r="AY1" s="34">
        <v>46072</v>
      </c>
      <c r="AZ1" s="34">
        <v>46073</v>
      </c>
      <c r="BA1" s="34">
        <v>46074</v>
      </c>
      <c r="BB1" s="34">
        <v>46075</v>
      </c>
      <c r="BC1" s="34">
        <v>46076</v>
      </c>
      <c r="BD1" s="34">
        <v>46077</v>
      </c>
      <c r="BE1" s="34">
        <v>46078</v>
      </c>
      <c r="BF1" s="34">
        <v>46079</v>
      </c>
      <c r="BG1" s="34">
        <v>46080</v>
      </c>
      <c r="BH1" s="34">
        <v>46081</v>
      </c>
      <c r="BI1" s="34">
        <v>46082</v>
      </c>
      <c r="BJ1" s="34">
        <v>46083</v>
      </c>
      <c r="BK1" s="34">
        <v>46084</v>
      </c>
      <c r="BL1" s="34">
        <v>46085</v>
      </c>
      <c r="BM1" s="34">
        <v>46086</v>
      </c>
      <c r="BN1" s="34">
        <v>46087</v>
      </c>
      <c r="BO1" s="34">
        <v>46088</v>
      </c>
      <c r="BP1" s="34">
        <v>46089</v>
      </c>
      <c r="BQ1" s="34">
        <v>46090</v>
      </c>
      <c r="BR1" s="34">
        <v>46091</v>
      </c>
      <c r="BS1" s="34">
        <v>46092</v>
      </c>
      <c r="BT1" s="34">
        <v>46093</v>
      </c>
      <c r="BU1" s="34">
        <v>46094</v>
      </c>
      <c r="BV1" s="34">
        <v>46095</v>
      </c>
      <c r="BW1" s="34">
        <v>46096</v>
      </c>
      <c r="BX1" s="34">
        <v>46097</v>
      </c>
      <c r="BY1" s="34">
        <v>46098</v>
      </c>
      <c r="BZ1" s="34">
        <v>46099</v>
      </c>
      <c r="CA1" s="34">
        <v>46100</v>
      </c>
      <c r="CB1" s="34">
        <v>46101</v>
      </c>
      <c r="CC1" s="34">
        <v>46102</v>
      </c>
      <c r="CD1" s="34">
        <v>46103</v>
      </c>
      <c r="CE1" s="34">
        <v>46104</v>
      </c>
      <c r="CF1" s="34">
        <v>46105</v>
      </c>
      <c r="CG1" s="34">
        <v>46106</v>
      </c>
      <c r="CH1" s="34">
        <v>46107</v>
      </c>
      <c r="CI1" s="34">
        <v>46108</v>
      </c>
      <c r="CJ1" s="34">
        <v>46109</v>
      </c>
      <c r="CK1" s="34">
        <v>46110</v>
      </c>
      <c r="CL1" s="34">
        <v>46111</v>
      </c>
      <c r="CM1" s="34">
        <v>46112</v>
      </c>
      <c r="CN1" s="34">
        <v>46113</v>
      </c>
      <c r="CO1" s="34">
        <v>46114</v>
      </c>
      <c r="CP1" s="34">
        <v>46115</v>
      </c>
      <c r="CQ1" s="34">
        <v>46116</v>
      </c>
      <c r="CR1" s="34">
        <v>46117</v>
      </c>
      <c r="CS1" s="34">
        <v>46118</v>
      </c>
      <c r="CT1" s="34">
        <v>46119</v>
      </c>
      <c r="CU1" s="34">
        <v>46120</v>
      </c>
      <c r="CV1" s="34">
        <v>46121</v>
      </c>
      <c r="CW1" s="34">
        <v>46122</v>
      </c>
      <c r="CX1" s="34">
        <v>46123</v>
      </c>
      <c r="CY1" s="34">
        <v>46124</v>
      </c>
      <c r="CZ1" s="34">
        <v>46125</v>
      </c>
      <c r="DA1" s="34">
        <v>46126</v>
      </c>
      <c r="DB1" s="34">
        <v>46127</v>
      </c>
      <c r="DC1" s="34">
        <v>46128</v>
      </c>
      <c r="DD1" s="34">
        <v>46129</v>
      </c>
      <c r="DE1" s="34">
        <v>46130</v>
      </c>
      <c r="DF1" s="34">
        <v>46131</v>
      </c>
      <c r="DG1" s="34">
        <v>46132</v>
      </c>
      <c r="DH1" s="34">
        <v>46133</v>
      </c>
      <c r="DI1" s="34">
        <v>46134</v>
      </c>
      <c r="DJ1" s="34">
        <v>46135</v>
      </c>
      <c r="DK1" s="34">
        <v>46136</v>
      </c>
      <c r="DL1" s="34">
        <v>46137</v>
      </c>
      <c r="DM1" s="34">
        <v>46138</v>
      </c>
      <c r="DN1" s="34">
        <v>46139</v>
      </c>
      <c r="DO1" s="34">
        <v>46140</v>
      </c>
      <c r="DP1" s="34">
        <v>46141</v>
      </c>
      <c r="DQ1" s="34">
        <v>46142</v>
      </c>
      <c r="DR1" s="34">
        <v>46143</v>
      </c>
      <c r="DS1" s="34">
        <v>46144</v>
      </c>
      <c r="DT1" s="34">
        <v>46145</v>
      </c>
      <c r="DU1" s="34">
        <v>46146</v>
      </c>
      <c r="DV1" s="34">
        <v>46147</v>
      </c>
      <c r="DW1" s="34">
        <v>46148</v>
      </c>
      <c r="DX1" s="34">
        <v>46149</v>
      </c>
      <c r="DY1" s="34">
        <v>46150</v>
      </c>
      <c r="DZ1" s="34">
        <v>46151</v>
      </c>
      <c r="EA1" s="34">
        <v>46152</v>
      </c>
      <c r="EB1" s="34">
        <v>46153</v>
      </c>
      <c r="EC1" s="34">
        <v>46154</v>
      </c>
      <c r="ED1" s="34">
        <v>46155</v>
      </c>
      <c r="EE1" s="34">
        <v>46156</v>
      </c>
      <c r="EF1" s="34">
        <v>46157</v>
      </c>
      <c r="EG1" s="34">
        <v>46158</v>
      </c>
      <c r="EH1" s="34">
        <v>46159</v>
      </c>
      <c r="EI1" s="34">
        <v>46160</v>
      </c>
      <c r="EJ1" s="34">
        <v>46161</v>
      </c>
      <c r="EK1" s="34">
        <v>46162</v>
      </c>
      <c r="EL1" s="34">
        <v>46163</v>
      </c>
      <c r="EM1" s="34">
        <v>46164</v>
      </c>
      <c r="EN1" s="34">
        <v>46165</v>
      </c>
      <c r="EO1" s="34">
        <v>46166</v>
      </c>
      <c r="EP1" s="34">
        <v>46167</v>
      </c>
      <c r="EQ1" s="34">
        <v>46168</v>
      </c>
      <c r="ER1" s="34">
        <v>46169</v>
      </c>
      <c r="ES1" s="34">
        <v>46170</v>
      </c>
      <c r="ET1" s="34">
        <v>46171</v>
      </c>
      <c r="EU1" s="34">
        <v>46172</v>
      </c>
      <c r="EV1" s="34">
        <v>46173</v>
      </c>
      <c r="EW1" s="34">
        <v>46174</v>
      </c>
      <c r="EX1" s="34">
        <v>46175</v>
      </c>
      <c r="EY1" s="34">
        <v>46176</v>
      </c>
      <c r="EZ1" s="34">
        <v>46177</v>
      </c>
      <c r="FA1" s="34">
        <v>46178</v>
      </c>
      <c r="FB1" s="34">
        <v>46179</v>
      </c>
      <c r="FC1" s="34">
        <v>46180</v>
      </c>
      <c r="FD1" s="34">
        <v>46181</v>
      </c>
      <c r="FE1" s="34">
        <v>46182</v>
      </c>
      <c r="FF1" s="34">
        <v>46183</v>
      </c>
      <c r="FG1" s="34">
        <v>46184</v>
      </c>
      <c r="FH1" s="34">
        <v>46185</v>
      </c>
      <c r="FI1" s="34">
        <v>46186</v>
      </c>
      <c r="FJ1" s="34">
        <v>46187</v>
      </c>
      <c r="FK1" s="34">
        <v>46188</v>
      </c>
      <c r="FL1" s="34">
        <v>46189</v>
      </c>
      <c r="FM1" s="34">
        <v>46190</v>
      </c>
      <c r="FN1" s="34">
        <v>46191</v>
      </c>
      <c r="FO1" s="34">
        <v>46192</v>
      </c>
      <c r="FP1" s="34">
        <v>46193</v>
      </c>
      <c r="FQ1" s="34">
        <v>46194</v>
      </c>
      <c r="FR1" s="34">
        <v>46195</v>
      </c>
      <c r="FS1" s="34">
        <v>46196</v>
      </c>
      <c r="FT1" s="34">
        <v>46197</v>
      </c>
      <c r="FU1" s="34">
        <v>46198</v>
      </c>
      <c r="FV1" s="34">
        <v>46199</v>
      </c>
      <c r="FW1" s="34">
        <v>46200</v>
      </c>
      <c r="FX1" s="34">
        <v>46201</v>
      </c>
      <c r="FY1" s="34">
        <v>46202</v>
      </c>
      <c r="FZ1" s="34">
        <v>46203</v>
      </c>
      <c r="GA1" s="34">
        <v>46204</v>
      </c>
      <c r="GB1" s="34">
        <v>46205</v>
      </c>
      <c r="GC1" s="34">
        <v>46206</v>
      </c>
      <c r="GD1" s="34">
        <v>46207</v>
      </c>
      <c r="GE1" s="34">
        <v>46208</v>
      </c>
      <c r="GF1" s="34">
        <v>46209</v>
      </c>
      <c r="GG1" s="34">
        <v>46210</v>
      </c>
      <c r="GH1" s="34">
        <v>46211</v>
      </c>
      <c r="GI1" s="34">
        <v>46212</v>
      </c>
      <c r="GJ1" s="34">
        <v>46213</v>
      </c>
      <c r="GK1" s="34">
        <v>46214</v>
      </c>
      <c r="GL1" s="34">
        <v>46215</v>
      </c>
      <c r="GM1" s="34">
        <v>46216</v>
      </c>
      <c r="GN1" s="34">
        <v>46217</v>
      </c>
      <c r="GO1" s="34">
        <v>46218</v>
      </c>
      <c r="GP1" s="34">
        <v>46219</v>
      </c>
      <c r="GQ1" s="34">
        <v>46220</v>
      </c>
      <c r="GR1" s="34">
        <v>46221</v>
      </c>
      <c r="GS1" s="34">
        <v>46222</v>
      </c>
      <c r="GT1" s="34">
        <v>46223</v>
      </c>
      <c r="GU1" s="34">
        <v>46224</v>
      </c>
      <c r="GV1" s="34">
        <v>46225</v>
      </c>
      <c r="GW1" s="34">
        <v>46226</v>
      </c>
      <c r="GX1" s="34">
        <v>46227</v>
      </c>
      <c r="GY1" s="34">
        <v>46228</v>
      </c>
      <c r="GZ1" s="34">
        <v>46229</v>
      </c>
      <c r="HA1" s="34">
        <v>46230</v>
      </c>
      <c r="HB1" s="34">
        <v>46231</v>
      </c>
      <c r="HC1" s="34">
        <v>46232</v>
      </c>
      <c r="HD1" s="34">
        <v>46233</v>
      </c>
      <c r="HE1" s="34">
        <v>46234</v>
      </c>
      <c r="HF1" s="34">
        <v>46235</v>
      </c>
      <c r="HG1" s="34">
        <v>46236</v>
      </c>
      <c r="HH1" s="34">
        <v>46237</v>
      </c>
      <c r="HI1" s="34">
        <v>46238</v>
      </c>
      <c r="HJ1" s="34">
        <v>46239</v>
      </c>
      <c r="HK1" s="34">
        <v>46240</v>
      </c>
      <c r="HL1" s="34">
        <v>46241</v>
      </c>
      <c r="HM1" s="34">
        <v>46242</v>
      </c>
      <c r="HN1" s="34">
        <v>46243</v>
      </c>
      <c r="HO1" s="34">
        <v>46244</v>
      </c>
      <c r="HP1" s="34">
        <v>46245</v>
      </c>
      <c r="HQ1" s="34">
        <v>46246</v>
      </c>
      <c r="HR1" s="34">
        <v>46247</v>
      </c>
      <c r="HS1" s="34">
        <v>46248</v>
      </c>
      <c r="HT1" s="34">
        <v>46249</v>
      </c>
      <c r="HU1" s="34">
        <v>46250</v>
      </c>
      <c r="HV1" s="34">
        <v>46251</v>
      </c>
      <c r="HW1" s="34">
        <v>46252</v>
      </c>
      <c r="HX1" s="34">
        <v>46253</v>
      </c>
      <c r="HY1" s="34">
        <v>46254</v>
      </c>
      <c r="HZ1" s="34">
        <v>46255</v>
      </c>
      <c r="IA1" s="34">
        <v>46256</v>
      </c>
      <c r="IB1" s="34">
        <v>46257</v>
      </c>
      <c r="IC1" s="34">
        <v>46258</v>
      </c>
      <c r="ID1" s="34">
        <v>46259</v>
      </c>
      <c r="IE1" s="34">
        <v>46260</v>
      </c>
      <c r="IF1" s="34">
        <v>46261</v>
      </c>
      <c r="IG1" s="34">
        <v>46262</v>
      </c>
      <c r="IH1" s="34">
        <v>46263</v>
      </c>
      <c r="II1" s="34">
        <v>46264</v>
      </c>
      <c r="IJ1" s="34">
        <v>46265</v>
      </c>
      <c r="IK1" s="34">
        <v>46266</v>
      </c>
      <c r="IL1" s="34">
        <v>46267</v>
      </c>
      <c r="IM1" s="34">
        <v>46268</v>
      </c>
      <c r="IN1" s="34">
        <v>46269</v>
      </c>
      <c r="IO1" s="34">
        <v>46270</v>
      </c>
      <c r="IP1" s="34">
        <v>46271</v>
      </c>
      <c r="IQ1" s="34">
        <v>46272</v>
      </c>
      <c r="IR1" s="34">
        <v>46273</v>
      </c>
      <c r="IS1" s="34">
        <v>46274</v>
      </c>
      <c r="IT1" s="34">
        <v>46275</v>
      </c>
      <c r="IU1" s="34">
        <v>46276</v>
      </c>
      <c r="IV1" s="34">
        <v>46277</v>
      </c>
      <c r="IW1" s="34">
        <v>46278</v>
      </c>
      <c r="IX1" s="34">
        <v>46279</v>
      </c>
      <c r="IY1" s="34">
        <v>46280</v>
      </c>
      <c r="IZ1" s="34">
        <v>46281</v>
      </c>
      <c r="JA1" s="34">
        <v>46282</v>
      </c>
      <c r="JB1" s="34">
        <v>46283</v>
      </c>
      <c r="JC1" s="34">
        <v>46284</v>
      </c>
      <c r="JD1" s="34">
        <v>46285</v>
      </c>
      <c r="JE1" s="34">
        <v>46286</v>
      </c>
      <c r="JF1" s="34">
        <v>46287</v>
      </c>
      <c r="JG1" s="34">
        <v>46288</v>
      </c>
      <c r="JH1" s="34">
        <v>46289</v>
      </c>
      <c r="JI1" s="34">
        <v>46290</v>
      </c>
      <c r="JJ1" s="34">
        <v>46291</v>
      </c>
      <c r="JK1" s="34">
        <v>46292</v>
      </c>
      <c r="JL1" s="34">
        <v>46293</v>
      </c>
      <c r="JM1" s="34">
        <v>46294</v>
      </c>
      <c r="JN1" s="34">
        <v>46295</v>
      </c>
      <c r="JO1" s="34">
        <v>46296</v>
      </c>
      <c r="JP1" s="34">
        <v>46297</v>
      </c>
      <c r="JQ1" s="34">
        <v>46298</v>
      </c>
      <c r="JR1" s="34">
        <v>46299</v>
      </c>
      <c r="JS1" s="34">
        <v>46300</v>
      </c>
      <c r="JT1" s="34">
        <v>46301</v>
      </c>
      <c r="JU1" s="34">
        <v>46302</v>
      </c>
      <c r="JV1" s="34">
        <v>46303</v>
      </c>
      <c r="JW1" s="34">
        <v>46304</v>
      </c>
      <c r="JX1" s="34">
        <v>46305</v>
      </c>
      <c r="JY1" s="34">
        <v>46306</v>
      </c>
      <c r="JZ1" s="34">
        <v>46307</v>
      </c>
      <c r="KA1" s="34">
        <v>46308</v>
      </c>
      <c r="KB1" s="34">
        <v>46309</v>
      </c>
      <c r="KC1" s="34">
        <v>46310</v>
      </c>
      <c r="KD1" s="34">
        <v>46311</v>
      </c>
      <c r="KE1" s="34">
        <v>46312</v>
      </c>
      <c r="KF1" s="34">
        <v>46313</v>
      </c>
      <c r="KG1" s="34">
        <v>46314</v>
      </c>
      <c r="KH1" s="34">
        <v>46315</v>
      </c>
      <c r="KI1" s="34">
        <v>46316</v>
      </c>
      <c r="KJ1" s="34">
        <v>46317</v>
      </c>
      <c r="KK1" s="34">
        <v>46318</v>
      </c>
      <c r="KL1" s="34">
        <v>46319</v>
      </c>
      <c r="KM1" s="34">
        <v>46320</v>
      </c>
      <c r="KN1" s="34">
        <v>46321</v>
      </c>
      <c r="KO1" s="34">
        <v>46322</v>
      </c>
      <c r="KP1" s="34">
        <v>46323</v>
      </c>
      <c r="KQ1" s="34">
        <v>46324</v>
      </c>
      <c r="KR1" s="34">
        <v>46325</v>
      </c>
      <c r="KS1" s="34">
        <v>46326</v>
      </c>
      <c r="KT1" s="34">
        <v>46327</v>
      </c>
      <c r="KU1" s="34">
        <v>46328</v>
      </c>
      <c r="KV1" s="34">
        <v>46329</v>
      </c>
      <c r="KW1" s="34">
        <v>46330</v>
      </c>
      <c r="KX1" s="34">
        <v>46331</v>
      </c>
      <c r="KY1" s="34">
        <v>46332</v>
      </c>
      <c r="KZ1" s="34">
        <v>46333</v>
      </c>
      <c r="LA1" s="34">
        <v>46334</v>
      </c>
      <c r="LB1" s="34">
        <v>46335</v>
      </c>
      <c r="LC1" s="34">
        <v>46336</v>
      </c>
      <c r="LD1" s="34">
        <v>46337</v>
      </c>
      <c r="LE1" s="34">
        <v>46338</v>
      </c>
      <c r="LF1" s="34">
        <v>46339</v>
      </c>
      <c r="LG1" s="34">
        <v>46340</v>
      </c>
      <c r="LH1" s="34">
        <v>46341</v>
      </c>
      <c r="LI1" s="34">
        <v>46342</v>
      </c>
      <c r="LJ1" s="34">
        <v>46343</v>
      </c>
      <c r="LK1" s="34">
        <v>46344</v>
      </c>
      <c r="LL1" s="34">
        <v>46345</v>
      </c>
      <c r="LM1" s="34">
        <v>46346</v>
      </c>
      <c r="LN1" s="34">
        <v>46347</v>
      </c>
      <c r="LO1" s="34">
        <v>46348</v>
      </c>
      <c r="LP1" s="34">
        <v>46349</v>
      </c>
      <c r="LQ1" s="34">
        <v>46350</v>
      </c>
      <c r="LR1" s="34">
        <v>46351</v>
      </c>
      <c r="LS1" s="34">
        <v>46352</v>
      </c>
      <c r="LT1" s="34">
        <v>46353</v>
      </c>
      <c r="LU1" s="34">
        <v>46354</v>
      </c>
      <c r="LV1" s="34">
        <v>46355</v>
      </c>
      <c r="LW1" s="34">
        <v>46356</v>
      </c>
      <c r="LX1" s="34">
        <v>46357</v>
      </c>
      <c r="LY1" s="34">
        <v>46358</v>
      </c>
      <c r="LZ1" s="34">
        <v>46359</v>
      </c>
      <c r="MA1" s="34">
        <v>46360</v>
      </c>
      <c r="MB1" s="34">
        <v>46361</v>
      </c>
      <c r="MC1" s="34">
        <v>46362</v>
      </c>
      <c r="MD1" s="34">
        <v>46363</v>
      </c>
      <c r="ME1" s="34">
        <v>46364</v>
      </c>
      <c r="MF1" s="34">
        <v>46365</v>
      </c>
      <c r="MG1" s="34">
        <v>46366</v>
      </c>
      <c r="MH1" s="34">
        <v>46367</v>
      </c>
      <c r="MI1" s="34">
        <v>46368</v>
      </c>
      <c r="MJ1" s="34">
        <v>46369</v>
      </c>
      <c r="MK1" s="34">
        <v>46370</v>
      </c>
      <c r="ML1" s="34">
        <v>46371</v>
      </c>
      <c r="MM1" s="34">
        <v>46372</v>
      </c>
      <c r="MN1" s="34">
        <v>46373</v>
      </c>
      <c r="MO1" s="34">
        <v>46374</v>
      </c>
      <c r="MP1" s="34">
        <v>46375</v>
      </c>
      <c r="MQ1" s="34">
        <v>46376</v>
      </c>
      <c r="MR1" s="34">
        <v>46377</v>
      </c>
      <c r="MS1" s="34">
        <v>46378</v>
      </c>
      <c r="MT1" s="34">
        <v>46379</v>
      </c>
      <c r="MU1" s="34">
        <v>46380</v>
      </c>
      <c r="MV1" s="34">
        <v>46381</v>
      </c>
      <c r="MW1" s="34">
        <v>46382</v>
      </c>
      <c r="MX1" s="34">
        <v>46383</v>
      </c>
      <c r="MY1" s="34">
        <v>46384</v>
      </c>
      <c r="MZ1" s="34">
        <v>46385</v>
      </c>
      <c r="NA1" s="34">
        <v>46386</v>
      </c>
      <c r="NB1" s="34">
        <v>46387</v>
      </c>
      <c r="NC1" s="34">
        <v>46388</v>
      </c>
    </row>
    <row r="2" spans="1:367" s="38" customFormat="1" ht="18.600000000000001" thickTop="1" thickBot="1">
      <c r="A2" s="36" t="str">
        <f t="array" ref="A2:NC2">TRANSPOSE('cal1'!E2:E368)</f>
        <v>요   일</v>
      </c>
      <c r="B2" s="37">
        <v>5</v>
      </c>
      <c r="C2" s="37">
        <v>6</v>
      </c>
      <c r="D2" s="37">
        <v>7</v>
      </c>
      <c r="E2" s="37">
        <v>1</v>
      </c>
      <c r="F2" s="37">
        <v>2</v>
      </c>
      <c r="G2" s="37">
        <v>3</v>
      </c>
      <c r="H2" s="37">
        <v>4</v>
      </c>
      <c r="I2" s="37">
        <v>5</v>
      </c>
      <c r="J2" s="37">
        <v>6</v>
      </c>
      <c r="K2" s="37">
        <v>7</v>
      </c>
      <c r="L2" s="37">
        <v>1</v>
      </c>
      <c r="M2" s="37">
        <v>2</v>
      </c>
      <c r="N2" s="37">
        <v>3</v>
      </c>
      <c r="O2" s="37">
        <v>4</v>
      </c>
      <c r="P2" s="37">
        <v>5</v>
      </c>
      <c r="Q2" s="37">
        <v>6</v>
      </c>
      <c r="R2" s="37">
        <v>7</v>
      </c>
      <c r="S2" s="37">
        <v>1</v>
      </c>
      <c r="T2" s="37">
        <v>2</v>
      </c>
      <c r="U2" s="37">
        <v>3</v>
      </c>
      <c r="V2" s="37">
        <v>4</v>
      </c>
      <c r="W2" s="37">
        <v>5</v>
      </c>
      <c r="X2" s="37">
        <v>6</v>
      </c>
      <c r="Y2" s="37">
        <v>7</v>
      </c>
      <c r="Z2" s="37">
        <v>1</v>
      </c>
      <c r="AA2" s="37">
        <v>2</v>
      </c>
      <c r="AB2" s="37">
        <v>3</v>
      </c>
      <c r="AC2" s="37">
        <v>4</v>
      </c>
      <c r="AD2" s="37">
        <v>5</v>
      </c>
      <c r="AE2" s="37">
        <v>6</v>
      </c>
      <c r="AF2" s="37">
        <v>7</v>
      </c>
      <c r="AG2" s="37">
        <v>1</v>
      </c>
      <c r="AH2" s="37">
        <v>2</v>
      </c>
      <c r="AI2" s="37">
        <v>3</v>
      </c>
      <c r="AJ2" s="37">
        <v>4</v>
      </c>
      <c r="AK2" s="37">
        <v>5</v>
      </c>
      <c r="AL2" s="37">
        <v>6</v>
      </c>
      <c r="AM2" s="37">
        <v>7</v>
      </c>
      <c r="AN2" s="37">
        <v>1</v>
      </c>
      <c r="AO2" s="37">
        <v>2</v>
      </c>
      <c r="AP2" s="37">
        <v>3</v>
      </c>
      <c r="AQ2" s="37">
        <v>4</v>
      </c>
      <c r="AR2" s="37">
        <v>5</v>
      </c>
      <c r="AS2" s="37">
        <v>6</v>
      </c>
      <c r="AT2" s="37">
        <v>7</v>
      </c>
      <c r="AU2" s="37">
        <v>1</v>
      </c>
      <c r="AV2" s="37">
        <v>2</v>
      </c>
      <c r="AW2" s="37">
        <v>3</v>
      </c>
      <c r="AX2" s="37">
        <v>4</v>
      </c>
      <c r="AY2" s="37">
        <v>5</v>
      </c>
      <c r="AZ2" s="37">
        <v>6</v>
      </c>
      <c r="BA2" s="37">
        <v>7</v>
      </c>
      <c r="BB2" s="37">
        <v>1</v>
      </c>
      <c r="BC2" s="37">
        <v>2</v>
      </c>
      <c r="BD2" s="37">
        <v>3</v>
      </c>
      <c r="BE2" s="37">
        <v>4</v>
      </c>
      <c r="BF2" s="37">
        <v>5</v>
      </c>
      <c r="BG2" s="37">
        <v>6</v>
      </c>
      <c r="BH2" s="37">
        <v>7</v>
      </c>
      <c r="BI2" s="37">
        <v>1</v>
      </c>
      <c r="BJ2" s="37">
        <v>2</v>
      </c>
      <c r="BK2" s="37">
        <v>3</v>
      </c>
      <c r="BL2" s="37">
        <v>4</v>
      </c>
      <c r="BM2" s="37">
        <v>5</v>
      </c>
      <c r="BN2" s="37">
        <v>6</v>
      </c>
      <c r="BO2" s="37">
        <v>7</v>
      </c>
      <c r="BP2" s="37">
        <v>1</v>
      </c>
      <c r="BQ2" s="37">
        <v>2</v>
      </c>
      <c r="BR2" s="37">
        <v>3</v>
      </c>
      <c r="BS2" s="37">
        <v>4</v>
      </c>
      <c r="BT2" s="37">
        <v>5</v>
      </c>
      <c r="BU2" s="37">
        <v>6</v>
      </c>
      <c r="BV2" s="37">
        <v>7</v>
      </c>
      <c r="BW2" s="37">
        <v>1</v>
      </c>
      <c r="BX2" s="37">
        <v>2</v>
      </c>
      <c r="BY2" s="37">
        <v>3</v>
      </c>
      <c r="BZ2" s="37">
        <v>4</v>
      </c>
      <c r="CA2" s="37">
        <v>5</v>
      </c>
      <c r="CB2" s="37">
        <v>6</v>
      </c>
      <c r="CC2" s="37">
        <v>7</v>
      </c>
      <c r="CD2" s="37">
        <v>1</v>
      </c>
      <c r="CE2" s="37">
        <v>2</v>
      </c>
      <c r="CF2" s="37">
        <v>3</v>
      </c>
      <c r="CG2" s="37">
        <v>4</v>
      </c>
      <c r="CH2" s="37">
        <v>5</v>
      </c>
      <c r="CI2" s="37">
        <v>6</v>
      </c>
      <c r="CJ2" s="37">
        <v>7</v>
      </c>
      <c r="CK2" s="37">
        <v>1</v>
      </c>
      <c r="CL2" s="37">
        <v>2</v>
      </c>
      <c r="CM2" s="37">
        <v>3</v>
      </c>
      <c r="CN2" s="37">
        <v>4</v>
      </c>
      <c r="CO2" s="37">
        <v>5</v>
      </c>
      <c r="CP2" s="37">
        <v>6</v>
      </c>
      <c r="CQ2" s="37">
        <v>7</v>
      </c>
      <c r="CR2" s="37">
        <v>1</v>
      </c>
      <c r="CS2" s="37">
        <v>2</v>
      </c>
      <c r="CT2" s="37">
        <v>3</v>
      </c>
      <c r="CU2" s="37">
        <v>4</v>
      </c>
      <c r="CV2" s="37">
        <v>5</v>
      </c>
      <c r="CW2" s="37">
        <v>6</v>
      </c>
      <c r="CX2" s="37">
        <v>7</v>
      </c>
      <c r="CY2" s="37">
        <v>1</v>
      </c>
      <c r="CZ2" s="37">
        <v>2</v>
      </c>
      <c r="DA2" s="37">
        <v>3</v>
      </c>
      <c r="DB2" s="37">
        <v>4</v>
      </c>
      <c r="DC2" s="37">
        <v>5</v>
      </c>
      <c r="DD2" s="37">
        <v>6</v>
      </c>
      <c r="DE2" s="37">
        <v>7</v>
      </c>
      <c r="DF2" s="37">
        <v>1</v>
      </c>
      <c r="DG2" s="37">
        <v>2</v>
      </c>
      <c r="DH2" s="37">
        <v>3</v>
      </c>
      <c r="DI2" s="37">
        <v>4</v>
      </c>
      <c r="DJ2" s="37">
        <v>5</v>
      </c>
      <c r="DK2" s="37">
        <v>6</v>
      </c>
      <c r="DL2" s="37">
        <v>7</v>
      </c>
      <c r="DM2" s="37">
        <v>1</v>
      </c>
      <c r="DN2" s="37">
        <v>2</v>
      </c>
      <c r="DO2" s="37">
        <v>3</v>
      </c>
      <c r="DP2" s="37">
        <v>4</v>
      </c>
      <c r="DQ2" s="37">
        <v>5</v>
      </c>
      <c r="DR2" s="37">
        <v>6</v>
      </c>
      <c r="DS2" s="37">
        <v>7</v>
      </c>
      <c r="DT2" s="37">
        <v>1</v>
      </c>
      <c r="DU2" s="37">
        <v>2</v>
      </c>
      <c r="DV2" s="37">
        <v>3</v>
      </c>
      <c r="DW2" s="37">
        <v>4</v>
      </c>
      <c r="DX2" s="37">
        <v>5</v>
      </c>
      <c r="DY2" s="37">
        <v>6</v>
      </c>
      <c r="DZ2" s="37">
        <v>7</v>
      </c>
      <c r="EA2" s="37">
        <v>1</v>
      </c>
      <c r="EB2" s="37">
        <v>2</v>
      </c>
      <c r="EC2" s="37">
        <v>3</v>
      </c>
      <c r="ED2" s="37">
        <v>4</v>
      </c>
      <c r="EE2" s="37">
        <v>5</v>
      </c>
      <c r="EF2" s="37">
        <v>6</v>
      </c>
      <c r="EG2" s="37">
        <v>7</v>
      </c>
      <c r="EH2" s="37">
        <v>1</v>
      </c>
      <c r="EI2" s="37">
        <v>2</v>
      </c>
      <c r="EJ2" s="37">
        <v>3</v>
      </c>
      <c r="EK2" s="37">
        <v>4</v>
      </c>
      <c r="EL2" s="37">
        <v>5</v>
      </c>
      <c r="EM2" s="37">
        <v>6</v>
      </c>
      <c r="EN2" s="37">
        <v>7</v>
      </c>
      <c r="EO2" s="37">
        <v>1</v>
      </c>
      <c r="EP2" s="37">
        <v>2</v>
      </c>
      <c r="EQ2" s="37">
        <v>3</v>
      </c>
      <c r="ER2" s="37">
        <v>4</v>
      </c>
      <c r="ES2" s="37">
        <v>5</v>
      </c>
      <c r="ET2" s="37">
        <v>6</v>
      </c>
      <c r="EU2" s="37">
        <v>7</v>
      </c>
      <c r="EV2" s="37">
        <v>1</v>
      </c>
      <c r="EW2" s="37">
        <v>2</v>
      </c>
      <c r="EX2" s="37">
        <v>3</v>
      </c>
      <c r="EY2" s="37">
        <v>4</v>
      </c>
      <c r="EZ2" s="37">
        <v>5</v>
      </c>
      <c r="FA2" s="37">
        <v>6</v>
      </c>
      <c r="FB2" s="37">
        <v>7</v>
      </c>
      <c r="FC2" s="37">
        <v>1</v>
      </c>
      <c r="FD2" s="37">
        <v>2</v>
      </c>
      <c r="FE2" s="37">
        <v>3</v>
      </c>
      <c r="FF2" s="37">
        <v>4</v>
      </c>
      <c r="FG2" s="37">
        <v>5</v>
      </c>
      <c r="FH2" s="37">
        <v>6</v>
      </c>
      <c r="FI2" s="37">
        <v>7</v>
      </c>
      <c r="FJ2" s="37">
        <v>1</v>
      </c>
      <c r="FK2" s="37">
        <v>2</v>
      </c>
      <c r="FL2" s="37">
        <v>3</v>
      </c>
      <c r="FM2" s="37">
        <v>4</v>
      </c>
      <c r="FN2" s="37">
        <v>5</v>
      </c>
      <c r="FO2" s="37">
        <v>6</v>
      </c>
      <c r="FP2" s="37">
        <v>7</v>
      </c>
      <c r="FQ2" s="37">
        <v>1</v>
      </c>
      <c r="FR2" s="37">
        <v>2</v>
      </c>
      <c r="FS2" s="37">
        <v>3</v>
      </c>
      <c r="FT2" s="37">
        <v>4</v>
      </c>
      <c r="FU2" s="37">
        <v>5</v>
      </c>
      <c r="FV2" s="37">
        <v>6</v>
      </c>
      <c r="FW2" s="37">
        <v>7</v>
      </c>
      <c r="FX2" s="37">
        <v>1</v>
      </c>
      <c r="FY2" s="37">
        <v>2</v>
      </c>
      <c r="FZ2" s="37">
        <v>3</v>
      </c>
      <c r="GA2" s="37">
        <v>4</v>
      </c>
      <c r="GB2" s="37">
        <v>5</v>
      </c>
      <c r="GC2" s="37">
        <v>6</v>
      </c>
      <c r="GD2" s="37">
        <v>7</v>
      </c>
      <c r="GE2" s="37">
        <v>1</v>
      </c>
      <c r="GF2" s="37">
        <v>2</v>
      </c>
      <c r="GG2" s="37">
        <v>3</v>
      </c>
      <c r="GH2" s="37">
        <v>4</v>
      </c>
      <c r="GI2" s="37">
        <v>5</v>
      </c>
      <c r="GJ2" s="37">
        <v>6</v>
      </c>
      <c r="GK2" s="37">
        <v>7</v>
      </c>
      <c r="GL2" s="37">
        <v>1</v>
      </c>
      <c r="GM2" s="37">
        <v>2</v>
      </c>
      <c r="GN2" s="37">
        <v>3</v>
      </c>
      <c r="GO2" s="37">
        <v>4</v>
      </c>
      <c r="GP2" s="37">
        <v>5</v>
      </c>
      <c r="GQ2" s="37">
        <v>6</v>
      </c>
      <c r="GR2" s="37">
        <v>7</v>
      </c>
      <c r="GS2" s="37">
        <v>1</v>
      </c>
      <c r="GT2" s="37">
        <v>2</v>
      </c>
      <c r="GU2" s="37">
        <v>3</v>
      </c>
      <c r="GV2" s="37">
        <v>4</v>
      </c>
      <c r="GW2" s="37">
        <v>5</v>
      </c>
      <c r="GX2" s="37">
        <v>6</v>
      </c>
      <c r="GY2" s="37">
        <v>7</v>
      </c>
      <c r="GZ2" s="37">
        <v>1</v>
      </c>
      <c r="HA2" s="37">
        <v>2</v>
      </c>
      <c r="HB2" s="37">
        <v>3</v>
      </c>
      <c r="HC2" s="37">
        <v>4</v>
      </c>
      <c r="HD2" s="37">
        <v>5</v>
      </c>
      <c r="HE2" s="37">
        <v>6</v>
      </c>
      <c r="HF2" s="37">
        <v>7</v>
      </c>
      <c r="HG2" s="37">
        <v>1</v>
      </c>
      <c r="HH2" s="37">
        <v>2</v>
      </c>
      <c r="HI2" s="37">
        <v>3</v>
      </c>
      <c r="HJ2" s="37">
        <v>4</v>
      </c>
      <c r="HK2" s="37">
        <v>5</v>
      </c>
      <c r="HL2" s="37">
        <v>6</v>
      </c>
      <c r="HM2" s="37">
        <v>7</v>
      </c>
      <c r="HN2" s="37">
        <v>1</v>
      </c>
      <c r="HO2" s="37">
        <v>2</v>
      </c>
      <c r="HP2" s="37">
        <v>3</v>
      </c>
      <c r="HQ2" s="37">
        <v>4</v>
      </c>
      <c r="HR2" s="37">
        <v>5</v>
      </c>
      <c r="HS2" s="37">
        <v>6</v>
      </c>
      <c r="HT2" s="37">
        <v>7</v>
      </c>
      <c r="HU2" s="37">
        <v>1</v>
      </c>
      <c r="HV2" s="37">
        <v>2</v>
      </c>
      <c r="HW2" s="37">
        <v>3</v>
      </c>
      <c r="HX2" s="37">
        <v>4</v>
      </c>
      <c r="HY2" s="37">
        <v>5</v>
      </c>
      <c r="HZ2" s="37">
        <v>6</v>
      </c>
      <c r="IA2" s="37">
        <v>7</v>
      </c>
      <c r="IB2" s="37">
        <v>1</v>
      </c>
      <c r="IC2" s="37">
        <v>2</v>
      </c>
      <c r="ID2" s="37">
        <v>3</v>
      </c>
      <c r="IE2" s="37">
        <v>4</v>
      </c>
      <c r="IF2" s="37">
        <v>5</v>
      </c>
      <c r="IG2" s="37">
        <v>6</v>
      </c>
      <c r="IH2" s="37">
        <v>7</v>
      </c>
      <c r="II2" s="37">
        <v>1</v>
      </c>
      <c r="IJ2" s="37">
        <v>2</v>
      </c>
      <c r="IK2" s="37">
        <v>3</v>
      </c>
      <c r="IL2" s="37">
        <v>4</v>
      </c>
      <c r="IM2" s="37">
        <v>5</v>
      </c>
      <c r="IN2" s="37">
        <v>6</v>
      </c>
      <c r="IO2" s="37">
        <v>7</v>
      </c>
      <c r="IP2" s="37">
        <v>1</v>
      </c>
      <c r="IQ2" s="37">
        <v>2</v>
      </c>
      <c r="IR2" s="37">
        <v>3</v>
      </c>
      <c r="IS2" s="37">
        <v>4</v>
      </c>
      <c r="IT2" s="37">
        <v>5</v>
      </c>
      <c r="IU2" s="37">
        <v>6</v>
      </c>
      <c r="IV2" s="37">
        <v>7</v>
      </c>
      <c r="IW2" s="37">
        <v>1</v>
      </c>
      <c r="IX2" s="37">
        <v>2</v>
      </c>
      <c r="IY2" s="37">
        <v>3</v>
      </c>
      <c r="IZ2" s="37">
        <v>4</v>
      </c>
      <c r="JA2" s="37">
        <v>5</v>
      </c>
      <c r="JB2" s="37">
        <v>6</v>
      </c>
      <c r="JC2" s="37">
        <v>7</v>
      </c>
      <c r="JD2" s="37">
        <v>1</v>
      </c>
      <c r="JE2" s="37">
        <v>2</v>
      </c>
      <c r="JF2" s="37">
        <v>3</v>
      </c>
      <c r="JG2" s="37">
        <v>4</v>
      </c>
      <c r="JH2" s="37">
        <v>5</v>
      </c>
      <c r="JI2" s="37">
        <v>6</v>
      </c>
      <c r="JJ2" s="37">
        <v>7</v>
      </c>
      <c r="JK2" s="37">
        <v>1</v>
      </c>
      <c r="JL2" s="37">
        <v>2</v>
      </c>
      <c r="JM2" s="37">
        <v>3</v>
      </c>
      <c r="JN2" s="37">
        <v>4</v>
      </c>
      <c r="JO2" s="37">
        <v>5</v>
      </c>
      <c r="JP2" s="37">
        <v>6</v>
      </c>
      <c r="JQ2" s="37">
        <v>7</v>
      </c>
      <c r="JR2" s="37">
        <v>1</v>
      </c>
      <c r="JS2" s="37">
        <v>2</v>
      </c>
      <c r="JT2" s="37">
        <v>3</v>
      </c>
      <c r="JU2" s="37">
        <v>4</v>
      </c>
      <c r="JV2" s="37">
        <v>5</v>
      </c>
      <c r="JW2" s="37">
        <v>6</v>
      </c>
      <c r="JX2" s="37">
        <v>7</v>
      </c>
      <c r="JY2" s="37">
        <v>1</v>
      </c>
      <c r="JZ2" s="37">
        <v>2</v>
      </c>
      <c r="KA2" s="37">
        <v>3</v>
      </c>
      <c r="KB2" s="37">
        <v>4</v>
      </c>
      <c r="KC2" s="37">
        <v>5</v>
      </c>
      <c r="KD2" s="37">
        <v>6</v>
      </c>
      <c r="KE2" s="37">
        <v>7</v>
      </c>
      <c r="KF2" s="37">
        <v>1</v>
      </c>
      <c r="KG2" s="37">
        <v>2</v>
      </c>
      <c r="KH2" s="37">
        <v>3</v>
      </c>
      <c r="KI2" s="37">
        <v>4</v>
      </c>
      <c r="KJ2" s="37">
        <v>5</v>
      </c>
      <c r="KK2" s="37">
        <v>6</v>
      </c>
      <c r="KL2" s="37">
        <v>7</v>
      </c>
      <c r="KM2" s="37">
        <v>1</v>
      </c>
      <c r="KN2" s="37">
        <v>2</v>
      </c>
      <c r="KO2" s="37">
        <v>3</v>
      </c>
      <c r="KP2" s="37">
        <v>4</v>
      </c>
      <c r="KQ2" s="37">
        <v>5</v>
      </c>
      <c r="KR2" s="37">
        <v>6</v>
      </c>
      <c r="KS2" s="37">
        <v>7</v>
      </c>
      <c r="KT2" s="37">
        <v>1</v>
      </c>
      <c r="KU2" s="37">
        <v>2</v>
      </c>
      <c r="KV2" s="37">
        <v>3</v>
      </c>
      <c r="KW2" s="37">
        <v>4</v>
      </c>
      <c r="KX2" s="37">
        <v>5</v>
      </c>
      <c r="KY2" s="37">
        <v>6</v>
      </c>
      <c r="KZ2" s="37">
        <v>7</v>
      </c>
      <c r="LA2" s="37">
        <v>1</v>
      </c>
      <c r="LB2" s="37">
        <v>2</v>
      </c>
      <c r="LC2" s="37">
        <v>3</v>
      </c>
      <c r="LD2" s="37">
        <v>4</v>
      </c>
      <c r="LE2" s="37">
        <v>5</v>
      </c>
      <c r="LF2" s="37">
        <v>6</v>
      </c>
      <c r="LG2" s="37">
        <v>7</v>
      </c>
      <c r="LH2" s="37">
        <v>1</v>
      </c>
      <c r="LI2" s="37">
        <v>2</v>
      </c>
      <c r="LJ2" s="37">
        <v>3</v>
      </c>
      <c r="LK2" s="37">
        <v>4</v>
      </c>
      <c r="LL2" s="37">
        <v>5</v>
      </c>
      <c r="LM2" s="37">
        <v>6</v>
      </c>
      <c r="LN2" s="37">
        <v>7</v>
      </c>
      <c r="LO2" s="37">
        <v>1</v>
      </c>
      <c r="LP2" s="37">
        <v>2</v>
      </c>
      <c r="LQ2" s="37">
        <v>3</v>
      </c>
      <c r="LR2" s="37">
        <v>4</v>
      </c>
      <c r="LS2" s="37">
        <v>5</v>
      </c>
      <c r="LT2" s="37">
        <v>6</v>
      </c>
      <c r="LU2" s="37">
        <v>7</v>
      </c>
      <c r="LV2" s="37">
        <v>1</v>
      </c>
      <c r="LW2" s="37">
        <v>2</v>
      </c>
      <c r="LX2" s="37">
        <v>3</v>
      </c>
      <c r="LY2" s="37">
        <v>4</v>
      </c>
      <c r="LZ2" s="37">
        <v>5</v>
      </c>
      <c r="MA2" s="37">
        <v>6</v>
      </c>
      <c r="MB2" s="37">
        <v>7</v>
      </c>
      <c r="MC2" s="37">
        <v>1</v>
      </c>
      <c r="MD2" s="37">
        <v>2</v>
      </c>
      <c r="ME2" s="37">
        <v>3</v>
      </c>
      <c r="MF2" s="37">
        <v>4</v>
      </c>
      <c r="MG2" s="37">
        <v>5</v>
      </c>
      <c r="MH2" s="37">
        <v>6</v>
      </c>
      <c r="MI2" s="37">
        <v>7</v>
      </c>
      <c r="MJ2" s="37">
        <v>1</v>
      </c>
      <c r="MK2" s="37">
        <v>2</v>
      </c>
      <c r="ML2" s="37">
        <v>3</v>
      </c>
      <c r="MM2" s="37">
        <v>4</v>
      </c>
      <c r="MN2" s="37">
        <v>5</v>
      </c>
      <c r="MO2" s="37">
        <v>6</v>
      </c>
      <c r="MP2" s="37">
        <v>7</v>
      </c>
      <c r="MQ2" s="37">
        <v>1</v>
      </c>
      <c r="MR2" s="37">
        <v>2</v>
      </c>
      <c r="MS2" s="37">
        <v>3</v>
      </c>
      <c r="MT2" s="37">
        <v>4</v>
      </c>
      <c r="MU2" s="37">
        <v>5</v>
      </c>
      <c r="MV2" s="37">
        <v>6</v>
      </c>
      <c r="MW2" s="37">
        <v>7</v>
      </c>
      <c r="MX2" s="37">
        <v>1</v>
      </c>
      <c r="MY2" s="37">
        <v>2</v>
      </c>
      <c r="MZ2" s="37">
        <v>3</v>
      </c>
      <c r="NA2" s="37">
        <v>4</v>
      </c>
      <c r="NB2" s="37">
        <v>5</v>
      </c>
      <c r="NC2" s="37">
        <v>6</v>
      </c>
    </row>
    <row r="3" spans="1:367" s="40" customFormat="1" ht="18.600000000000001" thickTop="1" thickBot="1">
      <c r="A3" s="39" t="str">
        <f t="array" ref="A3:NC3">TRANSPOSE('cal1'!G2:G368)</f>
        <v>공휴일</v>
      </c>
      <c r="B3" s="39" t="str">
        <v>신정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 t="str">
        <v>설휴무</v>
      </c>
      <c r="AW3" s="39" t="str">
        <v>설날</v>
      </c>
      <c r="AX3" s="39" t="str">
        <v>설휴무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  <c r="BJ3" s="39" t="str">
        <v>삼일절(대체)</v>
      </c>
      <c r="BK3" s="39">
        <v>0</v>
      </c>
      <c r="BL3" s="39">
        <v>0</v>
      </c>
      <c r="BM3" s="39">
        <v>0</v>
      </c>
      <c r="BN3" s="39">
        <v>0</v>
      </c>
      <c r="BO3" s="39">
        <v>0</v>
      </c>
      <c r="BP3" s="39">
        <v>0</v>
      </c>
      <c r="BQ3" s="39">
        <v>0</v>
      </c>
      <c r="BR3" s="39">
        <v>0</v>
      </c>
      <c r="BS3" s="39">
        <v>0</v>
      </c>
      <c r="BT3" s="39">
        <v>0</v>
      </c>
      <c r="BU3" s="39">
        <v>0</v>
      </c>
      <c r="BV3" s="39">
        <v>0</v>
      </c>
      <c r="BW3" s="39">
        <v>0</v>
      </c>
      <c r="BX3" s="39">
        <v>0</v>
      </c>
      <c r="BY3" s="39">
        <v>0</v>
      </c>
      <c r="BZ3" s="39">
        <v>0</v>
      </c>
      <c r="CA3" s="39">
        <v>0</v>
      </c>
      <c r="CB3" s="39">
        <v>0</v>
      </c>
      <c r="CC3" s="39">
        <v>0</v>
      </c>
      <c r="CD3" s="39">
        <v>0</v>
      </c>
      <c r="CE3" s="39">
        <v>0</v>
      </c>
      <c r="CF3" s="39">
        <v>0</v>
      </c>
      <c r="CG3" s="39">
        <v>0</v>
      </c>
      <c r="CH3" s="39">
        <v>0</v>
      </c>
      <c r="CI3" s="39">
        <v>0</v>
      </c>
      <c r="CJ3" s="39">
        <v>0</v>
      </c>
      <c r="CK3" s="39">
        <v>0</v>
      </c>
      <c r="CL3" s="39">
        <v>0</v>
      </c>
      <c r="CM3" s="39">
        <v>0</v>
      </c>
      <c r="CN3" s="39">
        <v>0</v>
      </c>
      <c r="CO3" s="39">
        <v>0</v>
      </c>
      <c r="CP3" s="39">
        <v>0</v>
      </c>
      <c r="CQ3" s="39">
        <v>0</v>
      </c>
      <c r="CR3" s="39">
        <v>0</v>
      </c>
      <c r="CS3" s="39">
        <v>0</v>
      </c>
      <c r="CT3" s="39">
        <v>0</v>
      </c>
      <c r="CU3" s="39">
        <v>0</v>
      </c>
      <c r="CV3" s="39">
        <v>0</v>
      </c>
      <c r="CW3" s="39">
        <v>0</v>
      </c>
      <c r="CX3" s="39">
        <v>0</v>
      </c>
      <c r="CY3" s="39">
        <v>0</v>
      </c>
      <c r="CZ3" s="39">
        <v>0</v>
      </c>
      <c r="DA3" s="39">
        <v>0</v>
      </c>
      <c r="DB3" s="39">
        <v>0</v>
      </c>
      <c r="DC3" s="39">
        <v>0</v>
      </c>
      <c r="DD3" s="39">
        <v>0</v>
      </c>
      <c r="DE3" s="39">
        <v>0</v>
      </c>
      <c r="DF3" s="39">
        <v>0</v>
      </c>
      <c r="DG3" s="39">
        <v>0</v>
      </c>
      <c r="DH3" s="39">
        <v>0</v>
      </c>
      <c r="DI3" s="39">
        <v>0</v>
      </c>
      <c r="DJ3" s="39">
        <v>0</v>
      </c>
      <c r="DK3" s="39">
        <v>0</v>
      </c>
      <c r="DL3" s="39">
        <v>0</v>
      </c>
      <c r="DM3" s="39">
        <v>0</v>
      </c>
      <c r="DN3" s="39">
        <v>0</v>
      </c>
      <c r="DO3" s="39">
        <v>0</v>
      </c>
      <c r="DP3" s="39">
        <v>0</v>
      </c>
      <c r="DQ3" s="39">
        <v>0</v>
      </c>
      <c r="DR3" s="39" t="str">
        <v>노동절</v>
      </c>
      <c r="DS3" s="39">
        <v>0</v>
      </c>
      <c r="DT3" s="39">
        <v>0</v>
      </c>
      <c r="DU3" s="39">
        <v>0</v>
      </c>
      <c r="DV3" s="39" t="str">
        <v>어린이날</v>
      </c>
      <c r="DW3" s="39">
        <v>0</v>
      </c>
      <c r="DX3" s="39">
        <v>0</v>
      </c>
      <c r="DY3" s="39">
        <v>0</v>
      </c>
      <c r="DZ3" s="39">
        <v>0</v>
      </c>
      <c r="EA3" s="39">
        <v>0</v>
      </c>
      <c r="EB3" s="39">
        <v>0</v>
      </c>
      <c r="EC3" s="39">
        <v>0</v>
      </c>
      <c r="ED3" s="39">
        <v>0</v>
      </c>
      <c r="EE3" s="39">
        <v>0</v>
      </c>
      <c r="EF3" s="39">
        <v>0</v>
      </c>
      <c r="EG3" s="39">
        <v>0</v>
      </c>
      <c r="EH3" s="39">
        <v>0</v>
      </c>
      <c r="EI3" s="39">
        <v>0</v>
      </c>
      <c r="EJ3" s="39">
        <v>0</v>
      </c>
      <c r="EK3" s="39">
        <v>0</v>
      </c>
      <c r="EL3" s="39">
        <v>0</v>
      </c>
      <c r="EM3" s="39">
        <v>0</v>
      </c>
      <c r="EN3" s="39">
        <v>0</v>
      </c>
      <c r="EO3" s="39">
        <v>0</v>
      </c>
      <c r="EP3" s="39" t="str">
        <v>부처님오신날(대체)</v>
      </c>
      <c r="EQ3" s="39">
        <v>0</v>
      </c>
      <c r="ER3" s="39">
        <v>0</v>
      </c>
      <c r="ES3" s="39">
        <v>0</v>
      </c>
      <c r="ET3" s="39">
        <v>0</v>
      </c>
      <c r="EU3" s="39">
        <v>0</v>
      </c>
      <c r="EV3" s="39">
        <v>0</v>
      </c>
      <c r="EW3" s="39">
        <v>0</v>
      </c>
      <c r="EX3" s="39">
        <v>0</v>
      </c>
      <c r="EY3" s="39" t="str">
        <v>지방선거</v>
      </c>
      <c r="EZ3" s="39">
        <v>0</v>
      </c>
      <c r="FA3" s="39">
        <v>0</v>
      </c>
      <c r="FB3" s="39" t="str">
        <v>현충일</v>
      </c>
      <c r="FC3" s="39">
        <v>0</v>
      </c>
      <c r="FD3" s="39">
        <v>0</v>
      </c>
      <c r="FE3" s="39">
        <v>0</v>
      </c>
      <c r="FF3" s="39">
        <v>0</v>
      </c>
      <c r="FG3" s="39">
        <v>0</v>
      </c>
      <c r="FH3" s="39">
        <v>0</v>
      </c>
      <c r="FI3" s="39">
        <v>0</v>
      </c>
      <c r="FJ3" s="39">
        <v>0</v>
      </c>
      <c r="FK3" s="39">
        <v>0</v>
      </c>
      <c r="FL3" s="39">
        <v>0</v>
      </c>
      <c r="FM3" s="39">
        <v>0</v>
      </c>
      <c r="FN3" s="39">
        <v>0</v>
      </c>
      <c r="FO3" s="39">
        <v>0</v>
      </c>
      <c r="FP3" s="39">
        <v>0</v>
      </c>
      <c r="FQ3" s="39">
        <v>0</v>
      </c>
      <c r="FR3" s="39">
        <v>0</v>
      </c>
      <c r="FS3" s="39">
        <v>0</v>
      </c>
      <c r="FT3" s="39">
        <v>0</v>
      </c>
      <c r="FU3" s="39">
        <v>0</v>
      </c>
      <c r="FV3" s="39">
        <v>0</v>
      </c>
      <c r="FW3" s="39">
        <v>0</v>
      </c>
      <c r="FX3" s="39">
        <v>0</v>
      </c>
      <c r="FY3" s="39">
        <v>0</v>
      </c>
      <c r="FZ3" s="39">
        <v>0</v>
      </c>
      <c r="GA3" s="39">
        <v>0</v>
      </c>
      <c r="GB3" s="39">
        <v>0</v>
      </c>
      <c r="GC3" s="39">
        <v>0</v>
      </c>
      <c r="GD3" s="39">
        <v>0</v>
      </c>
      <c r="GE3" s="39">
        <v>0</v>
      </c>
      <c r="GF3" s="39">
        <v>0</v>
      </c>
      <c r="GG3" s="39">
        <v>0</v>
      </c>
      <c r="GH3" s="39">
        <v>0</v>
      </c>
      <c r="GI3" s="39">
        <v>0</v>
      </c>
      <c r="GJ3" s="39">
        <v>0</v>
      </c>
      <c r="GK3" s="39">
        <v>0</v>
      </c>
      <c r="GL3" s="39">
        <v>0</v>
      </c>
      <c r="GM3" s="39">
        <v>0</v>
      </c>
      <c r="GN3" s="39">
        <v>0</v>
      </c>
      <c r="GO3" s="39">
        <v>0</v>
      </c>
      <c r="GP3" s="39">
        <v>0</v>
      </c>
      <c r="GQ3" s="39" t="str">
        <v>제헌절</v>
      </c>
      <c r="GR3" s="39">
        <v>0</v>
      </c>
      <c r="GS3" s="39">
        <v>0</v>
      </c>
      <c r="GT3" s="39">
        <v>0</v>
      </c>
      <c r="GU3" s="39">
        <v>0</v>
      </c>
      <c r="GV3" s="39">
        <v>0</v>
      </c>
      <c r="GW3" s="39">
        <v>0</v>
      </c>
      <c r="GX3" s="39">
        <v>0</v>
      </c>
      <c r="GY3" s="39">
        <v>0</v>
      </c>
      <c r="GZ3" s="39">
        <v>0</v>
      </c>
      <c r="HA3" s="39">
        <v>0</v>
      </c>
      <c r="HB3" s="39">
        <v>0</v>
      </c>
      <c r="HC3" s="39">
        <v>0</v>
      </c>
      <c r="HD3" s="39">
        <v>0</v>
      </c>
      <c r="HE3" s="39">
        <v>0</v>
      </c>
      <c r="HF3" s="39">
        <v>0</v>
      </c>
      <c r="HG3" s="39">
        <v>0</v>
      </c>
      <c r="HH3" s="39">
        <v>0</v>
      </c>
      <c r="HI3" s="39">
        <v>0</v>
      </c>
      <c r="HJ3" s="39">
        <v>0</v>
      </c>
      <c r="HK3" s="39">
        <v>0</v>
      </c>
      <c r="HL3" s="39">
        <v>0</v>
      </c>
      <c r="HM3" s="39">
        <v>0</v>
      </c>
      <c r="HN3" s="39">
        <v>0</v>
      </c>
      <c r="HO3" s="39">
        <v>0</v>
      </c>
      <c r="HP3" s="39">
        <v>0</v>
      </c>
      <c r="HQ3" s="39">
        <v>0</v>
      </c>
      <c r="HR3" s="39">
        <v>0</v>
      </c>
      <c r="HS3" s="39">
        <v>0</v>
      </c>
      <c r="HT3" s="39" t="str">
        <v>광복절</v>
      </c>
      <c r="HU3" s="39">
        <v>0</v>
      </c>
      <c r="HV3" s="39" t="str">
        <v>광복절(대체)</v>
      </c>
      <c r="HW3" s="39">
        <v>0</v>
      </c>
      <c r="HX3" s="39">
        <v>0</v>
      </c>
      <c r="HY3" s="39">
        <v>0</v>
      </c>
      <c r="HZ3" s="39">
        <v>0</v>
      </c>
      <c r="IA3" s="39">
        <v>0</v>
      </c>
      <c r="IB3" s="39">
        <v>0</v>
      </c>
      <c r="IC3" s="39">
        <v>0</v>
      </c>
      <c r="ID3" s="39">
        <v>0</v>
      </c>
      <c r="IE3" s="39">
        <v>0</v>
      </c>
      <c r="IF3" s="39">
        <v>0</v>
      </c>
      <c r="IG3" s="39">
        <v>0</v>
      </c>
      <c r="IH3" s="39">
        <v>0</v>
      </c>
      <c r="II3" s="39">
        <v>0</v>
      </c>
      <c r="IJ3" s="39">
        <v>0</v>
      </c>
      <c r="IK3" s="39">
        <v>0</v>
      </c>
      <c r="IL3" s="39">
        <v>0</v>
      </c>
      <c r="IM3" s="39">
        <v>0</v>
      </c>
      <c r="IN3" s="39">
        <v>0</v>
      </c>
      <c r="IO3" s="39">
        <v>0</v>
      </c>
      <c r="IP3" s="39">
        <v>0</v>
      </c>
      <c r="IQ3" s="39">
        <v>0</v>
      </c>
      <c r="IR3" s="39">
        <v>0</v>
      </c>
      <c r="IS3" s="39">
        <v>0</v>
      </c>
      <c r="IT3" s="39">
        <v>0</v>
      </c>
      <c r="IU3" s="39">
        <v>0</v>
      </c>
      <c r="IV3" s="39">
        <v>0</v>
      </c>
      <c r="IW3" s="39">
        <v>0</v>
      </c>
      <c r="IX3" s="39">
        <v>0</v>
      </c>
      <c r="IY3" s="39">
        <v>0</v>
      </c>
      <c r="IZ3" s="39">
        <v>0</v>
      </c>
      <c r="JA3" s="39">
        <v>0</v>
      </c>
      <c r="JB3" s="39">
        <v>0</v>
      </c>
      <c r="JC3" s="39">
        <v>0</v>
      </c>
      <c r="JD3" s="39">
        <v>0</v>
      </c>
      <c r="JE3" s="39">
        <v>0</v>
      </c>
      <c r="JF3" s="39">
        <v>0</v>
      </c>
      <c r="JG3" s="39">
        <v>0</v>
      </c>
      <c r="JH3" s="39" t="str">
        <v>추석휴무</v>
      </c>
      <c r="JI3" s="39" t="str">
        <v>추석</v>
      </c>
      <c r="JJ3" s="39">
        <v>0</v>
      </c>
      <c r="JK3" s="39">
        <v>0</v>
      </c>
      <c r="JL3" s="39">
        <v>0</v>
      </c>
      <c r="JM3" s="39">
        <v>0</v>
      </c>
      <c r="JN3" s="39">
        <v>0</v>
      </c>
      <c r="JO3" s="39">
        <v>0</v>
      </c>
      <c r="JP3" s="39">
        <v>0</v>
      </c>
      <c r="JQ3" s="39" t="str">
        <v>개천절</v>
      </c>
      <c r="JR3" s="39">
        <v>0</v>
      </c>
      <c r="JS3" s="39" t="str">
        <v>개천절(대체)</v>
      </c>
      <c r="JT3" s="39">
        <v>0</v>
      </c>
      <c r="JU3" s="39">
        <v>0</v>
      </c>
      <c r="JV3" s="39">
        <v>0</v>
      </c>
      <c r="JW3" s="39" t="str">
        <v>한글날</v>
      </c>
      <c r="JX3" s="39">
        <v>0</v>
      </c>
      <c r="JY3" s="39">
        <v>0</v>
      </c>
      <c r="JZ3" s="39">
        <v>0</v>
      </c>
      <c r="KA3" s="39">
        <v>0</v>
      </c>
      <c r="KB3" s="39">
        <v>0</v>
      </c>
      <c r="KC3" s="39">
        <v>0</v>
      </c>
      <c r="KD3" s="39">
        <v>0</v>
      </c>
      <c r="KE3" s="39">
        <v>0</v>
      </c>
      <c r="KF3" s="39">
        <v>0</v>
      </c>
      <c r="KG3" s="39">
        <v>0</v>
      </c>
      <c r="KH3" s="39">
        <v>0</v>
      </c>
      <c r="KI3" s="39">
        <v>0</v>
      </c>
      <c r="KJ3" s="39">
        <v>0</v>
      </c>
      <c r="KK3" s="39">
        <v>0</v>
      </c>
      <c r="KL3" s="39">
        <v>0</v>
      </c>
      <c r="KM3" s="39">
        <v>0</v>
      </c>
      <c r="KN3" s="39">
        <v>0</v>
      </c>
      <c r="KO3" s="39">
        <v>0</v>
      </c>
      <c r="KP3" s="39">
        <v>0</v>
      </c>
      <c r="KQ3" s="39">
        <v>0</v>
      </c>
      <c r="KR3" s="39">
        <v>0</v>
      </c>
      <c r="KS3" s="39">
        <v>0</v>
      </c>
      <c r="KT3" s="39">
        <v>0</v>
      </c>
      <c r="KU3" s="39">
        <v>0</v>
      </c>
      <c r="KV3" s="39">
        <v>0</v>
      </c>
      <c r="KW3" s="39">
        <v>0</v>
      </c>
      <c r="KX3" s="39">
        <v>0</v>
      </c>
      <c r="KY3" s="39">
        <v>0</v>
      </c>
      <c r="KZ3" s="39">
        <v>0</v>
      </c>
      <c r="LA3" s="39">
        <v>0</v>
      </c>
      <c r="LB3" s="39">
        <v>0</v>
      </c>
      <c r="LC3" s="39">
        <v>0</v>
      </c>
      <c r="LD3" s="39">
        <v>0</v>
      </c>
      <c r="LE3" s="39">
        <v>0</v>
      </c>
      <c r="LF3" s="39">
        <v>0</v>
      </c>
      <c r="LG3" s="39">
        <v>0</v>
      </c>
      <c r="LH3" s="39">
        <v>0</v>
      </c>
      <c r="LI3" s="39">
        <v>0</v>
      </c>
      <c r="LJ3" s="39">
        <v>0</v>
      </c>
      <c r="LK3" s="39">
        <v>0</v>
      </c>
      <c r="LL3" s="39">
        <v>0</v>
      </c>
      <c r="LM3" s="39">
        <v>0</v>
      </c>
      <c r="LN3" s="39">
        <v>0</v>
      </c>
      <c r="LO3" s="39">
        <v>0</v>
      </c>
      <c r="LP3" s="39">
        <v>0</v>
      </c>
      <c r="LQ3" s="39">
        <v>0</v>
      </c>
      <c r="LR3" s="39">
        <v>0</v>
      </c>
      <c r="LS3" s="39">
        <v>0</v>
      </c>
      <c r="LT3" s="39">
        <v>0</v>
      </c>
      <c r="LU3" s="39">
        <v>0</v>
      </c>
      <c r="LV3" s="39">
        <v>0</v>
      </c>
      <c r="LW3" s="39">
        <v>0</v>
      </c>
      <c r="LX3" s="39">
        <v>0</v>
      </c>
      <c r="LY3" s="39">
        <v>0</v>
      </c>
      <c r="LZ3" s="39">
        <v>0</v>
      </c>
      <c r="MA3" s="39">
        <v>0</v>
      </c>
      <c r="MB3" s="39">
        <v>0</v>
      </c>
      <c r="MC3" s="39">
        <v>0</v>
      </c>
      <c r="MD3" s="39">
        <v>0</v>
      </c>
      <c r="ME3" s="39">
        <v>0</v>
      </c>
      <c r="MF3" s="39">
        <v>0</v>
      </c>
      <c r="MG3" s="39">
        <v>0</v>
      </c>
      <c r="MH3" s="39">
        <v>0</v>
      </c>
      <c r="MI3" s="39">
        <v>0</v>
      </c>
      <c r="MJ3" s="39">
        <v>0</v>
      </c>
      <c r="MK3" s="39">
        <v>0</v>
      </c>
      <c r="ML3" s="39">
        <v>0</v>
      </c>
      <c r="MM3" s="39">
        <v>0</v>
      </c>
      <c r="MN3" s="39">
        <v>0</v>
      </c>
      <c r="MO3" s="39">
        <v>0</v>
      </c>
      <c r="MP3" s="39">
        <v>0</v>
      </c>
      <c r="MQ3" s="39">
        <v>0</v>
      </c>
      <c r="MR3" s="39">
        <v>0</v>
      </c>
      <c r="MS3" s="39">
        <v>0</v>
      </c>
      <c r="MT3" s="39">
        <v>0</v>
      </c>
      <c r="MU3" s="39">
        <v>0</v>
      </c>
      <c r="MV3" s="39" t="str">
        <v>성탄절</v>
      </c>
      <c r="MW3" s="39">
        <v>0</v>
      </c>
      <c r="MX3" s="39">
        <v>0</v>
      </c>
      <c r="MY3" s="39">
        <v>0</v>
      </c>
      <c r="MZ3" s="39">
        <v>0</v>
      </c>
      <c r="NA3" s="39">
        <v>0</v>
      </c>
      <c r="NB3" s="39">
        <v>0</v>
      </c>
      <c r="NC3" s="39">
        <v>0</v>
      </c>
    </row>
    <row r="4" spans="1:367" s="42" customFormat="1" ht="18" thickBot="1">
      <c r="A4" s="41" t="str">
        <f t="array" ref="A4:NC4">TRANSPOSE('cal1'!I2:I368)</f>
        <v>근무
형태</v>
      </c>
      <c r="B4" s="41" t="str">
        <v>당직</v>
      </c>
      <c r="C4" s="41" t="str">
        <v>비번</v>
      </c>
      <c r="D4" s="41" t="str">
        <v>휴무</v>
      </c>
      <c r="E4" s="41" t="str">
        <v>당직</v>
      </c>
      <c r="F4" s="41" t="str">
        <v>비번</v>
      </c>
      <c r="G4" s="41" t="str">
        <v>주간</v>
      </c>
      <c r="H4" s="41" t="str">
        <v>야간</v>
      </c>
      <c r="I4" s="41" t="str">
        <v>비번</v>
      </c>
      <c r="J4" s="41" t="str">
        <v>주간</v>
      </c>
      <c r="K4" s="41" t="str">
        <v>당직</v>
      </c>
      <c r="L4" s="41" t="str">
        <v>비번</v>
      </c>
      <c r="M4" s="41" t="str">
        <v>주간</v>
      </c>
      <c r="N4" s="41" t="str">
        <v>야간</v>
      </c>
      <c r="O4" s="41" t="str">
        <v>비번</v>
      </c>
      <c r="P4" s="41" t="str">
        <v>주간</v>
      </c>
      <c r="Q4" s="41" t="str">
        <v>야간</v>
      </c>
      <c r="R4" s="41" t="str">
        <v>비번</v>
      </c>
      <c r="S4" s="41" t="str">
        <v>휴무</v>
      </c>
      <c r="T4" s="41" t="str">
        <v>야간</v>
      </c>
      <c r="U4" s="41" t="str">
        <v>비번</v>
      </c>
      <c r="V4" s="41" t="str">
        <v>주간</v>
      </c>
      <c r="W4" s="41" t="str">
        <v>야간</v>
      </c>
      <c r="X4" s="41" t="str">
        <v>비번</v>
      </c>
      <c r="Y4" s="41" t="str">
        <v>휴무</v>
      </c>
      <c r="Z4" s="41" t="str">
        <v>당직</v>
      </c>
      <c r="AA4" s="41" t="str">
        <v>비번</v>
      </c>
      <c r="AB4" s="41" t="str">
        <v>주간</v>
      </c>
      <c r="AC4" s="41" t="str">
        <v>야간</v>
      </c>
      <c r="AD4" s="41" t="str">
        <v>비번</v>
      </c>
      <c r="AE4" s="41" t="str">
        <v>주간</v>
      </c>
      <c r="AF4" s="41" t="str">
        <v>당직</v>
      </c>
      <c r="AG4" s="41" t="str">
        <v>비번</v>
      </c>
      <c r="AH4" s="41" t="str">
        <v>주간</v>
      </c>
      <c r="AI4" s="41" t="str">
        <v>야간</v>
      </c>
      <c r="AJ4" s="41" t="str">
        <v>비번</v>
      </c>
      <c r="AK4" s="41" t="str">
        <v>주간</v>
      </c>
      <c r="AL4" s="41" t="str">
        <v>야간</v>
      </c>
      <c r="AM4" s="41" t="str">
        <v>비번</v>
      </c>
      <c r="AN4" s="41" t="str">
        <v>휴무</v>
      </c>
      <c r="AO4" s="41" t="str">
        <v>야간</v>
      </c>
      <c r="AP4" s="41" t="str">
        <v>비번</v>
      </c>
      <c r="AQ4" s="41" t="str">
        <v>주간</v>
      </c>
      <c r="AR4" s="41" t="str">
        <v>야간</v>
      </c>
      <c r="AS4" s="41" t="str">
        <v>비번</v>
      </c>
      <c r="AT4" s="41" t="str">
        <v>휴무</v>
      </c>
      <c r="AU4" s="41" t="str">
        <v>당직</v>
      </c>
      <c r="AV4" s="41" t="str">
        <v>비번</v>
      </c>
      <c r="AW4" s="41" t="str">
        <v>휴무</v>
      </c>
      <c r="AX4" s="41" t="str">
        <v>당직</v>
      </c>
      <c r="AY4" s="41" t="str">
        <v>비번</v>
      </c>
      <c r="AZ4" s="41" t="str">
        <v>주간</v>
      </c>
      <c r="BA4" s="41" t="str">
        <v>당직</v>
      </c>
      <c r="BB4" s="41" t="str">
        <v>비번</v>
      </c>
      <c r="BC4" s="41" t="str">
        <v>주간</v>
      </c>
      <c r="BD4" s="41" t="str">
        <v>야간</v>
      </c>
      <c r="BE4" s="41" t="str">
        <v>비번</v>
      </c>
      <c r="BF4" s="41" t="str">
        <v>주간</v>
      </c>
      <c r="BG4" s="41" t="str">
        <v>야간</v>
      </c>
      <c r="BH4" s="41" t="str">
        <v>비번</v>
      </c>
      <c r="BI4" s="41" t="str">
        <v>휴무</v>
      </c>
      <c r="BJ4" s="41" t="str">
        <v>당직</v>
      </c>
      <c r="BK4" s="41" t="str">
        <v>비번</v>
      </c>
      <c r="BL4" s="41" t="str">
        <v>주간</v>
      </c>
      <c r="BM4" s="41" t="str">
        <v>야간</v>
      </c>
      <c r="BN4" s="41" t="str">
        <v>비번</v>
      </c>
      <c r="BO4" s="41" t="str">
        <v>휴무</v>
      </c>
      <c r="BP4" s="41" t="str">
        <v>당직</v>
      </c>
      <c r="BQ4" s="41" t="str">
        <v>비번</v>
      </c>
      <c r="BR4" s="41" t="str">
        <v>주간</v>
      </c>
      <c r="BS4" s="41" t="str">
        <v>야간</v>
      </c>
      <c r="BT4" s="41" t="str">
        <v>비번</v>
      </c>
      <c r="BU4" s="41" t="str">
        <v>주간</v>
      </c>
      <c r="BV4" s="41" t="str">
        <v>당직</v>
      </c>
      <c r="BW4" s="41" t="str">
        <v>비번</v>
      </c>
      <c r="BX4" s="41" t="str">
        <v>주간</v>
      </c>
      <c r="BY4" s="41" t="str">
        <v>야간</v>
      </c>
      <c r="BZ4" s="41" t="str">
        <v>비번</v>
      </c>
      <c r="CA4" s="41" t="str">
        <v>주간</v>
      </c>
      <c r="CB4" s="41" t="str">
        <v>야간</v>
      </c>
      <c r="CC4" s="41" t="str">
        <v>비번</v>
      </c>
      <c r="CD4" s="41" t="str">
        <v>휴무</v>
      </c>
      <c r="CE4" s="41" t="str">
        <v>야간</v>
      </c>
      <c r="CF4" s="41" t="str">
        <v>비번</v>
      </c>
      <c r="CG4" s="41" t="str">
        <v>주간</v>
      </c>
      <c r="CH4" s="41" t="str">
        <v>야간</v>
      </c>
      <c r="CI4" s="41" t="str">
        <v>비번</v>
      </c>
      <c r="CJ4" s="41" t="str">
        <v>휴무</v>
      </c>
      <c r="CK4" s="41" t="str">
        <v>당직</v>
      </c>
      <c r="CL4" s="41" t="str">
        <v>비번</v>
      </c>
      <c r="CM4" s="41" t="str">
        <v>주간</v>
      </c>
      <c r="CN4" s="41" t="str">
        <v>야간</v>
      </c>
      <c r="CO4" s="41" t="str">
        <v>비번</v>
      </c>
      <c r="CP4" s="41" t="str">
        <v>주간</v>
      </c>
      <c r="CQ4" s="41" t="str">
        <v>당직</v>
      </c>
      <c r="CR4" s="41" t="str">
        <v>비번</v>
      </c>
      <c r="CS4" s="41" t="str">
        <v>주간</v>
      </c>
      <c r="CT4" s="41" t="str">
        <v>야간</v>
      </c>
      <c r="CU4" s="41" t="str">
        <v>비번</v>
      </c>
      <c r="CV4" s="41" t="str">
        <v>주간</v>
      </c>
      <c r="CW4" s="41" t="str">
        <v>야간</v>
      </c>
      <c r="CX4" s="41" t="str">
        <v>비번</v>
      </c>
      <c r="CY4" s="41" t="str">
        <v>휴무</v>
      </c>
      <c r="CZ4" s="41" t="str">
        <v>야간</v>
      </c>
      <c r="DA4" s="41" t="str">
        <v>비번</v>
      </c>
      <c r="DB4" s="41" t="str">
        <v>주간</v>
      </c>
      <c r="DC4" s="41" t="str">
        <v>야간</v>
      </c>
      <c r="DD4" s="41" t="str">
        <v>비번</v>
      </c>
      <c r="DE4" s="41" t="str">
        <v>휴무</v>
      </c>
      <c r="DF4" s="41" t="str">
        <v>당직</v>
      </c>
      <c r="DG4" s="41" t="str">
        <v>비번</v>
      </c>
      <c r="DH4" s="41" t="str">
        <v>주간</v>
      </c>
      <c r="DI4" s="41" t="str">
        <v>야간</v>
      </c>
      <c r="DJ4" s="41" t="str">
        <v>비번</v>
      </c>
      <c r="DK4" s="41" t="str">
        <v>주간</v>
      </c>
      <c r="DL4" s="41" t="str">
        <v>당직</v>
      </c>
      <c r="DM4" s="41" t="str">
        <v>비번</v>
      </c>
      <c r="DN4" s="41" t="str">
        <v>주간</v>
      </c>
      <c r="DO4" s="41" t="str">
        <v>야간</v>
      </c>
      <c r="DP4" s="41" t="str">
        <v>비번</v>
      </c>
      <c r="DQ4" s="41" t="str">
        <v>주간</v>
      </c>
      <c r="DR4" s="41" t="str">
        <v>당직</v>
      </c>
      <c r="DS4" s="41" t="str">
        <v>비번</v>
      </c>
      <c r="DT4" s="41" t="str">
        <v>휴무</v>
      </c>
      <c r="DU4" s="41" t="str">
        <v>야간</v>
      </c>
      <c r="DV4" s="41" t="str">
        <v>비번</v>
      </c>
      <c r="DW4" s="41" t="str">
        <v>주간</v>
      </c>
      <c r="DX4" s="41" t="str">
        <v>야간</v>
      </c>
      <c r="DY4" s="41" t="str">
        <v>비번</v>
      </c>
      <c r="DZ4" s="41" t="str">
        <v>휴무</v>
      </c>
      <c r="EA4" s="41" t="str">
        <v>당직</v>
      </c>
      <c r="EB4" s="41" t="str">
        <v>비번</v>
      </c>
      <c r="EC4" s="41" t="str">
        <v>주간</v>
      </c>
      <c r="ED4" s="41" t="str">
        <v>야간</v>
      </c>
      <c r="EE4" s="41" t="str">
        <v>비번</v>
      </c>
      <c r="EF4" s="41" t="str">
        <v>주간</v>
      </c>
      <c r="EG4" s="41" t="str">
        <v>당직</v>
      </c>
      <c r="EH4" s="41" t="str">
        <v>비번</v>
      </c>
      <c r="EI4" s="41" t="str">
        <v>주간</v>
      </c>
      <c r="EJ4" s="41" t="str">
        <v>야간</v>
      </c>
      <c r="EK4" s="41" t="str">
        <v>비번</v>
      </c>
      <c r="EL4" s="41" t="str">
        <v>주간</v>
      </c>
      <c r="EM4" s="41" t="str">
        <v>야간</v>
      </c>
      <c r="EN4" s="41" t="str">
        <v>비번</v>
      </c>
      <c r="EO4" s="41" t="str">
        <v>휴무</v>
      </c>
      <c r="EP4" s="41" t="str">
        <v>당직</v>
      </c>
      <c r="EQ4" s="41" t="str">
        <v>비번</v>
      </c>
      <c r="ER4" s="41" t="str">
        <v>주간</v>
      </c>
      <c r="ES4" s="41" t="str">
        <v>야간</v>
      </c>
      <c r="ET4" s="41" t="str">
        <v>비번</v>
      </c>
      <c r="EU4" s="41" t="str">
        <v>휴무</v>
      </c>
      <c r="EV4" s="41" t="str">
        <v>당직</v>
      </c>
      <c r="EW4" s="41" t="str">
        <v>비번</v>
      </c>
      <c r="EX4" s="41" t="str">
        <v>주간</v>
      </c>
      <c r="EY4" s="41" t="str">
        <v>당직</v>
      </c>
      <c r="EZ4" s="41" t="str">
        <v>비번</v>
      </c>
      <c r="FA4" s="41" t="str">
        <v>주간</v>
      </c>
      <c r="FB4" s="41" t="str">
        <v>당직</v>
      </c>
      <c r="FC4" s="41" t="str">
        <v>비번</v>
      </c>
      <c r="FD4" s="41" t="str">
        <v>주간</v>
      </c>
      <c r="FE4" s="41" t="str">
        <v>야간</v>
      </c>
      <c r="FF4" s="41" t="str">
        <v>비번</v>
      </c>
      <c r="FG4" s="41" t="str">
        <v>주간</v>
      </c>
      <c r="FH4" s="41" t="str">
        <v>야간</v>
      </c>
      <c r="FI4" s="41" t="str">
        <v>비번</v>
      </c>
      <c r="FJ4" s="41" t="str">
        <v>휴무</v>
      </c>
      <c r="FK4" s="41" t="str">
        <v>야간</v>
      </c>
      <c r="FL4" s="41" t="str">
        <v>비번</v>
      </c>
      <c r="FM4" s="41" t="str">
        <v>주간</v>
      </c>
      <c r="FN4" s="41" t="str">
        <v>야간</v>
      </c>
      <c r="FO4" s="41" t="str">
        <v>비번</v>
      </c>
      <c r="FP4" s="41" t="str">
        <v>휴무</v>
      </c>
      <c r="FQ4" s="41" t="str">
        <v>당직</v>
      </c>
      <c r="FR4" s="41" t="str">
        <v>비번</v>
      </c>
      <c r="FS4" s="41" t="str">
        <v>주간</v>
      </c>
      <c r="FT4" s="41" t="str">
        <v>야간</v>
      </c>
      <c r="FU4" s="41" t="str">
        <v>비번</v>
      </c>
      <c r="FV4" s="41" t="str">
        <v>주간</v>
      </c>
      <c r="FW4" s="41" t="str">
        <v>당직</v>
      </c>
      <c r="FX4" s="41" t="str">
        <v>비번</v>
      </c>
      <c r="FY4" s="41" t="str">
        <v>주간</v>
      </c>
      <c r="FZ4" s="41" t="str">
        <v>야간</v>
      </c>
      <c r="GA4" s="41" t="str">
        <v>비번</v>
      </c>
      <c r="GB4" s="41" t="str">
        <v>주간</v>
      </c>
      <c r="GC4" s="41" t="str">
        <v>야간</v>
      </c>
      <c r="GD4" s="41" t="str">
        <v>비번</v>
      </c>
      <c r="GE4" s="41" t="str">
        <v>휴무</v>
      </c>
      <c r="GF4" s="41" t="str">
        <v>야간</v>
      </c>
      <c r="GG4" s="41" t="str">
        <v>비번</v>
      </c>
      <c r="GH4" s="41" t="str">
        <v>주간</v>
      </c>
      <c r="GI4" s="41" t="str">
        <v>야간</v>
      </c>
      <c r="GJ4" s="41" t="str">
        <v>비번</v>
      </c>
      <c r="GK4" s="41" t="str">
        <v>휴무</v>
      </c>
      <c r="GL4" s="41" t="str">
        <v>당직</v>
      </c>
      <c r="GM4" s="41" t="str">
        <v>비번</v>
      </c>
      <c r="GN4" s="41" t="str">
        <v>주간</v>
      </c>
      <c r="GO4" s="41" t="str">
        <v>야간</v>
      </c>
      <c r="GP4" s="41" t="str">
        <v>비번</v>
      </c>
      <c r="GQ4" s="41" t="str">
        <v>휴무</v>
      </c>
      <c r="GR4" s="41" t="str">
        <v>당직</v>
      </c>
      <c r="GS4" s="41" t="str">
        <v>비번</v>
      </c>
      <c r="GT4" s="41" t="str">
        <v>주간</v>
      </c>
      <c r="GU4" s="41" t="str">
        <v>야간</v>
      </c>
      <c r="GV4" s="41" t="str">
        <v>비번</v>
      </c>
      <c r="GW4" s="41" t="str">
        <v>주간</v>
      </c>
      <c r="GX4" s="41" t="str">
        <v>야간</v>
      </c>
      <c r="GY4" s="41" t="str">
        <v>비번</v>
      </c>
      <c r="GZ4" s="41" t="str">
        <v>휴무</v>
      </c>
      <c r="HA4" s="41" t="str">
        <v>야간</v>
      </c>
      <c r="HB4" s="41" t="str">
        <v>비번</v>
      </c>
      <c r="HC4" s="41" t="str">
        <v>주간</v>
      </c>
      <c r="HD4" s="41" t="str">
        <v>야간</v>
      </c>
      <c r="HE4" s="41" t="str">
        <v>비번</v>
      </c>
      <c r="HF4" s="41" t="str">
        <v>휴무</v>
      </c>
      <c r="HG4" s="41" t="str">
        <v>당직</v>
      </c>
      <c r="HH4" s="41" t="str">
        <v>비번</v>
      </c>
      <c r="HI4" s="41" t="str">
        <v>주간</v>
      </c>
      <c r="HJ4" s="41" t="str">
        <v>야간</v>
      </c>
      <c r="HK4" s="41" t="str">
        <v>비번</v>
      </c>
      <c r="HL4" s="41" t="str">
        <v>주간</v>
      </c>
      <c r="HM4" s="41" t="str">
        <v>당직</v>
      </c>
      <c r="HN4" s="41" t="str">
        <v>비번</v>
      </c>
      <c r="HO4" s="41" t="str">
        <v>주간</v>
      </c>
      <c r="HP4" s="41" t="str">
        <v>야간</v>
      </c>
      <c r="HQ4" s="41" t="str">
        <v>비번</v>
      </c>
      <c r="HR4" s="41" t="str">
        <v>주간</v>
      </c>
      <c r="HS4" s="41" t="str">
        <v>야간</v>
      </c>
      <c r="HT4" s="41" t="str">
        <v>비번</v>
      </c>
      <c r="HU4" s="41" t="str">
        <v>휴무</v>
      </c>
      <c r="HV4" s="41" t="str">
        <v>당직</v>
      </c>
      <c r="HW4" s="41" t="str">
        <v>비번</v>
      </c>
      <c r="HX4" s="41" t="str">
        <v>주간</v>
      </c>
      <c r="HY4" s="41" t="str">
        <v>야간</v>
      </c>
      <c r="HZ4" s="41" t="str">
        <v>비번</v>
      </c>
      <c r="IA4" s="41" t="str">
        <v>휴무</v>
      </c>
      <c r="IB4" s="41" t="str">
        <v>당직</v>
      </c>
      <c r="IC4" s="41" t="str">
        <v>비번</v>
      </c>
      <c r="ID4" s="41" t="str">
        <v>주간</v>
      </c>
      <c r="IE4" s="41" t="str">
        <v>야간</v>
      </c>
      <c r="IF4" s="41" t="str">
        <v>비번</v>
      </c>
      <c r="IG4" s="41" t="str">
        <v>주간</v>
      </c>
      <c r="IH4" s="41" t="str">
        <v>당직</v>
      </c>
      <c r="II4" s="41" t="str">
        <v>비번</v>
      </c>
      <c r="IJ4" s="41" t="str">
        <v>주간</v>
      </c>
      <c r="IK4" s="41" t="str">
        <v>야간</v>
      </c>
      <c r="IL4" s="41" t="str">
        <v>비번</v>
      </c>
      <c r="IM4" s="41" t="str">
        <v>주간</v>
      </c>
      <c r="IN4" s="41" t="str">
        <v>야간</v>
      </c>
      <c r="IO4" s="41" t="str">
        <v>비번</v>
      </c>
      <c r="IP4" s="41" t="str">
        <v>휴무</v>
      </c>
      <c r="IQ4" s="41" t="str">
        <v>야간</v>
      </c>
      <c r="IR4" s="41" t="str">
        <v>비번</v>
      </c>
      <c r="IS4" s="41" t="str">
        <v>주간</v>
      </c>
      <c r="IT4" s="41" t="str">
        <v>야간</v>
      </c>
      <c r="IU4" s="41" t="str">
        <v>비번</v>
      </c>
      <c r="IV4" s="41" t="str">
        <v>휴무</v>
      </c>
      <c r="IW4" s="41" t="str">
        <v>당직</v>
      </c>
      <c r="IX4" s="41" t="str">
        <v>비번</v>
      </c>
      <c r="IY4" s="41" t="str">
        <v>주간</v>
      </c>
      <c r="IZ4" s="41" t="str">
        <v>야간</v>
      </c>
      <c r="JA4" s="41" t="str">
        <v>비번</v>
      </c>
      <c r="JB4" s="41" t="str">
        <v>주간</v>
      </c>
      <c r="JC4" s="41" t="str">
        <v>당직</v>
      </c>
      <c r="JD4" s="41" t="str">
        <v>비번</v>
      </c>
      <c r="JE4" s="41" t="str">
        <v>주간</v>
      </c>
      <c r="JF4" s="41" t="str">
        <v>야간</v>
      </c>
      <c r="JG4" s="41" t="str">
        <v>비번</v>
      </c>
      <c r="JH4" s="41" t="str">
        <v>휴무</v>
      </c>
      <c r="JI4" s="41" t="str">
        <v>당직</v>
      </c>
      <c r="JJ4" s="41" t="str">
        <v>비번</v>
      </c>
      <c r="JK4" s="41" t="str">
        <v>휴무</v>
      </c>
      <c r="JL4" s="41" t="str">
        <v>야간</v>
      </c>
      <c r="JM4" s="41" t="str">
        <v>비번</v>
      </c>
      <c r="JN4" s="41" t="str">
        <v>주간</v>
      </c>
      <c r="JO4" s="41" t="str">
        <v>야간</v>
      </c>
      <c r="JP4" s="41" t="str">
        <v>비번</v>
      </c>
      <c r="JQ4" s="41" t="str">
        <v>휴무</v>
      </c>
      <c r="JR4" s="41" t="str">
        <v>당직</v>
      </c>
      <c r="JS4" s="41" t="str">
        <v>비번</v>
      </c>
      <c r="JT4" s="41" t="str">
        <v>주간</v>
      </c>
      <c r="JU4" s="41" t="str">
        <v>야간</v>
      </c>
      <c r="JV4" s="41" t="str">
        <v>비번</v>
      </c>
      <c r="JW4" s="41" t="str">
        <v>휴무</v>
      </c>
      <c r="JX4" s="41" t="str">
        <v>당직</v>
      </c>
      <c r="JY4" s="41" t="str">
        <v>비번</v>
      </c>
      <c r="JZ4" s="41" t="str">
        <v>주간</v>
      </c>
      <c r="KA4" s="41" t="str">
        <v>야간</v>
      </c>
      <c r="KB4" s="41" t="str">
        <v>비번</v>
      </c>
      <c r="KC4" s="41" t="str">
        <v>주간</v>
      </c>
      <c r="KD4" s="41" t="str">
        <v>야간</v>
      </c>
      <c r="KE4" s="41" t="str">
        <v>비번</v>
      </c>
      <c r="KF4" s="41" t="str">
        <v>휴무</v>
      </c>
      <c r="KG4" s="41" t="str">
        <v>야간</v>
      </c>
      <c r="KH4" s="41" t="str">
        <v>비번</v>
      </c>
      <c r="KI4" s="41" t="str">
        <v>주간</v>
      </c>
      <c r="KJ4" s="41" t="str">
        <v>야간</v>
      </c>
      <c r="KK4" s="41" t="str">
        <v>비번</v>
      </c>
      <c r="KL4" s="41" t="str">
        <v>휴무</v>
      </c>
      <c r="KM4" s="41" t="str">
        <v>당직</v>
      </c>
      <c r="KN4" s="41" t="str">
        <v>비번</v>
      </c>
      <c r="KO4" s="41" t="str">
        <v>주간</v>
      </c>
      <c r="KP4" s="41" t="str">
        <v>야간</v>
      </c>
      <c r="KQ4" s="41" t="str">
        <v>비번</v>
      </c>
      <c r="KR4" s="41" t="str">
        <v>주간</v>
      </c>
      <c r="KS4" s="41" t="str">
        <v>당직</v>
      </c>
      <c r="KT4" s="41" t="str">
        <v>비번</v>
      </c>
      <c r="KU4" s="41" t="str">
        <v>주간</v>
      </c>
      <c r="KV4" s="41" t="str">
        <v>야간</v>
      </c>
      <c r="KW4" s="41" t="str">
        <v>비번</v>
      </c>
      <c r="KX4" s="41" t="str">
        <v>주간</v>
      </c>
      <c r="KY4" s="41" t="str">
        <v>야간</v>
      </c>
      <c r="KZ4" s="41" t="str">
        <v>비번</v>
      </c>
      <c r="LA4" s="41" t="str">
        <v>휴무</v>
      </c>
      <c r="LB4" s="41" t="str">
        <v>야간</v>
      </c>
      <c r="LC4" s="41" t="str">
        <v>비번</v>
      </c>
      <c r="LD4" s="41" t="str">
        <v>주간</v>
      </c>
      <c r="LE4" s="41" t="str">
        <v>야간</v>
      </c>
      <c r="LF4" s="41" t="str">
        <v>비번</v>
      </c>
      <c r="LG4" s="41" t="str">
        <v>휴무</v>
      </c>
      <c r="LH4" s="41" t="str">
        <v>당직</v>
      </c>
      <c r="LI4" s="41" t="str">
        <v>비번</v>
      </c>
      <c r="LJ4" s="41" t="str">
        <v>주간</v>
      </c>
      <c r="LK4" s="41" t="str">
        <v>야간</v>
      </c>
      <c r="LL4" s="41" t="str">
        <v>비번</v>
      </c>
      <c r="LM4" s="41" t="str">
        <v>주간</v>
      </c>
      <c r="LN4" s="41" t="str">
        <v>당직</v>
      </c>
      <c r="LO4" s="41" t="str">
        <v>비번</v>
      </c>
      <c r="LP4" s="41" t="str">
        <v>주간</v>
      </c>
      <c r="LQ4" s="41" t="str">
        <v>야간</v>
      </c>
      <c r="LR4" s="41" t="str">
        <v>비번</v>
      </c>
      <c r="LS4" s="41" t="str">
        <v>주간</v>
      </c>
      <c r="LT4" s="41" t="str">
        <v>야간</v>
      </c>
      <c r="LU4" s="41" t="str">
        <v>비번</v>
      </c>
      <c r="LV4" s="41" t="str">
        <v>휴무</v>
      </c>
      <c r="LW4" s="41" t="str">
        <v>야간</v>
      </c>
      <c r="LX4" s="41" t="str">
        <v>비번</v>
      </c>
      <c r="LY4" s="41" t="str">
        <v>주간</v>
      </c>
      <c r="LZ4" s="41" t="str">
        <v>야간</v>
      </c>
      <c r="MA4" s="41" t="str">
        <v>비번</v>
      </c>
      <c r="MB4" s="41" t="str">
        <v>휴무</v>
      </c>
      <c r="MC4" s="41" t="str">
        <v>당직</v>
      </c>
      <c r="MD4" s="41" t="str">
        <v>비번</v>
      </c>
      <c r="ME4" s="41" t="str">
        <v>주간</v>
      </c>
      <c r="MF4" s="41" t="str">
        <v>야간</v>
      </c>
      <c r="MG4" s="41" t="str">
        <v>비번</v>
      </c>
      <c r="MH4" s="41" t="str">
        <v>주간</v>
      </c>
      <c r="MI4" s="41" t="str">
        <v>당직</v>
      </c>
      <c r="MJ4" s="41" t="str">
        <v>비번</v>
      </c>
      <c r="MK4" s="41" t="str">
        <v>주간</v>
      </c>
      <c r="ML4" s="41" t="str">
        <v>야간</v>
      </c>
      <c r="MM4" s="41" t="str">
        <v>비번</v>
      </c>
      <c r="MN4" s="41" t="str">
        <v>주간</v>
      </c>
      <c r="MO4" s="41" t="str">
        <v>야간</v>
      </c>
      <c r="MP4" s="41" t="str">
        <v>비번</v>
      </c>
      <c r="MQ4" s="41" t="str">
        <v>휴무</v>
      </c>
      <c r="MR4" s="41" t="str">
        <v>야간</v>
      </c>
      <c r="MS4" s="41" t="str">
        <v>비번</v>
      </c>
      <c r="MT4" s="41" t="str">
        <v>주간</v>
      </c>
      <c r="MU4" s="41" t="str">
        <v>야간</v>
      </c>
      <c r="MV4" s="41" t="str">
        <v>비번</v>
      </c>
      <c r="MW4" s="41" t="str">
        <v>휴무</v>
      </c>
      <c r="MX4" s="41" t="str">
        <v>당직</v>
      </c>
      <c r="MY4" s="41" t="str">
        <v>비번</v>
      </c>
      <c r="MZ4" s="41" t="str">
        <v>주간</v>
      </c>
      <c r="NA4" s="41" t="str">
        <v>야간</v>
      </c>
      <c r="NB4" s="41" t="str">
        <v>비번</v>
      </c>
      <c r="NC4" s="41" t="str">
        <v>주간</v>
      </c>
    </row>
    <row r="5" spans="1:367" s="40" customFormat="1" ht="18" thickTop="1">
      <c r="A5" s="43" t="str">
        <f>'cal2'!A34</f>
        <v>지원동</v>
      </c>
      <c r="B5" s="43" t="str">
        <f>'cal2'!B34</f>
        <v>허지웅</v>
      </c>
      <c r="C5" s="43" t="str">
        <f>'cal2'!C34</f>
        <v>-</v>
      </c>
      <c r="D5" s="43" t="str">
        <f>'cal2'!D34</f>
        <v>-</v>
      </c>
      <c r="E5" s="43" t="str">
        <f>'cal2'!E34</f>
        <v>박성현</v>
      </c>
      <c r="F5" s="43" t="str">
        <f>'cal2'!F34</f>
        <v>-</v>
      </c>
      <c r="G5" s="43" t="str">
        <f>'cal2'!G34</f>
        <v>허지웅</v>
      </c>
      <c r="H5" s="43" t="str">
        <f>'cal2'!H34</f>
        <v>이기수</v>
      </c>
      <c r="I5" s="43" t="str">
        <f>'cal2'!I34</f>
        <v>-</v>
      </c>
      <c r="J5" s="43" t="str">
        <f>'cal2'!J34</f>
        <v>박성현</v>
      </c>
      <c r="K5" s="43" t="str">
        <f>'cal2'!K34</f>
        <v>정윤준</v>
      </c>
      <c r="L5" s="43" t="str">
        <f>'cal2'!L34</f>
        <v>-</v>
      </c>
      <c r="M5" s="43" t="str">
        <f>'cal2'!M34</f>
        <v>이기수</v>
      </c>
      <c r="N5" s="43" t="str">
        <f>'cal2'!N34</f>
        <v>허지웅</v>
      </c>
      <c r="O5" s="43" t="str">
        <f>'cal2'!O34</f>
        <v>-</v>
      </c>
      <c r="P5" s="43" t="str">
        <f>'cal2'!P34</f>
        <v>정윤준</v>
      </c>
      <c r="Q5" s="43" t="str">
        <f>'cal2'!Q34</f>
        <v>박성현</v>
      </c>
      <c r="R5" s="43" t="str">
        <f>'cal2'!R34</f>
        <v>-</v>
      </c>
      <c r="S5" s="43" t="str">
        <f>'cal2'!S34</f>
        <v>-</v>
      </c>
      <c r="T5" s="43" t="str">
        <f>'cal2'!T34</f>
        <v>이기수</v>
      </c>
      <c r="U5" s="43" t="str">
        <f>'cal2'!U34</f>
        <v>-</v>
      </c>
      <c r="V5" s="43" t="str">
        <f>'cal2'!V34</f>
        <v>허지웅</v>
      </c>
      <c r="W5" s="43" t="str">
        <f>'cal2'!W34</f>
        <v>정윤준</v>
      </c>
      <c r="X5" s="43" t="str">
        <f>'cal2'!X34</f>
        <v>-</v>
      </c>
      <c r="Y5" s="43" t="str">
        <f>'cal2'!Y34</f>
        <v>-</v>
      </c>
      <c r="Z5" s="43" t="str">
        <f>'cal2'!Z34</f>
        <v>허지웅</v>
      </c>
      <c r="AA5" s="43" t="str">
        <f>'cal2'!AA34</f>
        <v>-</v>
      </c>
      <c r="AB5" s="43" t="str">
        <f>'cal2'!AB34</f>
        <v>박성현</v>
      </c>
      <c r="AC5" s="43" t="str">
        <f>'cal2'!AC34</f>
        <v>박성현</v>
      </c>
      <c r="AD5" s="43" t="str">
        <f>'cal2'!AD34</f>
        <v>-</v>
      </c>
      <c r="AE5" s="43" t="str">
        <f>'cal2'!AE34</f>
        <v>이기수</v>
      </c>
      <c r="AF5" s="43" t="str">
        <f>'cal2'!AF34</f>
        <v>이기수</v>
      </c>
      <c r="AG5" s="43" t="str">
        <f>'cal2'!AG34</f>
        <v>-</v>
      </c>
      <c r="AH5" s="43" t="str">
        <f>'cal2'!AH34</f>
        <v>정윤준</v>
      </c>
      <c r="AI5" s="43" t="str">
        <f>'cal2'!AI34</f>
        <v>정윤준</v>
      </c>
      <c r="AJ5" s="43" t="str">
        <f>'cal2'!AJ34</f>
        <v>-</v>
      </c>
      <c r="AK5" s="43" t="str">
        <f>'cal2'!AK34</f>
        <v>허지웅</v>
      </c>
      <c r="AL5" s="43" t="str">
        <f>'cal2'!AL34</f>
        <v>허지웅</v>
      </c>
      <c r="AM5" s="43" t="str">
        <f>'cal2'!AM34</f>
        <v>-</v>
      </c>
      <c r="AN5" s="43" t="str">
        <f>'cal2'!AN34</f>
        <v>-</v>
      </c>
      <c r="AO5" s="43" t="str">
        <f>'cal2'!AO34</f>
        <v>박성현</v>
      </c>
      <c r="AP5" s="43" t="str">
        <f>'cal2'!AP34</f>
        <v>-</v>
      </c>
      <c r="AQ5" s="43" t="str">
        <f>'cal2'!AQ34</f>
        <v>박성현</v>
      </c>
      <c r="AR5" s="43" t="str">
        <f>'cal2'!AR34</f>
        <v>이기수</v>
      </c>
      <c r="AS5" s="43" t="str">
        <f>'cal2'!AS34</f>
        <v>-</v>
      </c>
      <c r="AT5" s="43" t="str">
        <f>'cal2'!AT34</f>
        <v>-</v>
      </c>
      <c r="AU5" s="43" t="str">
        <f>'cal2'!AU34</f>
        <v>정윤준</v>
      </c>
      <c r="AV5" s="43" t="str">
        <f>'cal2'!AV34</f>
        <v>-</v>
      </c>
      <c r="AW5" s="43" t="str">
        <f>'cal2'!AW34</f>
        <v>-</v>
      </c>
      <c r="AX5" s="43" t="str">
        <f>'cal2'!AX34</f>
        <v>허지웅</v>
      </c>
      <c r="AY5" s="43" t="str">
        <f>'cal2'!AY34</f>
        <v>-</v>
      </c>
      <c r="AZ5" s="43" t="str">
        <f>'cal2'!AZ34</f>
        <v>이기수</v>
      </c>
      <c r="BA5" s="43" t="str">
        <f>'cal2'!BA34</f>
        <v>박성현</v>
      </c>
      <c r="BB5" s="43" t="str">
        <f>'cal2'!BB34</f>
        <v>-</v>
      </c>
      <c r="BC5" s="43" t="str">
        <f>'cal2'!BC34</f>
        <v>정윤준</v>
      </c>
      <c r="BD5" s="43" t="str">
        <f>'cal2'!BD34</f>
        <v>이기수</v>
      </c>
      <c r="BE5" s="43" t="str">
        <f>'cal2'!BE34</f>
        <v>-</v>
      </c>
      <c r="BF5" s="43" t="str">
        <f>'cal2'!BF34</f>
        <v>허지웅</v>
      </c>
      <c r="BG5" s="43" t="str">
        <f>'cal2'!BG34</f>
        <v>정윤준</v>
      </c>
      <c r="BH5" s="43" t="str">
        <f>'cal2'!BH34</f>
        <v>-</v>
      </c>
      <c r="BI5" s="43" t="str">
        <f>'cal2'!BI34</f>
        <v>-</v>
      </c>
      <c r="BJ5" s="43" t="str">
        <f>'cal2'!BJ34</f>
        <v>허지웅</v>
      </c>
      <c r="BK5" s="43" t="str">
        <f>'cal2'!BK34</f>
        <v>-</v>
      </c>
      <c r="BL5" s="43" t="str">
        <f>'cal2'!BL34</f>
        <v>박성현</v>
      </c>
      <c r="BM5" s="43" t="str">
        <f>'cal2'!BM34</f>
        <v>박성현</v>
      </c>
      <c r="BN5" s="43" t="str">
        <f>'cal2'!BN34</f>
        <v>-</v>
      </c>
      <c r="BO5" s="43" t="str">
        <f>'cal2'!BO34</f>
        <v>-</v>
      </c>
      <c r="BP5" s="43" t="str">
        <f>'cal2'!BP34</f>
        <v>이기수</v>
      </c>
      <c r="BQ5" s="43" t="str">
        <f>'cal2'!BQ34</f>
        <v>-</v>
      </c>
      <c r="BR5" s="43" t="str">
        <f>'cal2'!BR34</f>
        <v>이기수</v>
      </c>
      <c r="BS5" s="43" t="str">
        <f>'cal2'!BS34</f>
        <v>정윤준</v>
      </c>
      <c r="BT5" s="43" t="str">
        <f>'cal2'!BT34</f>
        <v>-</v>
      </c>
      <c r="BU5" s="43" t="str">
        <f>'cal2'!BU34</f>
        <v>정윤준</v>
      </c>
      <c r="BV5" s="43" t="str">
        <f>'cal2'!BV34</f>
        <v>허지웅</v>
      </c>
      <c r="BW5" s="43" t="str">
        <f>'cal2'!BW34</f>
        <v>-</v>
      </c>
      <c r="BX5" s="43" t="str">
        <f>'cal2'!BX34</f>
        <v>허지웅</v>
      </c>
      <c r="BY5" s="43" t="str">
        <f>'cal2'!BY34</f>
        <v>박성현</v>
      </c>
      <c r="BZ5" s="43" t="str">
        <f>'cal2'!BZ34</f>
        <v>-</v>
      </c>
      <c r="CA5" s="43" t="str">
        <f>'cal2'!CA34</f>
        <v>박성현</v>
      </c>
      <c r="CB5" s="43" t="str">
        <f>'cal2'!CB34</f>
        <v>이기수</v>
      </c>
      <c r="CC5" s="43" t="str">
        <f>'cal2'!CC34</f>
        <v>-</v>
      </c>
      <c r="CD5" s="43" t="str">
        <f>'cal2'!CD34</f>
        <v>-</v>
      </c>
      <c r="CE5" s="43" t="str">
        <f>'cal2'!CE34</f>
        <v>정윤준</v>
      </c>
      <c r="CF5" s="43" t="str">
        <f>'cal2'!CF34</f>
        <v>-</v>
      </c>
      <c r="CG5" s="43" t="str">
        <f>'cal2'!CG34</f>
        <v>이기수</v>
      </c>
      <c r="CH5" s="43" t="str">
        <f>'cal2'!CH34</f>
        <v>허지웅</v>
      </c>
      <c r="CI5" s="43" t="str">
        <f>'cal2'!CI34</f>
        <v>-</v>
      </c>
      <c r="CJ5" s="43" t="str">
        <f>'cal2'!CJ34</f>
        <v>-</v>
      </c>
      <c r="CK5" s="43" t="str">
        <f>'cal2'!CK34</f>
        <v>박성현</v>
      </c>
      <c r="CL5" s="43" t="str">
        <f>'cal2'!CL34</f>
        <v>-</v>
      </c>
      <c r="CM5" s="43" t="str">
        <f>'cal2'!CM34</f>
        <v>정윤준</v>
      </c>
      <c r="CN5" s="43" t="str">
        <f>'cal2'!CN34</f>
        <v>이기수</v>
      </c>
      <c r="CO5" s="43" t="str">
        <f>'cal2'!CO34</f>
        <v>-</v>
      </c>
      <c r="CP5" s="43" t="str">
        <f>'cal2'!CP34</f>
        <v>허지웅</v>
      </c>
      <c r="CQ5" s="43" t="str">
        <f>'cal2'!CQ34</f>
        <v>정윤준</v>
      </c>
      <c r="CR5" s="43" t="str">
        <f>'cal2'!CR34</f>
        <v>-</v>
      </c>
      <c r="CS5" s="43" t="str">
        <f>'cal2'!CS34</f>
        <v>박성현</v>
      </c>
      <c r="CT5" s="43" t="str">
        <f>'cal2'!CT34</f>
        <v>허지웅</v>
      </c>
      <c r="CU5" s="43" t="str">
        <f>'cal2'!CU34</f>
        <v>-</v>
      </c>
      <c r="CV5" s="43" t="str">
        <f>'cal2'!CV34</f>
        <v>이기수</v>
      </c>
      <c r="CW5" s="43" t="str">
        <f>'cal2'!CW34</f>
        <v>박성현</v>
      </c>
      <c r="CX5" s="43" t="str">
        <f>'cal2'!CX34</f>
        <v>-</v>
      </c>
      <c r="CY5" s="43" t="str">
        <f>'cal2'!CY34</f>
        <v>-</v>
      </c>
      <c r="CZ5" s="43" t="str">
        <f>'cal2'!CZ34</f>
        <v>이기수</v>
      </c>
      <c r="DA5" s="43" t="str">
        <f>'cal2'!DA34</f>
        <v>-</v>
      </c>
      <c r="DB5" s="43" t="str">
        <f>'cal2'!DB34</f>
        <v>정윤준</v>
      </c>
      <c r="DC5" s="43" t="str">
        <f>'cal2'!DC34</f>
        <v>정윤준</v>
      </c>
      <c r="DD5" s="43" t="str">
        <f>'cal2'!DD34</f>
        <v>-</v>
      </c>
      <c r="DE5" s="43" t="str">
        <f>'cal2'!DE34</f>
        <v>-</v>
      </c>
      <c r="DF5" s="43" t="str">
        <f>'cal2'!DF34</f>
        <v>허지웅</v>
      </c>
      <c r="DG5" s="43" t="str">
        <f>'cal2'!DG34</f>
        <v>-</v>
      </c>
      <c r="DH5" s="43" t="str">
        <f>'cal2'!DH34</f>
        <v>허지웅</v>
      </c>
      <c r="DI5" s="43" t="str">
        <f>'cal2'!DI34</f>
        <v>박성현</v>
      </c>
      <c r="DJ5" s="43" t="str">
        <f>'cal2'!DJ34</f>
        <v>-</v>
      </c>
      <c r="DK5" s="43" t="str">
        <f>'cal2'!DK34</f>
        <v>박성현</v>
      </c>
      <c r="DL5" s="43" t="str">
        <f>'cal2'!DL34</f>
        <v>이기수</v>
      </c>
      <c r="DM5" s="43" t="str">
        <f>'cal2'!DM34</f>
        <v>-</v>
      </c>
      <c r="DN5" s="43" t="str">
        <f>'cal2'!DN34</f>
        <v>이기수</v>
      </c>
      <c r="DO5" s="43" t="str">
        <f>'cal2'!DO34</f>
        <v>정윤준</v>
      </c>
      <c r="DP5" s="43" t="str">
        <f>'cal2'!DP34</f>
        <v>-</v>
      </c>
      <c r="DQ5" s="43" t="str">
        <f>'cal2'!DQ34</f>
        <v>정윤준</v>
      </c>
      <c r="DR5" s="43" t="str">
        <f>'cal2'!DR34</f>
        <v>허지웅</v>
      </c>
      <c r="DS5" s="43" t="str">
        <f>'cal2'!DS34</f>
        <v>-</v>
      </c>
      <c r="DT5" s="43" t="str">
        <f>'cal2'!DT34</f>
        <v>-</v>
      </c>
      <c r="DU5" s="43" t="str">
        <f>'cal2'!DU34</f>
        <v>박성현</v>
      </c>
      <c r="DV5" s="43" t="str">
        <f>'cal2'!DV34</f>
        <v>-</v>
      </c>
      <c r="DW5" s="43" t="str">
        <f>'cal2'!DW34</f>
        <v>허지웅</v>
      </c>
      <c r="DX5" s="43" t="str">
        <f>'cal2'!DX34</f>
        <v>이기수</v>
      </c>
      <c r="DY5" s="43" t="str">
        <f>'cal2'!DY34</f>
        <v>-</v>
      </c>
      <c r="DZ5" s="43" t="str">
        <f>'cal2'!DZ34</f>
        <v>-</v>
      </c>
      <c r="EA5" s="43" t="str">
        <f>'cal2'!EA34</f>
        <v>정윤준</v>
      </c>
      <c r="EB5" s="43" t="str">
        <f>'cal2'!EB34</f>
        <v>-</v>
      </c>
      <c r="EC5" s="43" t="str">
        <f>'cal2'!EC34</f>
        <v>박성현</v>
      </c>
      <c r="ED5" s="43" t="str">
        <f>'cal2'!ED34</f>
        <v>허지웅</v>
      </c>
      <c r="EE5" s="43" t="str">
        <f>'cal2'!EE34</f>
        <v>-</v>
      </c>
      <c r="EF5" s="43" t="str">
        <f>'cal2'!EF34</f>
        <v>이기수</v>
      </c>
      <c r="EG5" s="43" t="str">
        <f>'cal2'!EG34</f>
        <v>박성현</v>
      </c>
      <c r="EH5" s="43" t="str">
        <f>'cal2'!EH34</f>
        <v>-</v>
      </c>
      <c r="EI5" s="43" t="str">
        <f>'cal2'!EI34</f>
        <v>정윤준</v>
      </c>
      <c r="EJ5" s="43" t="str">
        <f>'cal2'!EJ34</f>
        <v>이기수</v>
      </c>
      <c r="EK5" s="43" t="str">
        <f>'cal2'!EK34</f>
        <v>-</v>
      </c>
      <c r="EL5" s="43" t="str">
        <f>'cal2'!EL34</f>
        <v>허지웅</v>
      </c>
      <c r="EM5" s="43" t="str">
        <f>'cal2'!EM34</f>
        <v>정윤준</v>
      </c>
      <c r="EN5" s="43" t="str">
        <f>'cal2'!EN34</f>
        <v>-</v>
      </c>
      <c r="EO5" s="43" t="str">
        <f>'cal2'!EO34</f>
        <v>-</v>
      </c>
      <c r="EP5" s="43" t="str">
        <f>'cal2'!EP34</f>
        <v>허지웅</v>
      </c>
      <c r="EQ5" s="43" t="str">
        <f>'cal2'!EQ34</f>
        <v>-</v>
      </c>
      <c r="ER5" s="43" t="str">
        <f>'cal2'!ER34</f>
        <v>박성현</v>
      </c>
      <c r="ES5" s="43" t="str">
        <f>'cal2'!ES34</f>
        <v>박성현</v>
      </c>
      <c r="ET5" s="43" t="str">
        <f>'cal2'!ET34</f>
        <v>-</v>
      </c>
      <c r="EU5" s="43" t="str">
        <f>'cal2'!EU34</f>
        <v>-</v>
      </c>
      <c r="EV5" s="43" t="str">
        <f>'cal2'!EV34</f>
        <v>이기수</v>
      </c>
      <c r="EW5" s="43" t="str">
        <f>'cal2'!EW34</f>
        <v>-</v>
      </c>
      <c r="EX5" s="43" t="str">
        <f>'cal2'!EX34</f>
        <v>이기수</v>
      </c>
      <c r="EY5" s="43" t="str">
        <f>'cal2'!EY34</f>
        <v>정윤준</v>
      </c>
      <c r="EZ5" s="43" t="str">
        <f>'cal2'!EZ34</f>
        <v>-</v>
      </c>
      <c r="FA5" s="43" t="str">
        <f>'cal2'!FA34</f>
        <v>정윤준</v>
      </c>
      <c r="FB5" s="43" t="str">
        <f>'cal2'!FB34</f>
        <v>허지웅</v>
      </c>
      <c r="FC5" s="43" t="str">
        <f>'cal2'!FC34</f>
        <v>-</v>
      </c>
      <c r="FD5" s="43" t="str">
        <f>'cal2'!FD34</f>
        <v>허지웅</v>
      </c>
      <c r="FE5" s="43" t="str">
        <f>'cal2'!FE34</f>
        <v>박성현</v>
      </c>
      <c r="FF5" s="43" t="str">
        <f>'cal2'!FF34</f>
        <v>-</v>
      </c>
      <c r="FG5" s="43" t="str">
        <f>'cal2'!FG34</f>
        <v>박성현</v>
      </c>
      <c r="FH5" s="43" t="str">
        <f>'cal2'!FH34</f>
        <v>이기수</v>
      </c>
      <c r="FI5" s="43" t="str">
        <f>'cal2'!FI34</f>
        <v>-</v>
      </c>
      <c r="FJ5" s="43" t="str">
        <f>'cal2'!FJ34</f>
        <v>-</v>
      </c>
      <c r="FK5" s="43" t="str">
        <f>'cal2'!FK34</f>
        <v>정윤준</v>
      </c>
      <c r="FL5" s="43" t="str">
        <f>'cal2'!FL34</f>
        <v>-</v>
      </c>
      <c r="FM5" s="43" t="str">
        <f>'cal2'!FM34</f>
        <v>이기수</v>
      </c>
      <c r="FN5" s="43" t="str">
        <f>'cal2'!FN34</f>
        <v>허지웅</v>
      </c>
      <c r="FO5" s="43" t="str">
        <f>'cal2'!FO34</f>
        <v>-</v>
      </c>
      <c r="FP5" s="43" t="str">
        <f>'cal2'!FP34</f>
        <v>-</v>
      </c>
      <c r="FQ5" s="43" t="str">
        <f>'cal2'!FQ34</f>
        <v>박성현</v>
      </c>
      <c r="FR5" s="43" t="str">
        <f>'cal2'!FR34</f>
        <v>-</v>
      </c>
      <c r="FS5" s="43" t="str">
        <f>'cal2'!FS34</f>
        <v>정윤준</v>
      </c>
      <c r="FT5" s="43" t="str">
        <f>'cal2'!FT34</f>
        <v>이기수</v>
      </c>
      <c r="FU5" s="43" t="str">
        <f>'cal2'!FU34</f>
        <v>-</v>
      </c>
      <c r="FV5" s="43" t="str">
        <f>'cal2'!FV34</f>
        <v>허지웅</v>
      </c>
      <c r="FW5" s="43" t="str">
        <f>'cal2'!FW34</f>
        <v>정윤준</v>
      </c>
      <c r="FX5" s="43" t="str">
        <f>'cal2'!FX34</f>
        <v>-</v>
      </c>
      <c r="FY5" s="43" t="str">
        <f>'cal2'!FY34</f>
        <v>박성현</v>
      </c>
      <c r="FZ5" s="43" t="str">
        <f>'cal2'!FZ34</f>
        <v>허지웅</v>
      </c>
      <c r="GA5" s="43" t="str">
        <f>'cal2'!GA34</f>
        <v>-</v>
      </c>
      <c r="GB5" s="43" t="str">
        <f>'cal2'!GB34</f>
        <v>이기수</v>
      </c>
      <c r="GC5" s="43" t="str">
        <f>'cal2'!GC34</f>
        <v>박성현</v>
      </c>
      <c r="GD5" s="43" t="str">
        <f>'cal2'!GD34</f>
        <v>-</v>
      </c>
      <c r="GE5" s="43" t="str">
        <f>'cal2'!GE34</f>
        <v>-</v>
      </c>
      <c r="GF5" s="43" t="str">
        <f>'cal2'!GF34</f>
        <v>이기수</v>
      </c>
      <c r="GG5" s="43" t="str">
        <f>'cal2'!GG34</f>
        <v>-</v>
      </c>
      <c r="GH5" s="43" t="str">
        <f>'cal2'!GH34</f>
        <v>정윤준</v>
      </c>
      <c r="GI5" s="43" t="str">
        <f>'cal2'!GI34</f>
        <v>정윤준</v>
      </c>
      <c r="GJ5" s="43" t="str">
        <f>'cal2'!GJ34</f>
        <v>-</v>
      </c>
      <c r="GK5" s="43" t="str">
        <f>'cal2'!GK34</f>
        <v>-</v>
      </c>
      <c r="GL5" s="43" t="str">
        <f>'cal2'!GL34</f>
        <v>허지웅</v>
      </c>
      <c r="GM5" s="43" t="str">
        <f>'cal2'!GM34</f>
        <v>-</v>
      </c>
      <c r="GN5" s="43" t="str">
        <f>'cal2'!GN34</f>
        <v>허지웅</v>
      </c>
      <c r="GO5" s="43" t="str">
        <f>'cal2'!GO34</f>
        <v>박성현</v>
      </c>
      <c r="GP5" s="43" t="str">
        <f>'cal2'!GP34</f>
        <v>-</v>
      </c>
      <c r="GQ5" s="43" t="str">
        <f>'cal2'!GQ34</f>
        <v>-</v>
      </c>
      <c r="GR5" s="43" t="str">
        <f>'cal2'!GR34</f>
        <v>이기수</v>
      </c>
      <c r="GS5" s="43" t="str">
        <f>'cal2'!GS34</f>
        <v>-</v>
      </c>
      <c r="GT5" s="43" t="str">
        <f>'cal2'!GT34</f>
        <v>박성현</v>
      </c>
      <c r="GU5" s="43" t="str">
        <f>'cal2'!GU34</f>
        <v>정윤준</v>
      </c>
      <c r="GV5" s="43" t="str">
        <f>'cal2'!GV34</f>
        <v>-</v>
      </c>
      <c r="GW5" s="43" t="str">
        <f>'cal2'!GW34</f>
        <v>이기수</v>
      </c>
      <c r="GX5" s="43" t="str">
        <f>'cal2'!GX34</f>
        <v>허지웅</v>
      </c>
      <c r="GY5" s="43" t="str">
        <f>'cal2'!GY34</f>
        <v>-</v>
      </c>
      <c r="GZ5" s="43" t="str">
        <f>'cal2'!GZ34</f>
        <v>-</v>
      </c>
      <c r="HA5" s="43" t="str">
        <f>'cal2'!HA34</f>
        <v>박성현</v>
      </c>
      <c r="HB5" s="43" t="str">
        <f>'cal2'!HB34</f>
        <v>-</v>
      </c>
      <c r="HC5" s="43" t="str">
        <f>'cal2'!HC34</f>
        <v>정윤준</v>
      </c>
      <c r="HD5" s="43" t="str">
        <f>'cal2'!HD34</f>
        <v>이기수</v>
      </c>
      <c r="HE5" s="43" t="str">
        <f>'cal2'!HE34</f>
        <v>-</v>
      </c>
      <c r="HF5" s="43" t="str">
        <f>'cal2'!HF34</f>
        <v>-</v>
      </c>
      <c r="HG5" s="43" t="str">
        <f>'cal2'!HG34</f>
        <v>정윤준</v>
      </c>
      <c r="HH5" s="43" t="str">
        <f>'cal2'!HH34</f>
        <v>-</v>
      </c>
      <c r="HI5" s="43" t="str">
        <f>'cal2'!HI34</f>
        <v>허지웅</v>
      </c>
      <c r="HJ5" s="43" t="str">
        <f>'cal2'!HJ34</f>
        <v>허지웅</v>
      </c>
      <c r="HK5" s="43" t="str">
        <f>'cal2'!HK34</f>
        <v>-</v>
      </c>
      <c r="HL5" s="43" t="str">
        <f>'cal2'!HL34</f>
        <v>박성현</v>
      </c>
      <c r="HM5" s="43" t="str">
        <f>'cal2'!HM34</f>
        <v>박성현</v>
      </c>
      <c r="HN5" s="43" t="str">
        <f>'cal2'!HN34</f>
        <v>-</v>
      </c>
      <c r="HO5" s="43" t="str">
        <f>'cal2'!HO34</f>
        <v>이기수</v>
      </c>
      <c r="HP5" s="43" t="str">
        <f>'cal2'!HP34</f>
        <v>이기수</v>
      </c>
      <c r="HQ5" s="43" t="str">
        <f>'cal2'!HQ34</f>
        <v>-</v>
      </c>
      <c r="HR5" s="43" t="str">
        <f>'cal2'!HR34</f>
        <v>정윤준</v>
      </c>
      <c r="HS5" s="43" t="str">
        <f>'cal2'!HS34</f>
        <v>정윤준</v>
      </c>
      <c r="HT5" s="43" t="str">
        <f>'cal2'!HT34</f>
        <v>-</v>
      </c>
      <c r="HU5" s="43" t="str">
        <f>'cal2'!HU34</f>
        <v>-</v>
      </c>
      <c r="HV5" s="43" t="str">
        <f>'cal2'!HV34</f>
        <v>허지웅</v>
      </c>
      <c r="HW5" s="43" t="str">
        <f>'cal2'!HW34</f>
        <v>-</v>
      </c>
      <c r="HX5" s="43" t="str">
        <f>'cal2'!HX34</f>
        <v>허지웅</v>
      </c>
      <c r="HY5" s="43" t="str">
        <f>'cal2'!HY34</f>
        <v>박성현</v>
      </c>
      <c r="HZ5" s="43" t="str">
        <f>'cal2'!HZ34</f>
        <v>-</v>
      </c>
      <c r="IA5" s="43" t="str">
        <f>'cal2'!IA34</f>
        <v>-</v>
      </c>
      <c r="IB5" s="43" t="str">
        <f>'cal2'!IB34</f>
        <v>이기수</v>
      </c>
      <c r="IC5" s="43" t="str">
        <f>'cal2'!IC34</f>
        <v>-</v>
      </c>
      <c r="ID5" s="43" t="str">
        <f>'cal2'!ID34</f>
        <v>박성현</v>
      </c>
      <c r="IE5" s="43" t="str">
        <f>'cal2'!IE34</f>
        <v>정윤준</v>
      </c>
      <c r="IF5" s="43" t="str">
        <f>'cal2'!IF34</f>
        <v>-</v>
      </c>
      <c r="IG5" s="43" t="str">
        <f>'cal2'!IG34</f>
        <v>이기수</v>
      </c>
      <c r="IH5" s="43" t="str">
        <f>'cal2'!IH34</f>
        <v>허지웅</v>
      </c>
      <c r="II5" s="43" t="str">
        <f>'cal2'!II34</f>
        <v>-</v>
      </c>
      <c r="IJ5" s="43" t="str">
        <f>'cal2'!IJ34</f>
        <v>정윤준</v>
      </c>
      <c r="IK5" s="43" t="str">
        <f>'cal2'!IK34</f>
        <v>박성현</v>
      </c>
      <c r="IL5" s="43" t="str">
        <f>'cal2'!IL34</f>
        <v>-</v>
      </c>
      <c r="IM5" s="43" t="str">
        <f>'cal2'!IM34</f>
        <v>허지웅</v>
      </c>
      <c r="IN5" s="43" t="str">
        <f>'cal2'!IN34</f>
        <v>이기수</v>
      </c>
      <c r="IO5" s="43" t="str">
        <f>'cal2'!IO34</f>
        <v>-</v>
      </c>
      <c r="IP5" s="43" t="str">
        <f>'cal2'!IP34</f>
        <v>-</v>
      </c>
      <c r="IQ5" s="43" t="str">
        <f>'cal2'!IQ34</f>
        <v>정윤준</v>
      </c>
      <c r="IR5" s="43" t="str">
        <f>'cal2'!IR34</f>
        <v>-</v>
      </c>
      <c r="IS5" s="43" t="str">
        <f>'cal2'!IS34</f>
        <v>박성현</v>
      </c>
      <c r="IT5" s="43" t="str">
        <f>'cal2'!IT34</f>
        <v>허지웅</v>
      </c>
      <c r="IU5" s="43" t="str">
        <f>'cal2'!IU34</f>
        <v>-</v>
      </c>
      <c r="IV5" s="43" t="str">
        <f>'cal2'!IV34</f>
        <v>-</v>
      </c>
      <c r="IW5" s="43" t="str">
        <f>'cal2'!IW34</f>
        <v>박성현</v>
      </c>
      <c r="IX5" s="43" t="str">
        <f>'cal2'!IX34</f>
        <v>-</v>
      </c>
      <c r="IY5" s="43" t="str">
        <f>'cal2'!IY34</f>
        <v>이기수</v>
      </c>
      <c r="IZ5" s="43" t="str">
        <f>'cal2'!IZ34</f>
        <v>이기수</v>
      </c>
      <c r="JA5" s="43" t="str">
        <f>'cal2'!JA34</f>
        <v>-</v>
      </c>
      <c r="JB5" s="43" t="str">
        <f>'cal2'!JB34</f>
        <v>정윤준</v>
      </c>
      <c r="JC5" s="43" t="str">
        <f>'cal2'!JC34</f>
        <v>정윤준</v>
      </c>
      <c r="JD5" s="43" t="str">
        <f>'cal2'!JD34</f>
        <v>-</v>
      </c>
      <c r="JE5" s="43" t="str">
        <f>'cal2'!JE34</f>
        <v>허지웅</v>
      </c>
      <c r="JF5" s="43" t="str">
        <f>'cal2'!JF34</f>
        <v>허지웅</v>
      </c>
      <c r="JG5" s="43" t="str">
        <f>'cal2'!JG34</f>
        <v>-</v>
      </c>
      <c r="JH5" s="43" t="str">
        <f>'cal2'!JH34</f>
        <v>-</v>
      </c>
      <c r="JI5" s="43" t="str">
        <f>'cal2'!JI34</f>
        <v>박성현</v>
      </c>
      <c r="JJ5" s="43" t="str">
        <f>'cal2'!JJ34</f>
        <v>-</v>
      </c>
      <c r="JK5" s="43" t="str">
        <f>'cal2'!JK34</f>
        <v>-</v>
      </c>
      <c r="JL5" s="43" t="str">
        <f>'cal2'!JL34</f>
        <v>이기수</v>
      </c>
      <c r="JM5" s="43" t="str">
        <f>'cal2'!JM34</f>
        <v>-</v>
      </c>
      <c r="JN5" s="43" t="str">
        <f>'cal2'!JN34</f>
        <v>박성현</v>
      </c>
      <c r="JO5" s="43" t="str">
        <f>'cal2'!JO34</f>
        <v>정윤준</v>
      </c>
      <c r="JP5" s="43" t="str">
        <f>'cal2'!JP34</f>
        <v>-</v>
      </c>
      <c r="JQ5" s="43" t="str">
        <f>'cal2'!JQ34</f>
        <v>-</v>
      </c>
      <c r="JR5" s="43" t="str">
        <f>'cal2'!JR34</f>
        <v>허지웅</v>
      </c>
      <c r="JS5" s="43" t="str">
        <f>'cal2'!JS34</f>
        <v>-</v>
      </c>
      <c r="JT5" s="43" t="str">
        <f>'cal2'!JT34</f>
        <v>이기수</v>
      </c>
      <c r="JU5" s="43" t="str">
        <f>'cal2'!JU34</f>
        <v>박성현</v>
      </c>
      <c r="JV5" s="43" t="str">
        <f>'cal2'!JV34</f>
        <v>-</v>
      </c>
      <c r="JW5" s="43" t="str">
        <f>'cal2'!JW34</f>
        <v>-</v>
      </c>
      <c r="JX5" s="43" t="str">
        <f>'cal2'!JX34</f>
        <v>이기수</v>
      </c>
      <c r="JY5" s="43" t="str">
        <f>'cal2'!JY34</f>
        <v>-</v>
      </c>
      <c r="JZ5" s="43" t="str">
        <f>'cal2'!JZ34</f>
        <v>정윤준</v>
      </c>
      <c r="KA5" s="43" t="str">
        <f>'cal2'!KA34</f>
        <v>정윤준</v>
      </c>
      <c r="KB5" s="43" t="str">
        <f>'cal2'!KB34</f>
        <v>-</v>
      </c>
      <c r="KC5" s="43" t="str">
        <f>'cal2'!KC34</f>
        <v>허지웅</v>
      </c>
      <c r="KD5" s="43" t="str">
        <f>'cal2'!KD34</f>
        <v>허지웅</v>
      </c>
      <c r="KE5" s="43" t="str">
        <f>'cal2'!KE34</f>
        <v>-</v>
      </c>
      <c r="KF5" s="43" t="str">
        <f>'cal2'!KF34</f>
        <v>-</v>
      </c>
      <c r="KG5" s="43" t="str">
        <f>'cal2'!KG34</f>
        <v>박성현</v>
      </c>
      <c r="KH5" s="43" t="str">
        <f>'cal2'!KH34</f>
        <v>-</v>
      </c>
      <c r="KI5" s="43" t="str">
        <f>'cal2'!KI34</f>
        <v>박성현</v>
      </c>
      <c r="KJ5" s="43" t="str">
        <f>'cal2'!KJ34</f>
        <v>이기수</v>
      </c>
      <c r="KK5" s="43" t="str">
        <f>'cal2'!KK34</f>
        <v>-</v>
      </c>
      <c r="KL5" s="43" t="str">
        <f>'cal2'!KL34</f>
        <v>-</v>
      </c>
      <c r="KM5" s="43" t="str">
        <f>'cal2'!KM34</f>
        <v>정윤준</v>
      </c>
      <c r="KN5" s="43" t="str">
        <f>'cal2'!KN34</f>
        <v>-</v>
      </c>
      <c r="KO5" s="43" t="str">
        <f>'cal2'!KO34</f>
        <v>이기수</v>
      </c>
      <c r="KP5" s="43" t="str">
        <f>'cal2'!KP34</f>
        <v>허지웅</v>
      </c>
      <c r="KQ5" s="43" t="str">
        <f>'cal2'!KQ34</f>
        <v>-</v>
      </c>
      <c r="KR5" s="43" t="str">
        <f>'cal2'!KR34</f>
        <v>정윤준</v>
      </c>
      <c r="KS5" s="43" t="str">
        <f>'cal2'!KS34</f>
        <v>박성현</v>
      </c>
      <c r="KT5" s="43" t="str">
        <f>'cal2'!KT34</f>
        <v>-</v>
      </c>
      <c r="KU5" s="43" t="str">
        <f>'cal2'!KU34</f>
        <v>허지웅</v>
      </c>
      <c r="KV5" s="43" t="str">
        <f>'cal2'!KV34</f>
        <v>이기수</v>
      </c>
      <c r="KW5" s="43" t="str">
        <f>'cal2'!KW34</f>
        <v>-</v>
      </c>
      <c r="KX5" s="43" t="str">
        <f>'cal2'!KX34</f>
        <v>박성현</v>
      </c>
      <c r="KY5" s="43" t="str">
        <f>'cal2'!KY34</f>
        <v>정윤준</v>
      </c>
      <c r="KZ5" s="43" t="str">
        <f>'cal2'!KZ34</f>
        <v>-</v>
      </c>
      <c r="LA5" s="43" t="str">
        <f>'cal2'!LA34</f>
        <v>-</v>
      </c>
      <c r="LB5" s="43" t="str">
        <f>'cal2'!LB34</f>
        <v>허지웅</v>
      </c>
      <c r="LC5" s="43" t="str">
        <f>'cal2'!LC34</f>
        <v>-</v>
      </c>
      <c r="LD5" s="43" t="str">
        <f>'cal2'!LD34</f>
        <v>이기수</v>
      </c>
      <c r="LE5" s="43" t="str">
        <f>'cal2'!LE34</f>
        <v>박성현</v>
      </c>
      <c r="LF5" s="43" t="str">
        <f>'cal2'!LF34</f>
        <v>-</v>
      </c>
      <c r="LG5" s="43" t="str">
        <f>'cal2'!LG34</f>
        <v>-</v>
      </c>
      <c r="LH5" s="43" t="str">
        <f>'cal2'!LH34</f>
        <v>이기수</v>
      </c>
      <c r="LI5" s="43" t="str">
        <f>'cal2'!LI34</f>
        <v>-</v>
      </c>
      <c r="LJ5" s="43" t="str">
        <f>'cal2'!LJ34</f>
        <v>정윤준</v>
      </c>
      <c r="LK5" s="43" t="str">
        <f>'cal2'!LK34</f>
        <v>정윤준</v>
      </c>
      <c r="LL5" s="43" t="str">
        <f>'cal2'!LL34</f>
        <v>-</v>
      </c>
      <c r="LM5" s="43" t="str">
        <f>'cal2'!LM34</f>
        <v>허지웅</v>
      </c>
      <c r="LN5" s="43" t="str">
        <f>'cal2'!LN34</f>
        <v>허지웅</v>
      </c>
      <c r="LO5" s="43" t="str">
        <f>'cal2'!LO34</f>
        <v>-</v>
      </c>
      <c r="LP5" s="43" t="str">
        <f>'cal2'!LP34</f>
        <v>박성현</v>
      </c>
      <c r="LQ5" s="43" t="str">
        <f>'cal2'!LQ34</f>
        <v>박성현</v>
      </c>
      <c r="LR5" s="43" t="str">
        <f>'cal2'!LR34</f>
        <v>-</v>
      </c>
      <c r="LS5" s="43" t="str">
        <f>'cal2'!LS34</f>
        <v>이기수</v>
      </c>
      <c r="LT5" s="43" t="str">
        <f>'cal2'!LT34</f>
        <v>이기수</v>
      </c>
      <c r="LU5" s="43" t="str">
        <f>'cal2'!LU34</f>
        <v>-</v>
      </c>
      <c r="LV5" s="43" t="str">
        <f>'cal2'!LV34</f>
        <v>-</v>
      </c>
      <c r="LW5" s="43" t="str">
        <f>'cal2'!LW34</f>
        <v>정윤준</v>
      </c>
      <c r="LX5" s="43" t="str">
        <f>'cal2'!LX34</f>
        <v>-</v>
      </c>
      <c r="LY5" s="43" t="str">
        <f>'cal2'!LY34</f>
        <v>정윤준</v>
      </c>
      <c r="LZ5" s="43" t="str">
        <f>'cal2'!LZ34</f>
        <v>허지웅</v>
      </c>
      <c r="MA5" s="43" t="str">
        <f>'cal2'!MA34</f>
        <v>-</v>
      </c>
      <c r="MB5" s="43" t="str">
        <f>'cal2'!MB34</f>
        <v>-</v>
      </c>
      <c r="MC5" s="43" t="str">
        <f>'cal2'!MC34</f>
        <v>박성현</v>
      </c>
      <c r="MD5" s="43" t="str">
        <f>'cal2'!MD34</f>
        <v>-</v>
      </c>
      <c r="ME5" s="43" t="str">
        <f>'cal2'!ME34</f>
        <v>허지웅</v>
      </c>
      <c r="MF5" s="43" t="str">
        <f>'cal2'!MF34</f>
        <v>이기수</v>
      </c>
      <c r="MG5" s="43" t="str">
        <f>'cal2'!MG34</f>
        <v>-</v>
      </c>
      <c r="MH5" s="43" t="str">
        <f>'cal2'!MH34</f>
        <v>박성현</v>
      </c>
      <c r="MI5" s="43" t="str">
        <f>'cal2'!MI34</f>
        <v>정윤준</v>
      </c>
      <c r="MJ5" s="43" t="str">
        <f>'cal2'!MJ34</f>
        <v>-</v>
      </c>
      <c r="MK5" s="43" t="str">
        <f>'cal2'!MK34</f>
        <v>이기수</v>
      </c>
      <c r="ML5" s="43" t="str">
        <f>'cal2'!ML34</f>
        <v>허지웅</v>
      </c>
      <c r="MM5" s="43" t="str">
        <f>'cal2'!MM34</f>
        <v>-</v>
      </c>
      <c r="MN5" s="43" t="str">
        <f>'cal2'!MN34</f>
        <v>정윤준</v>
      </c>
      <c r="MO5" s="43" t="str">
        <f>'cal2'!MO34</f>
        <v>박성현</v>
      </c>
      <c r="MP5" s="43" t="str">
        <f>'cal2'!MP34</f>
        <v>-</v>
      </c>
      <c r="MQ5" s="43" t="str">
        <f>'cal2'!MQ34</f>
        <v>-</v>
      </c>
      <c r="MR5" s="43" t="str">
        <f>'cal2'!MR34</f>
        <v>이기수</v>
      </c>
      <c r="MS5" s="43" t="str">
        <f>'cal2'!MS34</f>
        <v>-</v>
      </c>
      <c r="MT5" s="43" t="str">
        <f>'cal2'!MT34</f>
        <v>허지웅</v>
      </c>
      <c r="MU5" s="43" t="str">
        <f>'cal2'!MU34</f>
        <v>정윤준</v>
      </c>
      <c r="MV5" s="43" t="str">
        <f>'cal2'!MV34</f>
        <v>-</v>
      </c>
      <c r="MW5" s="43" t="str">
        <f>'cal2'!MW34</f>
        <v>-</v>
      </c>
      <c r="MX5" s="43" t="str">
        <f>'cal2'!MX34</f>
        <v>허지웅</v>
      </c>
      <c r="MY5" s="43" t="str">
        <f>'cal2'!MY34</f>
        <v>-</v>
      </c>
      <c r="MZ5" s="43" t="str">
        <f>'cal2'!MZ34</f>
        <v>박성현</v>
      </c>
      <c r="NA5" s="43" t="str">
        <f>'cal2'!NA34</f>
        <v>박성현</v>
      </c>
      <c r="NB5" s="43" t="str">
        <f>'cal2'!NB34</f>
        <v>-</v>
      </c>
      <c r="NC5" s="43" t="str">
        <f>'cal2'!NC34</f>
        <v>이기수</v>
      </c>
    </row>
    <row r="6" spans="1:367" s="40" customFormat="1" ht="18" thickBot="1">
      <c r="A6" s="43" t="str">
        <f>'cal2'!A35</f>
        <v>글로벌</v>
      </c>
      <c r="B6" s="43" t="str">
        <f>'cal2'!B35</f>
        <v>정윤준</v>
      </c>
      <c r="C6" s="43" t="str">
        <f>'cal2'!C35</f>
        <v>-</v>
      </c>
      <c r="D6" s="43" t="str">
        <f>'cal2'!D35</f>
        <v>-</v>
      </c>
      <c r="E6" s="43" t="str">
        <f>'cal2'!E35</f>
        <v>허지웅</v>
      </c>
      <c r="F6" s="43" t="str">
        <f>'cal2'!F35</f>
        <v>-</v>
      </c>
      <c r="G6" s="43" t="str">
        <f>'cal2'!G35</f>
        <v>정윤준</v>
      </c>
      <c r="H6" s="43" t="str">
        <f>'cal2'!H35</f>
        <v>박성현</v>
      </c>
      <c r="I6" s="43" t="str">
        <f>'cal2'!I35</f>
        <v>-</v>
      </c>
      <c r="J6" s="43" t="str">
        <f>'cal2'!J35</f>
        <v>허지웅</v>
      </c>
      <c r="K6" s="43" t="str">
        <f>'cal2'!K35</f>
        <v>이기수</v>
      </c>
      <c r="L6" s="43" t="str">
        <f>'cal2'!L35</f>
        <v>-</v>
      </c>
      <c r="M6" s="43" t="str">
        <f>'cal2'!M35</f>
        <v>박성현</v>
      </c>
      <c r="N6" s="43" t="str">
        <f>'cal2'!N35</f>
        <v>정윤준</v>
      </c>
      <c r="O6" s="43" t="str">
        <f>'cal2'!O35</f>
        <v>-</v>
      </c>
      <c r="P6" s="43" t="str">
        <f>'cal2'!P35</f>
        <v>이기수</v>
      </c>
      <c r="Q6" s="43" t="str">
        <f>'cal2'!Q35</f>
        <v>허지웅</v>
      </c>
      <c r="R6" s="43" t="str">
        <f>'cal2'!R35</f>
        <v>-</v>
      </c>
      <c r="S6" s="43" t="str">
        <f>'cal2'!S35</f>
        <v>-</v>
      </c>
      <c r="T6" s="43" t="str">
        <f>'cal2'!T35</f>
        <v>박성현</v>
      </c>
      <c r="U6" s="43" t="str">
        <f>'cal2'!U35</f>
        <v>-</v>
      </c>
      <c r="V6" s="43" t="str">
        <f>'cal2'!V35</f>
        <v>정윤준</v>
      </c>
      <c r="W6" s="43" t="str">
        <f>'cal2'!W35</f>
        <v>이기수</v>
      </c>
      <c r="X6" s="43" t="str">
        <f>'cal2'!X35</f>
        <v>-</v>
      </c>
      <c r="Y6" s="43" t="str">
        <f>'cal2'!Y35</f>
        <v>-</v>
      </c>
      <c r="Z6" s="43" t="str">
        <f>'cal2'!Z35</f>
        <v>정윤준</v>
      </c>
      <c r="AA6" s="43" t="str">
        <f>'cal2'!AA35</f>
        <v>-</v>
      </c>
      <c r="AB6" s="43" t="str">
        <f>'cal2'!AB35</f>
        <v>허지웅</v>
      </c>
      <c r="AC6" s="43" t="str">
        <f>'cal2'!AC35</f>
        <v>허지웅</v>
      </c>
      <c r="AD6" s="43" t="str">
        <f>'cal2'!AD35</f>
        <v>-</v>
      </c>
      <c r="AE6" s="43" t="str">
        <f>'cal2'!AE35</f>
        <v>박성현</v>
      </c>
      <c r="AF6" s="43" t="str">
        <f>'cal2'!AF35</f>
        <v>박성현</v>
      </c>
      <c r="AG6" s="43" t="str">
        <f>'cal2'!AG35</f>
        <v>-</v>
      </c>
      <c r="AH6" s="43" t="str">
        <f>'cal2'!AH35</f>
        <v>이기수</v>
      </c>
      <c r="AI6" s="43" t="str">
        <f>'cal2'!AI35</f>
        <v>이기수</v>
      </c>
      <c r="AJ6" s="43" t="str">
        <f>'cal2'!AJ35</f>
        <v>-</v>
      </c>
      <c r="AK6" s="43" t="str">
        <f>'cal2'!AK35</f>
        <v>정윤준</v>
      </c>
      <c r="AL6" s="43" t="str">
        <f>'cal2'!AL35</f>
        <v>정윤준</v>
      </c>
      <c r="AM6" s="43" t="str">
        <f>'cal2'!AM35</f>
        <v>-</v>
      </c>
      <c r="AN6" s="43" t="str">
        <f>'cal2'!AN35</f>
        <v>-</v>
      </c>
      <c r="AO6" s="43" t="str">
        <f>'cal2'!AO35</f>
        <v>허지웅</v>
      </c>
      <c r="AP6" s="43" t="str">
        <f>'cal2'!AP35</f>
        <v>-</v>
      </c>
      <c r="AQ6" s="43" t="str">
        <f>'cal2'!AQ35</f>
        <v>허지웅</v>
      </c>
      <c r="AR6" s="43" t="str">
        <f>'cal2'!AR35</f>
        <v>박성현</v>
      </c>
      <c r="AS6" s="43" t="str">
        <f>'cal2'!AS35</f>
        <v>-</v>
      </c>
      <c r="AT6" s="43" t="str">
        <f>'cal2'!AT35</f>
        <v>-</v>
      </c>
      <c r="AU6" s="43" t="str">
        <f>'cal2'!AU35</f>
        <v>이기수</v>
      </c>
      <c r="AV6" s="43" t="str">
        <f>'cal2'!AV35</f>
        <v>-</v>
      </c>
      <c r="AW6" s="43" t="str">
        <f>'cal2'!AW35</f>
        <v>-</v>
      </c>
      <c r="AX6" s="43" t="str">
        <f>'cal2'!AX35</f>
        <v>정윤준</v>
      </c>
      <c r="AY6" s="43" t="str">
        <f>'cal2'!AY35</f>
        <v>-</v>
      </c>
      <c r="AZ6" s="43" t="str">
        <f>'cal2'!AZ35</f>
        <v>박성현</v>
      </c>
      <c r="BA6" s="43" t="str">
        <f>'cal2'!BA35</f>
        <v>허지웅</v>
      </c>
      <c r="BB6" s="43" t="str">
        <f>'cal2'!BB35</f>
        <v>-</v>
      </c>
      <c r="BC6" s="43" t="str">
        <f>'cal2'!BC35</f>
        <v>이기수</v>
      </c>
      <c r="BD6" s="43" t="str">
        <f>'cal2'!BD35</f>
        <v>박성현</v>
      </c>
      <c r="BE6" s="43" t="str">
        <f>'cal2'!BE35</f>
        <v>-</v>
      </c>
      <c r="BF6" s="43" t="str">
        <f>'cal2'!BF35</f>
        <v>정윤준</v>
      </c>
      <c r="BG6" s="43" t="str">
        <f>'cal2'!BG35</f>
        <v>이기수</v>
      </c>
      <c r="BH6" s="43" t="str">
        <f>'cal2'!BH35</f>
        <v>-</v>
      </c>
      <c r="BI6" s="43" t="str">
        <f>'cal2'!BI35</f>
        <v>-</v>
      </c>
      <c r="BJ6" s="43" t="str">
        <f>'cal2'!BJ35</f>
        <v>정윤준</v>
      </c>
      <c r="BK6" s="43" t="str">
        <f>'cal2'!BK35</f>
        <v>-</v>
      </c>
      <c r="BL6" s="43" t="str">
        <f>'cal2'!BL35</f>
        <v>허지웅</v>
      </c>
      <c r="BM6" s="43" t="str">
        <f>'cal2'!BM35</f>
        <v>허지웅</v>
      </c>
      <c r="BN6" s="43" t="str">
        <f>'cal2'!BN35</f>
        <v>-</v>
      </c>
      <c r="BO6" s="43" t="str">
        <f>'cal2'!BO35</f>
        <v>-</v>
      </c>
      <c r="BP6" s="43" t="str">
        <f>'cal2'!BP35</f>
        <v>박성현</v>
      </c>
      <c r="BQ6" s="43" t="str">
        <f>'cal2'!BQ35</f>
        <v>-</v>
      </c>
      <c r="BR6" s="43" t="str">
        <f>'cal2'!BR35</f>
        <v>박성현</v>
      </c>
      <c r="BS6" s="43" t="str">
        <f>'cal2'!BS35</f>
        <v>이기수</v>
      </c>
      <c r="BT6" s="43" t="str">
        <f>'cal2'!BT35</f>
        <v>-</v>
      </c>
      <c r="BU6" s="43" t="str">
        <f>'cal2'!BU35</f>
        <v>이기수</v>
      </c>
      <c r="BV6" s="43" t="str">
        <f>'cal2'!BV35</f>
        <v>정윤준</v>
      </c>
      <c r="BW6" s="43" t="str">
        <f>'cal2'!BW35</f>
        <v>-</v>
      </c>
      <c r="BX6" s="43" t="str">
        <f>'cal2'!BX35</f>
        <v>정윤준</v>
      </c>
      <c r="BY6" s="43" t="str">
        <f>'cal2'!BY35</f>
        <v>허지웅</v>
      </c>
      <c r="BZ6" s="43" t="str">
        <f>'cal2'!BZ35</f>
        <v>-</v>
      </c>
      <c r="CA6" s="43" t="str">
        <f>'cal2'!CA35</f>
        <v>허지웅</v>
      </c>
      <c r="CB6" s="43" t="str">
        <f>'cal2'!CB35</f>
        <v>박성현</v>
      </c>
      <c r="CC6" s="43" t="str">
        <f>'cal2'!CC35</f>
        <v>-</v>
      </c>
      <c r="CD6" s="43" t="str">
        <f>'cal2'!CD35</f>
        <v>-</v>
      </c>
      <c r="CE6" s="43" t="str">
        <f>'cal2'!CE35</f>
        <v>이기수</v>
      </c>
      <c r="CF6" s="43" t="str">
        <f>'cal2'!CF35</f>
        <v>-</v>
      </c>
      <c r="CG6" s="43" t="str">
        <f>'cal2'!CG35</f>
        <v>박성현</v>
      </c>
      <c r="CH6" s="43" t="str">
        <f>'cal2'!CH35</f>
        <v>정윤준</v>
      </c>
      <c r="CI6" s="43" t="str">
        <f>'cal2'!CI35</f>
        <v>-</v>
      </c>
      <c r="CJ6" s="43" t="str">
        <f>'cal2'!CJ35</f>
        <v>-</v>
      </c>
      <c r="CK6" s="43" t="str">
        <f>'cal2'!CK35</f>
        <v>허지웅</v>
      </c>
      <c r="CL6" s="43" t="str">
        <f>'cal2'!CL35</f>
        <v>-</v>
      </c>
      <c r="CM6" s="43" t="str">
        <f>'cal2'!CM35</f>
        <v>이기수</v>
      </c>
      <c r="CN6" s="43" t="str">
        <f>'cal2'!CN35</f>
        <v>박성현</v>
      </c>
      <c r="CO6" s="43" t="str">
        <f>'cal2'!CO35</f>
        <v>-</v>
      </c>
      <c r="CP6" s="43" t="str">
        <f>'cal2'!CP35</f>
        <v>정윤준</v>
      </c>
      <c r="CQ6" s="43" t="str">
        <f>'cal2'!CQ35</f>
        <v>이기수</v>
      </c>
      <c r="CR6" s="43" t="str">
        <f>'cal2'!CR35</f>
        <v>-</v>
      </c>
      <c r="CS6" s="43" t="str">
        <f>'cal2'!CS35</f>
        <v>허지웅</v>
      </c>
      <c r="CT6" s="43" t="str">
        <f>'cal2'!CT35</f>
        <v>정윤준</v>
      </c>
      <c r="CU6" s="43" t="str">
        <f>'cal2'!CU35</f>
        <v>-</v>
      </c>
      <c r="CV6" s="43" t="str">
        <f>'cal2'!CV35</f>
        <v>박성현</v>
      </c>
      <c r="CW6" s="43" t="str">
        <f>'cal2'!CW35</f>
        <v>허지웅</v>
      </c>
      <c r="CX6" s="43" t="str">
        <f>'cal2'!CX35</f>
        <v>-</v>
      </c>
      <c r="CY6" s="43" t="str">
        <f>'cal2'!CY35</f>
        <v>-</v>
      </c>
      <c r="CZ6" s="43" t="str">
        <f>'cal2'!CZ35</f>
        <v>박성현</v>
      </c>
      <c r="DA6" s="43" t="str">
        <f>'cal2'!DA35</f>
        <v>-</v>
      </c>
      <c r="DB6" s="43" t="str">
        <f>'cal2'!DB35</f>
        <v>이기수</v>
      </c>
      <c r="DC6" s="43" t="str">
        <f>'cal2'!DC35</f>
        <v>이기수</v>
      </c>
      <c r="DD6" s="43" t="str">
        <f>'cal2'!DD35</f>
        <v>-</v>
      </c>
      <c r="DE6" s="43" t="str">
        <f>'cal2'!DE35</f>
        <v>-</v>
      </c>
      <c r="DF6" s="43" t="str">
        <f>'cal2'!DF35</f>
        <v>정윤준</v>
      </c>
      <c r="DG6" s="43" t="str">
        <f>'cal2'!DG35</f>
        <v>-</v>
      </c>
      <c r="DH6" s="43" t="str">
        <f>'cal2'!DH35</f>
        <v>정윤준</v>
      </c>
      <c r="DI6" s="43" t="str">
        <f>'cal2'!DI35</f>
        <v>허지웅</v>
      </c>
      <c r="DJ6" s="43" t="str">
        <f>'cal2'!DJ35</f>
        <v>-</v>
      </c>
      <c r="DK6" s="43" t="str">
        <f>'cal2'!DK35</f>
        <v>허지웅</v>
      </c>
      <c r="DL6" s="43" t="str">
        <f>'cal2'!DL35</f>
        <v>박성현</v>
      </c>
      <c r="DM6" s="43" t="str">
        <f>'cal2'!DM35</f>
        <v>-</v>
      </c>
      <c r="DN6" s="43" t="str">
        <f>'cal2'!DN35</f>
        <v>박성현</v>
      </c>
      <c r="DO6" s="43" t="str">
        <f>'cal2'!DO35</f>
        <v>이기수</v>
      </c>
      <c r="DP6" s="43" t="str">
        <f>'cal2'!DP35</f>
        <v>-</v>
      </c>
      <c r="DQ6" s="43" t="str">
        <f>'cal2'!DQ35</f>
        <v>이기수</v>
      </c>
      <c r="DR6" s="43" t="str">
        <f>'cal2'!DR35</f>
        <v>정윤준</v>
      </c>
      <c r="DS6" s="43" t="str">
        <f>'cal2'!DS35</f>
        <v>-</v>
      </c>
      <c r="DT6" s="43" t="str">
        <f>'cal2'!DT35</f>
        <v>-</v>
      </c>
      <c r="DU6" s="43" t="str">
        <f>'cal2'!DU35</f>
        <v>허지웅</v>
      </c>
      <c r="DV6" s="43" t="str">
        <f>'cal2'!DV35</f>
        <v>-</v>
      </c>
      <c r="DW6" s="43" t="str">
        <f>'cal2'!DW35</f>
        <v>정윤준</v>
      </c>
      <c r="DX6" s="43" t="str">
        <f>'cal2'!DX35</f>
        <v>박성현</v>
      </c>
      <c r="DY6" s="43" t="str">
        <f>'cal2'!DY35</f>
        <v>-</v>
      </c>
      <c r="DZ6" s="43" t="str">
        <f>'cal2'!DZ35</f>
        <v>-</v>
      </c>
      <c r="EA6" s="43" t="str">
        <f>'cal2'!EA35</f>
        <v>이기수</v>
      </c>
      <c r="EB6" s="43" t="str">
        <f>'cal2'!EB35</f>
        <v>-</v>
      </c>
      <c r="EC6" s="43" t="str">
        <f>'cal2'!EC35</f>
        <v>허지웅</v>
      </c>
      <c r="ED6" s="43" t="str">
        <f>'cal2'!ED35</f>
        <v>정윤준</v>
      </c>
      <c r="EE6" s="43" t="str">
        <f>'cal2'!EE35</f>
        <v>-</v>
      </c>
      <c r="EF6" s="43" t="str">
        <f>'cal2'!EF35</f>
        <v>박성현</v>
      </c>
      <c r="EG6" s="43" t="str">
        <f>'cal2'!EG35</f>
        <v>허지웅</v>
      </c>
      <c r="EH6" s="43" t="str">
        <f>'cal2'!EH35</f>
        <v>-</v>
      </c>
      <c r="EI6" s="43" t="str">
        <f>'cal2'!EI35</f>
        <v>이기수</v>
      </c>
      <c r="EJ6" s="43" t="str">
        <f>'cal2'!EJ35</f>
        <v>박성현</v>
      </c>
      <c r="EK6" s="43" t="str">
        <f>'cal2'!EK35</f>
        <v>-</v>
      </c>
      <c r="EL6" s="43" t="str">
        <f>'cal2'!EL35</f>
        <v>정윤준</v>
      </c>
      <c r="EM6" s="43" t="str">
        <f>'cal2'!EM35</f>
        <v>이기수</v>
      </c>
      <c r="EN6" s="43" t="str">
        <f>'cal2'!EN35</f>
        <v>-</v>
      </c>
      <c r="EO6" s="43" t="str">
        <f>'cal2'!EO35</f>
        <v>-</v>
      </c>
      <c r="EP6" s="43" t="str">
        <f>'cal2'!EP35</f>
        <v>정윤준</v>
      </c>
      <c r="EQ6" s="43" t="str">
        <f>'cal2'!EQ35</f>
        <v>-</v>
      </c>
      <c r="ER6" s="43" t="str">
        <f>'cal2'!ER35</f>
        <v>허지웅</v>
      </c>
      <c r="ES6" s="43" t="str">
        <f>'cal2'!ES35</f>
        <v>허지웅</v>
      </c>
      <c r="ET6" s="43" t="str">
        <f>'cal2'!ET35</f>
        <v>-</v>
      </c>
      <c r="EU6" s="43" t="str">
        <f>'cal2'!EU35</f>
        <v>-</v>
      </c>
      <c r="EV6" s="43" t="str">
        <f>'cal2'!EV35</f>
        <v>박성현</v>
      </c>
      <c r="EW6" s="43" t="str">
        <f>'cal2'!EW35</f>
        <v>-</v>
      </c>
      <c r="EX6" s="43" t="str">
        <f>'cal2'!EX35</f>
        <v>박성현</v>
      </c>
      <c r="EY6" s="43" t="str">
        <f>'cal2'!EY35</f>
        <v>이기수</v>
      </c>
      <c r="EZ6" s="43" t="str">
        <f>'cal2'!EZ35</f>
        <v>-</v>
      </c>
      <c r="FA6" s="43" t="str">
        <f>'cal2'!FA35</f>
        <v>이기수</v>
      </c>
      <c r="FB6" s="43" t="str">
        <f>'cal2'!FB35</f>
        <v>정윤준</v>
      </c>
      <c r="FC6" s="43" t="str">
        <f>'cal2'!FC35</f>
        <v>-</v>
      </c>
      <c r="FD6" s="43" t="str">
        <f>'cal2'!FD35</f>
        <v>정윤준</v>
      </c>
      <c r="FE6" s="43" t="str">
        <f>'cal2'!FE35</f>
        <v>허지웅</v>
      </c>
      <c r="FF6" s="43" t="str">
        <f>'cal2'!FF35</f>
        <v>-</v>
      </c>
      <c r="FG6" s="43" t="str">
        <f>'cal2'!FG35</f>
        <v>허지웅</v>
      </c>
      <c r="FH6" s="43" t="str">
        <f>'cal2'!FH35</f>
        <v>박성현</v>
      </c>
      <c r="FI6" s="43" t="str">
        <f>'cal2'!FI35</f>
        <v>-</v>
      </c>
      <c r="FJ6" s="43" t="str">
        <f>'cal2'!FJ35</f>
        <v>-</v>
      </c>
      <c r="FK6" s="43" t="str">
        <f>'cal2'!FK35</f>
        <v>이기수</v>
      </c>
      <c r="FL6" s="43" t="str">
        <f>'cal2'!FL35</f>
        <v>-</v>
      </c>
      <c r="FM6" s="43" t="str">
        <f>'cal2'!FM35</f>
        <v>박성현</v>
      </c>
      <c r="FN6" s="43" t="str">
        <f>'cal2'!FN35</f>
        <v>정윤준</v>
      </c>
      <c r="FO6" s="43" t="str">
        <f>'cal2'!FO35</f>
        <v>-</v>
      </c>
      <c r="FP6" s="43" t="str">
        <f>'cal2'!FP35</f>
        <v>-</v>
      </c>
      <c r="FQ6" s="43" t="str">
        <f>'cal2'!FQ35</f>
        <v>허지웅</v>
      </c>
      <c r="FR6" s="43" t="str">
        <f>'cal2'!FR35</f>
        <v>-</v>
      </c>
      <c r="FS6" s="43" t="str">
        <f>'cal2'!FS35</f>
        <v>이기수</v>
      </c>
      <c r="FT6" s="43" t="str">
        <f>'cal2'!FT35</f>
        <v>박성현</v>
      </c>
      <c r="FU6" s="43" t="str">
        <f>'cal2'!FU35</f>
        <v>-</v>
      </c>
      <c r="FV6" s="43" t="str">
        <f>'cal2'!FV35</f>
        <v>정윤준</v>
      </c>
      <c r="FW6" s="43" t="str">
        <f>'cal2'!FW35</f>
        <v>이기수</v>
      </c>
      <c r="FX6" s="43" t="str">
        <f>'cal2'!FX35</f>
        <v>-</v>
      </c>
      <c r="FY6" s="43" t="str">
        <f>'cal2'!FY35</f>
        <v>허지웅</v>
      </c>
      <c r="FZ6" s="43" t="str">
        <f>'cal2'!FZ35</f>
        <v>정윤준</v>
      </c>
      <c r="GA6" s="43" t="str">
        <f>'cal2'!GA35</f>
        <v>-</v>
      </c>
      <c r="GB6" s="43" t="str">
        <f>'cal2'!GB35</f>
        <v>박성현</v>
      </c>
      <c r="GC6" s="43" t="str">
        <f>'cal2'!GC35</f>
        <v>허지웅</v>
      </c>
      <c r="GD6" s="43" t="str">
        <f>'cal2'!GD35</f>
        <v>-</v>
      </c>
      <c r="GE6" s="43" t="str">
        <f>'cal2'!GE35</f>
        <v>-</v>
      </c>
      <c r="GF6" s="43" t="str">
        <f>'cal2'!GF35</f>
        <v>박성현</v>
      </c>
      <c r="GG6" s="43" t="str">
        <f>'cal2'!GG35</f>
        <v>-</v>
      </c>
      <c r="GH6" s="43" t="str">
        <f>'cal2'!GH35</f>
        <v>이기수</v>
      </c>
      <c r="GI6" s="43" t="str">
        <f>'cal2'!GI35</f>
        <v>이기수</v>
      </c>
      <c r="GJ6" s="43" t="str">
        <f>'cal2'!GJ35</f>
        <v>-</v>
      </c>
      <c r="GK6" s="43" t="str">
        <f>'cal2'!GK35</f>
        <v>-</v>
      </c>
      <c r="GL6" s="43" t="str">
        <f>'cal2'!GL35</f>
        <v>정윤준</v>
      </c>
      <c r="GM6" s="43" t="str">
        <f>'cal2'!GM35</f>
        <v>-</v>
      </c>
      <c r="GN6" s="43" t="str">
        <f>'cal2'!GN35</f>
        <v>정윤준</v>
      </c>
      <c r="GO6" s="43" t="str">
        <f>'cal2'!GO35</f>
        <v>허지웅</v>
      </c>
      <c r="GP6" s="43" t="str">
        <f>'cal2'!GP35</f>
        <v>-</v>
      </c>
      <c r="GQ6" s="43" t="str">
        <f>'cal2'!GQ35</f>
        <v>-</v>
      </c>
      <c r="GR6" s="43" t="str">
        <f>'cal2'!GR35</f>
        <v>박성현</v>
      </c>
      <c r="GS6" s="43" t="str">
        <f>'cal2'!GS35</f>
        <v>-</v>
      </c>
      <c r="GT6" s="43" t="str">
        <f>'cal2'!GT35</f>
        <v>허지웅</v>
      </c>
      <c r="GU6" s="43" t="str">
        <f>'cal2'!GU35</f>
        <v>이기수</v>
      </c>
      <c r="GV6" s="43" t="str">
        <f>'cal2'!GV35</f>
        <v>-</v>
      </c>
      <c r="GW6" s="43" t="str">
        <f>'cal2'!GW35</f>
        <v>박성현</v>
      </c>
      <c r="GX6" s="43" t="str">
        <f>'cal2'!GX35</f>
        <v>정윤준</v>
      </c>
      <c r="GY6" s="43" t="str">
        <f>'cal2'!GY35</f>
        <v>-</v>
      </c>
      <c r="GZ6" s="43" t="str">
        <f>'cal2'!GZ35</f>
        <v>-</v>
      </c>
      <c r="HA6" s="43" t="str">
        <f>'cal2'!HA35</f>
        <v>허지웅</v>
      </c>
      <c r="HB6" s="43" t="str">
        <f>'cal2'!HB35</f>
        <v>-</v>
      </c>
      <c r="HC6" s="43" t="str">
        <f>'cal2'!HC35</f>
        <v>이기수</v>
      </c>
      <c r="HD6" s="43" t="str">
        <f>'cal2'!HD35</f>
        <v>박성현</v>
      </c>
      <c r="HE6" s="43" t="str">
        <f>'cal2'!HE35</f>
        <v>-</v>
      </c>
      <c r="HF6" s="43" t="str">
        <f>'cal2'!HF35</f>
        <v>-</v>
      </c>
      <c r="HG6" s="43" t="str">
        <f>'cal2'!HG35</f>
        <v>이기수</v>
      </c>
      <c r="HH6" s="43" t="str">
        <f>'cal2'!HH35</f>
        <v>-</v>
      </c>
      <c r="HI6" s="43" t="str">
        <f>'cal2'!HI35</f>
        <v>정윤준</v>
      </c>
      <c r="HJ6" s="43" t="str">
        <f>'cal2'!HJ35</f>
        <v>정윤준</v>
      </c>
      <c r="HK6" s="43" t="str">
        <f>'cal2'!HK35</f>
        <v>-</v>
      </c>
      <c r="HL6" s="43" t="str">
        <f>'cal2'!HL35</f>
        <v>허지웅</v>
      </c>
      <c r="HM6" s="43" t="str">
        <f>'cal2'!HM35</f>
        <v>허지웅</v>
      </c>
      <c r="HN6" s="43" t="str">
        <f>'cal2'!HN35</f>
        <v>-</v>
      </c>
      <c r="HO6" s="43" t="str">
        <f>'cal2'!HO35</f>
        <v>박성현</v>
      </c>
      <c r="HP6" s="43" t="str">
        <f>'cal2'!HP35</f>
        <v>박성현</v>
      </c>
      <c r="HQ6" s="43" t="str">
        <f>'cal2'!HQ35</f>
        <v>-</v>
      </c>
      <c r="HR6" s="43" t="str">
        <f>'cal2'!HR35</f>
        <v>이기수</v>
      </c>
      <c r="HS6" s="43" t="str">
        <f>'cal2'!HS35</f>
        <v>이기수</v>
      </c>
      <c r="HT6" s="43" t="str">
        <f>'cal2'!HT35</f>
        <v>-</v>
      </c>
      <c r="HU6" s="43" t="str">
        <f>'cal2'!HU35</f>
        <v>-</v>
      </c>
      <c r="HV6" s="43" t="str">
        <f>'cal2'!HV35</f>
        <v>정윤준</v>
      </c>
      <c r="HW6" s="43" t="str">
        <f>'cal2'!HW35</f>
        <v>-</v>
      </c>
      <c r="HX6" s="43" t="str">
        <f>'cal2'!HX35</f>
        <v>정윤준</v>
      </c>
      <c r="HY6" s="43" t="str">
        <f>'cal2'!HY35</f>
        <v>허지웅</v>
      </c>
      <c r="HZ6" s="43" t="str">
        <f>'cal2'!HZ35</f>
        <v>-</v>
      </c>
      <c r="IA6" s="43" t="str">
        <f>'cal2'!IA35</f>
        <v>-</v>
      </c>
      <c r="IB6" s="43" t="str">
        <f>'cal2'!IB35</f>
        <v>박성현</v>
      </c>
      <c r="IC6" s="43" t="str">
        <f>'cal2'!IC35</f>
        <v>-</v>
      </c>
      <c r="ID6" s="43" t="str">
        <f>'cal2'!ID35</f>
        <v>허지웅</v>
      </c>
      <c r="IE6" s="43" t="str">
        <f>'cal2'!IE35</f>
        <v>이기수</v>
      </c>
      <c r="IF6" s="43" t="str">
        <f>'cal2'!IF35</f>
        <v>-</v>
      </c>
      <c r="IG6" s="43" t="str">
        <f>'cal2'!IG35</f>
        <v>박성현</v>
      </c>
      <c r="IH6" s="43" t="str">
        <f>'cal2'!IH35</f>
        <v>정윤준</v>
      </c>
      <c r="II6" s="43" t="str">
        <f>'cal2'!II35</f>
        <v>-</v>
      </c>
      <c r="IJ6" s="43" t="str">
        <f>'cal2'!IJ35</f>
        <v>이기수</v>
      </c>
      <c r="IK6" s="43" t="str">
        <f>'cal2'!IK35</f>
        <v>허지웅</v>
      </c>
      <c r="IL6" s="43" t="str">
        <f>'cal2'!IL35</f>
        <v>-</v>
      </c>
      <c r="IM6" s="43" t="str">
        <f>'cal2'!IM35</f>
        <v>정윤준</v>
      </c>
      <c r="IN6" s="43" t="str">
        <f>'cal2'!IN35</f>
        <v>박성현</v>
      </c>
      <c r="IO6" s="43" t="str">
        <f>'cal2'!IO35</f>
        <v>-</v>
      </c>
      <c r="IP6" s="43" t="str">
        <f>'cal2'!IP35</f>
        <v>-</v>
      </c>
      <c r="IQ6" s="43" t="str">
        <f>'cal2'!IQ35</f>
        <v>이기수</v>
      </c>
      <c r="IR6" s="43" t="str">
        <f>'cal2'!IR35</f>
        <v>-</v>
      </c>
      <c r="IS6" s="43" t="str">
        <f>'cal2'!IS35</f>
        <v>허지웅</v>
      </c>
      <c r="IT6" s="43" t="str">
        <f>'cal2'!IT35</f>
        <v>정윤준</v>
      </c>
      <c r="IU6" s="43" t="str">
        <f>'cal2'!IU35</f>
        <v>-</v>
      </c>
      <c r="IV6" s="43" t="str">
        <f>'cal2'!IV35</f>
        <v>-</v>
      </c>
      <c r="IW6" s="43" t="str">
        <f>'cal2'!IW35</f>
        <v>허지웅</v>
      </c>
      <c r="IX6" s="43" t="str">
        <f>'cal2'!IX35</f>
        <v>-</v>
      </c>
      <c r="IY6" s="43" t="str">
        <f>'cal2'!IY35</f>
        <v>박성현</v>
      </c>
      <c r="IZ6" s="43" t="str">
        <f>'cal2'!IZ35</f>
        <v>박성현</v>
      </c>
      <c r="JA6" s="43" t="str">
        <f>'cal2'!JA35</f>
        <v>-</v>
      </c>
      <c r="JB6" s="43" t="str">
        <f>'cal2'!JB35</f>
        <v>이기수</v>
      </c>
      <c r="JC6" s="43" t="str">
        <f>'cal2'!JC35</f>
        <v>이기수</v>
      </c>
      <c r="JD6" s="43" t="str">
        <f>'cal2'!JD35</f>
        <v>-</v>
      </c>
      <c r="JE6" s="43" t="str">
        <f>'cal2'!JE35</f>
        <v>정윤준</v>
      </c>
      <c r="JF6" s="43" t="str">
        <f>'cal2'!JF35</f>
        <v>정윤준</v>
      </c>
      <c r="JG6" s="43" t="str">
        <f>'cal2'!JG35</f>
        <v>-</v>
      </c>
      <c r="JH6" s="43" t="str">
        <f>'cal2'!JH35</f>
        <v>-</v>
      </c>
      <c r="JI6" s="43" t="str">
        <f>'cal2'!JI35</f>
        <v>허지웅</v>
      </c>
      <c r="JJ6" s="43" t="str">
        <f>'cal2'!JJ35</f>
        <v>-</v>
      </c>
      <c r="JK6" s="43" t="str">
        <f>'cal2'!JK35</f>
        <v>-</v>
      </c>
      <c r="JL6" s="43" t="str">
        <f>'cal2'!JL35</f>
        <v>박성현</v>
      </c>
      <c r="JM6" s="43" t="str">
        <f>'cal2'!JM35</f>
        <v>-</v>
      </c>
      <c r="JN6" s="43" t="str">
        <f>'cal2'!JN35</f>
        <v>허지웅</v>
      </c>
      <c r="JO6" s="43" t="str">
        <f>'cal2'!JO35</f>
        <v>이기수</v>
      </c>
      <c r="JP6" s="43" t="str">
        <f>'cal2'!JP35</f>
        <v>-</v>
      </c>
      <c r="JQ6" s="43" t="str">
        <f>'cal2'!JQ35</f>
        <v>-</v>
      </c>
      <c r="JR6" s="43" t="str">
        <f>'cal2'!JR35</f>
        <v>정윤준</v>
      </c>
      <c r="JS6" s="43" t="str">
        <f>'cal2'!JS35</f>
        <v>-</v>
      </c>
      <c r="JT6" s="43" t="str">
        <f>'cal2'!JT35</f>
        <v>박성현</v>
      </c>
      <c r="JU6" s="43" t="str">
        <f>'cal2'!JU35</f>
        <v>허지웅</v>
      </c>
      <c r="JV6" s="43" t="str">
        <f>'cal2'!JV35</f>
        <v>-</v>
      </c>
      <c r="JW6" s="43" t="str">
        <f>'cal2'!JW35</f>
        <v>-</v>
      </c>
      <c r="JX6" s="43" t="str">
        <f>'cal2'!JX35</f>
        <v>박성현</v>
      </c>
      <c r="JY6" s="43" t="str">
        <f>'cal2'!JY35</f>
        <v>-</v>
      </c>
      <c r="JZ6" s="43" t="str">
        <f>'cal2'!JZ35</f>
        <v>이기수</v>
      </c>
      <c r="KA6" s="43" t="str">
        <f>'cal2'!KA35</f>
        <v>이기수</v>
      </c>
      <c r="KB6" s="43" t="str">
        <f>'cal2'!KB35</f>
        <v>-</v>
      </c>
      <c r="KC6" s="43" t="str">
        <f>'cal2'!KC35</f>
        <v>정윤준</v>
      </c>
      <c r="KD6" s="43" t="str">
        <f>'cal2'!KD35</f>
        <v>정윤준</v>
      </c>
      <c r="KE6" s="43" t="str">
        <f>'cal2'!KE35</f>
        <v>-</v>
      </c>
      <c r="KF6" s="43" t="str">
        <f>'cal2'!KF35</f>
        <v>-</v>
      </c>
      <c r="KG6" s="43" t="str">
        <f>'cal2'!KG35</f>
        <v>허지웅</v>
      </c>
      <c r="KH6" s="43" t="str">
        <f>'cal2'!KH35</f>
        <v>-</v>
      </c>
      <c r="KI6" s="43" t="str">
        <f>'cal2'!KI35</f>
        <v>허지웅</v>
      </c>
      <c r="KJ6" s="43" t="str">
        <f>'cal2'!KJ35</f>
        <v>박성현</v>
      </c>
      <c r="KK6" s="43" t="str">
        <f>'cal2'!KK35</f>
        <v>-</v>
      </c>
      <c r="KL6" s="43" t="str">
        <f>'cal2'!KL35</f>
        <v>-</v>
      </c>
      <c r="KM6" s="43" t="str">
        <f>'cal2'!KM35</f>
        <v>이기수</v>
      </c>
      <c r="KN6" s="43" t="str">
        <f>'cal2'!KN35</f>
        <v>-</v>
      </c>
      <c r="KO6" s="43" t="str">
        <f>'cal2'!KO35</f>
        <v>박성현</v>
      </c>
      <c r="KP6" s="43" t="str">
        <f>'cal2'!KP35</f>
        <v>정윤준</v>
      </c>
      <c r="KQ6" s="43" t="str">
        <f>'cal2'!KQ35</f>
        <v>-</v>
      </c>
      <c r="KR6" s="43" t="str">
        <f>'cal2'!KR35</f>
        <v>이기수</v>
      </c>
      <c r="KS6" s="43" t="str">
        <f>'cal2'!KS35</f>
        <v>허지웅</v>
      </c>
      <c r="KT6" s="43" t="str">
        <f>'cal2'!KT35</f>
        <v>-</v>
      </c>
      <c r="KU6" s="43" t="str">
        <f>'cal2'!KU35</f>
        <v>정윤준</v>
      </c>
      <c r="KV6" s="43" t="str">
        <f>'cal2'!KV35</f>
        <v>박성현</v>
      </c>
      <c r="KW6" s="43" t="str">
        <f>'cal2'!KW35</f>
        <v>-</v>
      </c>
      <c r="KX6" s="43" t="str">
        <f>'cal2'!KX35</f>
        <v>허지웅</v>
      </c>
      <c r="KY6" s="43" t="str">
        <f>'cal2'!KY35</f>
        <v>이기수</v>
      </c>
      <c r="KZ6" s="43" t="str">
        <f>'cal2'!KZ35</f>
        <v>-</v>
      </c>
      <c r="LA6" s="43" t="str">
        <f>'cal2'!LA35</f>
        <v>-</v>
      </c>
      <c r="LB6" s="43" t="str">
        <f>'cal2'!LB35</f>
        <v>정윤준</v>
      </c>
      <c r="LC6" s="43" t="str">
        <f>'cal2'!LC35</f>
        <v>-</v>
      </c>
      <c r="LD6" s="43" t="str">
        <f>'cal2'!LD35</f>
        <v>박성현</v>
      </c>
      <c r="LE6" s="43" t="str">
        <f>'cal2'!LE35</f>
        <v>허지웅</v>
      </c>
      <c r="LF6" s="43" t="str">
        <f>'cal2'!LF35</f>
        <v>-</v>
      </c>
      <c r="LG6" s="43" t="str">
        <f>'cal2'!LG35</f>
        <v>-</v>
      </c>
      <c r="LH6" s="43" t="str">
        <f>'cal2'!LH35</f>
        <v>박성현</v>
      </c>
      <c r="LI6" s="43" t="str">
        <f>'cal2'!LI35</f>
        <v>-</v>
      </c>
      <c r="LJ6" s="43" t="str">
        <f>'cal2'!LJ35</f>
        <v>이기수</v>
      </c>
      <c r="LK6" s="43" t="str">
        <f>'cal2'!LK35</f>
        <v>이기수</v>
      </c>
      <c r="LL6" s="43" t="str">
        <f>'cal2'!LL35</f>
        <v>-</v>
      </c>
      <c r="LM6" s="43" t="str">
        <f>'cal2'!LM35</f>
        <v>정윤준</v>
      </c>
      <c r="LN6" s="43" t="str">
        <f>'cal2'!LN35</f>
        <v>정윤준</v>
      </c>
      <c r="LO6" s="43" t="str">
        <f>'cal2'!LO35</f>
        <v>-</v>
      </c>
      <c r="LP6" s="43" t="str">
        <f>'cal2'!LP35</f>
        <v>허지웅</v>
      </c>
      <c r="LQ6" s="43" t="str">
        <f>'cal2'!LQ35</f>
        <v>허지웅</v>
      </c>
      <c r="LR6" s="43" t="str">
        <f>'cal2'!LR35</f>
        <v>-</v>
      </c>
      <c r="LS6" s="43" t="str">
        <f>'cal2'!LS35</f>
        <v>박성현</v>
      </c>
      <c r="LT6" s="43" t="str">
        <f>'cal2'!LT35</f>
        <v>박성현</v>
      </c>
      <c r="LU6" s="43" t="str">
        <f>'cal2'!LU35</f>
        <v>-</v>
      </c>
      <c r="LV6" s="43" t="str">
        <f>'cal2'!LV35</f>
        <v>-</v>
      </c>
      <c r="LW6" s="43" t="str">
        <f>'cal2'!LW35</f>
        <v>이기수</v>
      </c>
      <c r="LX6" s="43" t="str">
        <f>'cal2'!LX35</f>
        <v>-</v>
      </c>
      <c r="LY6" s="43" t="str">
        <f>'cal2'!LY35</f>
        <v>이기수</v>
      </c>
      <c r="LZ6" s="43" t="str">
        <f>'cal2'!LZ35</f>
        <v>정윤준</v>
      </c>
      <c r="MA6" s="43" t="str">
        <f>'cal2'!MA35</f>
        <v>-</v>
      </c>
      <c r="MB6" s="43" t="str">
        <f>'cal2'!MB35</f>
        <v>-</v>
      </c>
      <c r="MC6" s="43" t="str">
        <f>'cal2'!MC35</f>
        <v>허지웅</v>
      </c>
      <c r="MD6" s="43" t="str">
        <f>'cal2'!MD35</f>
        <v>-</v>
      </c>
      <c r="ME6" s="43" t="str">
        <f>'cal2'!ME35</f>
        <v>정윤준</v>
      </c>
      <c r="MF6" s="43" t="str">
        <f>'cal2'!MF35</f>
        <v>박성현</v>
      </c>
      <c r="MG6" s="43" t="str">
        <f>'cal2'!MG35</f>
        <v>-</v>
      </c>
      <c r="MH6" s="43" t="str">
        <f>'cal2'!MH35</f>
        <v>허지웅</v>
      </c>
      <c r="MI6" s="43" t="str">
        <f>'cal2'!MI35</f>
        <v>이기수</v>
      </c>
      <c r="MJ6" s="43" t="str">
        <f>'cal2'!MJ35</f>
        <v>-</v>
      </c>
      <c r="MK6" s="43" t="str">
        <f>'cal2'!MK35</f>
        <v>박성현</v>
      </c>
      <c r="ML6" s="43" t="str">
        <f>'cal2'!ML35</f>
        <v>정윤준</v>
      </c>
      <c r="MM6" s="43" t="str">
        <f>'cal2'!MM35</f>
        <v>-</v>
      </c>
      <c r="MN6" s="43" t="str">
        <f>'cal2'!MN35</f>
        <v>이기수</v>
      </c>
      <c r="MO6" s="43" t="str">
        <f>'cal2'!MO35</f>
        <v>허지웅</v>
      </c>
      <c r="MP6" s="43" t="str">
        <f>'cal2'!MP35</f>
        <v>-</v>
      </c>
      <c r="MQ6" s="43" t="str">
        <f>'cal2'!MQ35</f>
        <v>-</v>
      </c>
      <c r="MR6" s="43" t="str">
        <f>'cal2'!MR35</f>
        <v>박성현</v>
      </c>
      <c r="MS6" s="43" t="str">
        <f>'cal2'!MS35</f>
        <v>-</v>
      </c>
      <c r="MT6" s="43" t="str">
        <f>'cal2'!MT35</f>
        <v>정윤준</v>
      </c>
      <c r="MU6" s="43" t="str">
        <f>'cal2'!MU35</f>
        <v>이기수</v>
      </c>
      <c r="MV6" s="43" t="str">
        <f>'cal2'!MV35</f>
        <v>-</v>
      </c>
      <c r="MW6" s="43" t="str">
        <f>'cal2'!MW35</f>
        <v>-</v>
      </c>
      <c r="MX6" s="43" t="str">
        <f>'cal2'!MX35</f>
        <v>정윤준</v>
      </c>
      <c r="MY6" s="43" t="str">
        <f>'cal2'!MY35</f>
        <v>-</v>
      </c>
      <c r="MZ6" s="43" t="str">
        <f>'cal2'!MZ35</f>
        <v>허지웅</v>
      </c>
      <c r="NA6" s="43" t="str">
        <f>'cal2'!NA35</f>
        <v>허지웅</v>
      </c>
      <c r="NB6" s="43" t="str">
        <f>'cal2'!NB35</f>
        <v>-</v>
      </c>
      <c r="NC6" s="43" t="str">
        <f>'cal2'!NC35</f>
        <v>박성현</v>
      </c>
    </row>
    <row r="7" spans="1:367" s="45" customFormat="1">
      <c r="A7" s="44" t="str">
        <f>'cal2'!A36</f>
        <v>외곽-1</v>
      </c>
      <c r="B7" s="44" t="str">
        <f>'cal2'!B36</f>
        <v>이기수</v>
      </c>
      <c r="C7" s="44" t="str">
        <f>'cal2'!C36</f>
        <v>-</v>
      </c>
      <c r="D7" s="44" t="str">
        <f>'cal2'!D36</f>
        <v>-</v>
      </c>
      <c r="E7" s="44" t="str">
        <f>'cal2'!E36</f>
        <v>정윤준</v>
      </c>
      <c r="F7" s="44" t="str">
        <f>'cal2'!F36</f>
        <v>-</v>
      </c>
      <c r="G7" s="44" t="str">
        <f>'cal2'!G36</f>
        <v>이기수</v>
      </c>
      <c r="H7" s="44" t="str">
        <f>'cal2'!H36</f>
        <v>허지웅</v>
      </c>
      <c r="I7" s="44" t="str">
        <f>'cal2'!I36</f>
        <v>-</v>
      </c>
      <c r="J7" s="44" t="str">
        <f>'cal2'!J36</f>
        <v>정윤준</v>
      </c>
      <c r="K7" s="44" t="str">
        <f>'cal2'!K36</f>
        <v>박성현</v>
      </c>
      <c r="L7" s="44" t="str">
        <f>'cal2'!L36</f>
        <v>-</v>
      </c>
      <c r="M7" s="44" t="str">
        <f>'cal2'!M36</f>
        <v>허지웅</v>
      </c>
      <c r="N7" s="44" t="str">
        <f>'cal2'!N36</f>
        <v>이기수</v>
      </c>
      <c r="O7" s="44" t="str">
        <f>'cal2'!O36</f>
        <v>-</v>
      </c>
      <c r="P7" s="44" t="str">
        <f>'cal2'!P36</f>
        <v>박성현</v>
      </c>
      <c r="Q7" s="44" t="str">
        <f>'cal2'!Q36</f>
        <v>정윤준</v>
      </c>
      <c r="R7" s="44" t="str">
        <f>'cal2'!R36</f>
        <v>-</v>
      </c>
      <c r="S7" s="44" t="str">
        <f>'cal2'!S36</f>
        <v>-</v>
      </c>
      <c r="T7" s="44" t="str">
        <f>'cal2'!T36</f>
        <v>허지웅</v>
      </c>
      <c r="U7" s="44" t="str">
        <f>'cal2'!U36</f>
        <v>-</v>
      </c>
      <c r="V7" s="44" t="str">
        <f>'cal2'!V36</f>
        <v>이기수</v>
      </c>
      <c r="W7" s="44" t="str">
        <f>'cal2'!W36</f>
        <v>박성현</v>
      </c>
      <c r="X7" s="44" t="str">
        <f>'cal2'!X36</f>
        <v>-</v>
      </c>
      <c r="Y7" s="44" t="str">
        <f>'cal2'!Y36</f>
        <v>-</v>
      </c>
      <c r="Z7" s="44" t="str">
        <f>'cal2'!Z36</f>
        <v>이기수</v>
      </c>
      <c r="AA7" s="44" t="str">
        <f>'cal2'!AA36</f>
        <v>-</v>
      </c>
      <c r="AB7" s="44" t="str">
        <f>'cal2'!AB36</f>
        <v>정윤준</v>
      </c>
      <c r="AC7" s="44" t="str">
        <f>'cal2'!AC36</f>
        <v>정윤준</v>
      </c>
      <c r="AD7" s="44" t="str">
        <f>'cal2'!AD36</f>
        <v>-</v>
      </c>
      <c r="AE7" s="44" t="str">
        <f>'cal2'!AE36</f>
        <v>허지웅</v>
      </c>
      <c r="AF7" s="44" t="str">
        <f>'cal2'!AF36</f>
        <v>허지웅</v>
      </c>
      <c r="AG7" s="44" t="str">
        <f>'cal2'!AG36</f>
        <v>-</v>
      </c>
      <c r="AH7" s="44" t="str">
        <f>'cal2'!AH36</f>
        <v>박성현</v>
      </c>
      <c r="AI7" s="44" t="str">
        <f>'cal2'!AI36</f>
        <v>박성현</v>
      </c>
      <c r="AJ7" s="44" t="str">
        <f>'cal2'!AJ36</f>
        <v>-</v>
      </c>
      <c r="AK7" s="44" t="str">
        <f>'cal2'!AK36</f>
        <v>이기수</v>
      </c>
      <c r="AL7" s="44" t="str">
        <f>'cal2'!AL36</f>
        <v>이기수</v>
      </c>
      <c r="AM7" s="44" t="str">
        <f>'cal2'!AM36</f>
        <v>-</v>
      </c>
      <c r="AN7" s="44" t="str">
        <f>'cal2'!AN36</f>
        <v>-</v>
      </c>
      <c r="AO7" s="44" t="str">
        <f>'cal2'!AO36</f>
        <v>정윤준</v>
      </c>
      <c r="AP7" s="44" t="str">
        <f>'cal2'!AP36</f>
        <v>-</v>
      </c>
      <c r="AQ7" s="44" t="str">
        <f>'cal2'!AQ36</f>
        <v>정윤준</v>
      </c>
      <c r="AR7" s="44" t="str">
        <f>'cal2'!AR36</f>
        <v>허지웅</v>
      </c>
      <c r="AS7" s="44" t="str">
        <f>'cal2'!AS36</f>
        <v>-</v>
      </c>
      <c r="AT7" s="44" t="str">
        <f>'cal2'!AT36</f>
        <v>-</v>
      </c>
      <c r="AU7" s="44" t="str">
        <f>'cal2'!AU36</f>
        <v>박성현</v>
      </c>
      <c r="AV7" s="44" t="str">
        <f>'cal2'!AV36</f>
        <v>-</v>
      </c>
      <c r="AW7" s="44" t="str">
        <f>'cal2'!AW36</f>
        <v>-</v>
      </c>
      <c r="AX7" s="44" t="str">
        <f>'cal2'!AX36</f>
        <v>이기수</v>
      </c>
      <c r="AY7" s="44" t="str">
        <f>'cal2'!AY36</f>
        <v>-</v>
      </c>
      <c r="AZ7" s="44" t="str">
        <f>'cal2'!AZ36</f>
        <v>허지웅</v>
      </c>
      <c r="BA7" s="44" t="str">
        <f>'cal2'!BA36</f>
        <v>정윤준</v>
      </c>
      <c r="BB7" s="44" t="str">
        <f>'cal2'!BB36</f>
        <v>-</v>
      </c>
      <c r="BC7" s="44" t="str">
        <f>'cal2'!BC36</f>
        <v>박성현</v>
      </c>
      <c r="BD7" s="44" t="str">
        <f>'cal2'!BD36</f>
        <v>허지웅</v>
      </c>
      <c r="BE7" s="44" t="str">
        <f>'cal2'!BE36</f>
        <v>-</v>
      </c>
      <c r="BF7" s="44" t="str">
        <f>'cal2'!BF36</f>
        <v>이기수</v>
      </c>
      <c r="BG7" s="44" t="str">
        <f>'cal2'!BG36</f>
        <v>박성현</v>
      </c>
      <c r="BH7" s="44" t="str">
        <f>'cal2'!BH36</f>
        <v>-</v>
      </c>
      <c r="BI7" s="44" t="str">
        <f>'cal2'!BI36</f>
        <v>-</v>
      </c>
      <c r="BJ7" s="44" t="str">
        <f>'cal2'!BJ36</f>
        <v>이기수</v>
      </c>
      <c r="BK7" s="44" t="str">
        <f>'cal2'!BK36</f>
        <v>-</v>
      </c>
      <c r="BL7" s="44" t="str">
        <f>'cal2'!BL36</f>
        <v>정윤준</v>
      </c>
      <c r="BM7" s="44" t="str">
        <f>'cal2'!BM36</f>
        <v>정윤준</v>
      </c>
      <c r="BN7" s="44" t="str">
        <f>'cal2'!BN36</f>
        <v>-</v>
      </c>
      <c r="BO7" s="44" t="str">
        <f>'cal2'!BO36</f>
        <v>-</v>
      </c>
      <c r="BP7" s="44" t="str">
        <f>'cal2'!BP36</f>
        <v>허지웅</v>
      </c>
      <c r="BQ7" s="44" t="str">
        <f>'cal2'!BQ36</f>
        <v>-</v>
      </c>
      <c r="BR7" s="44" t="str">
        <f>'cal2'!BR36</f>
        <v>허지웅</v>
      </c>
      <c r="BS7" s="44" t="str">
        <f>'cal2'!BS36</f>
        <v>박성현</v>
      </c>
      <c r="BT7" s="44" t="str">
        <f>'cal2'!BT36</f>
        <v>-</v>
      </c>
      <c r="BU7" s="44" t="str">
        <f>'cal2'!BU36</f>
        <v>박성현</v>
      </c>
      <c r="BV7" s="44" t="str">
        <f>'cal2'!BV36</f>
        <v>이기수</v>
      </c>
      <c r="BW7" s="44" t="str">
        <f>'cal2'!BW36</f>
        <v>-</v>
      </c>
      <c r="BX7" s="44" t="str">
        <f>'cal2'!BX36</f>
        <v>이기수</v>
      </c>
      <c r="BY7" s="44" t="str">
        <f>'cal2'!BY36</f>
        <v>정윤준</v>
      </c>
      <c r="BZ7" s="44" t="str">
        <f>'cal2'!BZ36</f>
        <v>-</v>
      </c>
      <c r="CA7" s="44" t="str">
        <f>'cal2'!CA36</f>
        <v>정윤준</v>
      </c>
      <c r="CB7" s="44" t="str">
        <f>'cal2'!CB36</f>
        <v>허지웅</v>
      </c>
      <c r="CC7" s="44" t="str">
        <f>'cal2'!CC36</f>
        <v>-</v>
      </c>
      <c r="CD7" s="44" t="str">
        <f>'cal2'!CD36</f>
        <v>-</v>
      </c>
      <c r="CE7" s="44" t="str">
        <f>'cal2'!CE36</f>
        <v>박성현</v>
      </c>
      <c r="CF7" s="44" t="str">
        <f>'cal2'!CF36</f>
        <v>-</v>
      </c>
      <c r="CG7" s="44" t="str">
        <f>'cal2'!CG36</f>
        <v>허지웅</v>
      </c>
      <c r="CH7" s="44" t="str">
        <f>'cal2'!CH36</f>
        <v>이기수</v>
      </c>
      <c r="CI7" s="44" t="str">
        <f>'cal2'!CI36</f>
        <v>-</v>
      </c>
      <c r="CJ7" s="44" t="str">
        <f>'cal2'!CJ36</f>
        <v>-</v>
      </c>
      <c r="CK7" s="44" t="str">
        <f>'cal2'!CK36</f>
        <v>정윤준</v>
      </c>
      <c r="CL7" s="44" t="str">
        <f>'cal2'!CL36</f>
        <v>-</v>
      </c>
      <c r="CM7" s="44" t="str">
        <f>'cal2'!CM36</f>
        <v>박성현</v>
      </c>
      <c r="CN7" s="44" t="str">
        <f>'cal2'!CN36</f>
        <v>허지웅</v>
      </c>
      <c r="CO7" s="44" t="str">
        <f>'cal2'!CO36</f>
        <v>-</v>
      </c>
      <c r="CP7" s="44" t="str">
        <f>'cal2'!CP36</f>
        <v>이기수</v>
      </c>
      <c r="CQ7" s="44" t="str">
        <f>'cal2'!CQ36</f>
        <v>박성현</v>
      </c>
      <c r="CR7" s="44" t="str">
        <f>'cal2'!CR36</f>
        <v>-</v>
      </c>
      <c r="CS7" s="44" t="str">
        <f>'cal2'!CS36</f>
        <v>정윤준</v>
      </c>
      <c r="CT7" s="44" t="str">
        <f>'cal2'!CT36</f>
        <v>이기수</v>
      </c>
      <c r="CU7" s="44" t="str">
        <f>'cal2'!CU36</f>
        <v>-</v>
      </c>
      <c r="CV7" s="44" t="str">
        <f>'cal2'!CV36</f>
        <v>허지웅</v>
      </c>
      <c r="CW7" s="44" t="str">
        <f>'cal2'!CW36</f>
        <v>정윤준</v>
      </c>
      <c r="CX7" s="44" t="str">
        <f>'cal2'!CX36</f>
        <v>-</v>
      </c>
      <c r="CY7" s="44" t="str">
        <f>'cal2'!CY36</f>
        <v>-</v>
      </c>
      <c r="CZ7" s="44" t="str">
        <f>'cal2'!CZ36</f>
        <v>허지웅</v>
      </c>
      <c r="DA7" s="44" t="str">
        <f>'cal2'!DA36</f>
        <v>-</v>
      </c>
      <c r="DB7" s="44" t="str">
        <f>'cal2'!DB36</f>
        <v>박성현</v>
      </c>
      <c r="DC7" s="44" t="str">
        <f>'cal2'!DC36</f>
        <v>박성현</v>
      </c>
      <c r="DD7" s="44" t="str">
        <f>'cal2'!DD36</f>
        <v>-</v>
      </c>
      <c r="DE7" s="44" t="str">
        <f>'cal2'!DE36</f>
        <v>-</v>
      </c>
      <c r="DF7" s="44" t="str">
        <f>'cal2'!DF36</f>
        <v>이기수</v>
      </c>
      <c r="DG7" s="44" t="str">
        <f>'cal2'!DG36</f>
        <v>-</v>
      </c>
      <c r="DH7" s="44" t="str">
        <f>'cal2'!DH36</f>
        <v>이기수</v>
      </c>
      <c r="DI7" s="44" t="str">
        <f>'cal2'!DI36</f>
        <v>정윤준</v>
      </c>
      <c r="DJ7" s="44" t="str">
        <f>'cal2'!DJ36</f>
        <v>-</v>
      </c>
      <c r="DK7" s="44" t="str">
        <f>'cal2'!DK36</f>
        <v>정윤준</v>
      </c>
      <c r="DL7" s="44" t="str">
        <f>'cal2'!DL36</f>
        <v>허지웅</v>
      </c>
      <c r="DM7" s="44" t="str">
        <f>'cal2'!DM36</f>
        <v>-</v>
      </c>
      <c r="DN7" s="44" t="str">
        <f>'cal2'!DN36</f>
        <v>허지웅</v>
      </c>
      <c r="DO7" s="44" t="str">
        <f>'cal2'!DO36</f>
        <v>박성현</v>
      </c>
      <c r="DP7" s="44" t="str">
        <f>'cal2'!DP36</f>
        <v>-</v>
      </c>
      <c r="DQ7" s="44" t="str">
        <f>'cal2'!DQ36</f>
        <v>박성현</v>
      </c>
      <c r="DR7" s="44" t="str">
        <f>'cal2'!DR36</f>
        <v>이기수</v>
      </c>
      <c r="DS7" s="44" t="str">
        <f>'cal2'!DS36</f>
        <v>-</v>
      </c>
      <c r="DT7" s="44" t="str">
        <f>'cal2'!DT36</f>
        <v>-</v>
      </c>
      <c r="DU7" s="44" t="str">
        <f>'cal2'!DU36</f>
        <v>정윤준</v>
      </c>
      <c r="DV7" s="44" t="str">
        <f>'cal2'!DV36</f>
        <v>-</v>
      </c>
      <c r="DW7" s="44" t="str">
        <f>'cal2'!DW36</f>
        <v>이기수</v>
      </c>
      <c r="DX7" s="44" t="str">
        <f>'cal2'!DX36</f>
        <v>허지웅</v>
      </c>
      <c r="DY7" s="44" t="str">
        <f>'cal2'!DY36</f>
        <v>-</v>
      </c>
      <c r="DZ7" s="44" t="str">
        <f>'cal2'!DZ36</f>
        <v>-</v>
      </c>
      <c r="EA7" s="44" t="str">
        <f>'cal2'!EA36</f>
        <v>박성현</v>
      </c>
      <c r="EB7" s="44" t="str">
        <f>'cal2'!EB36</f>
        <v>-</v>
      </c>
      <c r="EC7" s="44" t="str">
        <f>'cal2'!EC36</f>
        <v>정윤준</v>
      </c>
      <c r="ED7" s="44" t="str">
        <f>'cal2'!ED36</f>
        <v>이기수</v>
      </c>
      <c r="EE7" s="44" t="str">
        <f>'cal2'!EE36</f>
        <v>-</v>
      </c>
      <c r="EF7" s="44" t="str">
        <f>'cal2'!EF36</f>
        <v>허지웅</v>
      </c>
      <c r="EG7" s="44" t="str">
        <f>'cal2'!EG36</f>
        <v>정윤준</v>
      </c>
      <c r="EH7" s="44" t="str">
        <f>'cal2'!EH36</f>
        <v>-</v>
      </c>
      <c r="EI7" s="44" t="str">
        <f>'cal2'!EI36</f>
        <v>박성현</v>
      </c>
      <c r="EJ7" s="44" t="str">
        <f>'cal2'!EJ36</f>
        <v>허지웅</v>
      </c>
      <c r="EK7" s="44" t="str">
        <f>'cal2'!EK36</f>
        <v>-</v>
      </c>
      <c r="EL7" s="44" t="str">
        <f>'cal2'!EL36</f>
        <v>이기수</v>
      </c>
      <c r="EM7" s="44" t="str">
        <f>'cal2'!EM36</f>
        <v>박성현</v>
      </c>
      <c r="EN7" s="44" t="str">
        <f>'cal2'!EN36</f>
        <v>-</v>
      </c>
      <c r="EO7" s="44" t="str">
        <f>'cal2'!EO36</f>
        <v>-</v>
      </c>
      <c r="EP7" s="44" t="str">
        <f>'cal2'!EP36</f>
        <v>이기수</v>
      </c>
      <c r="EQ7" s="44" t="str">
        <f>'cal2'!EQ36</f>
        <v>-</v>
      </c>
      <c r="ER7" s="44" t="str">
        <f>'cal2'!ER36</f>
        <v>정윤준</v>
      </c>
      <c r="ES7" s="44" t="str">
        <f>'cal2'!ES36</f>
        <v>정윤준</v>
      </c>
      <c r="ET7" s="44" t="str">
        <f>'cal2'!ET36</f>
        <v>-</v>
      </c>
      <c r="EU7" s="44" t="str">
        <f>'cal2'!EU36</f>
        <v>-</v>
      </c>
      <c r="EV7" s="44" t="str">
        <f>'cal2'!EV36</f>
        <v>허지웅</v>
      </c>
      <c r="EW7" s="44" t="str">
        <f>'cal2'!EW36</f>
        <v>-</v>
      </c>
      <c r="EX7" s="44" t="str">
        <f>'cal2'!EX36</f>
        <v>허지웅</v>
      </c>
      <c r="EY7" s="44" t="str">
        <f>'cal2'!EY36</f>
        <v>박성현</v>
      </c>
      <c r="EZ7" s="44" t="str">
        <f>'cal2'!EZ36</f>
        <v>-</v>
      </c>
      <c r="FA7" s="44" t="str">
        <f>'cal2'!FA36</f>
        <v>박성현</v>
      </c>
      <c r="FB7" s="44" t="str">
        <f>'cal2'!FB36</f>
        <v>이기수</v>
      </c>
      <c r="FC7" s="44" t="str">
        <f>'cal2'!FC36</f>
        <v>-</v>
      </c>
      <c r="FD7" s="44" t="str">
        <f>'cal2'!FD36</f>
        <v>이기수</v>
      </c>
      <c r="FE7" s="44" t="str">
        <f>'cal2'!FE36</f>
        <v>정윤준</v>
      </c>
      <c r="FF7" s="44" t="str">
        <f>'cal2'!FF36</f>
        <v>-</v>
      </c>
      <c r="FG7" s="44" t="str">
        <f>'cal2'!FG36</f>
        <v>정윤준</v>
      </c>
      <c r="FH7" s="44" t="str">
        <f>'cal2'!FH36</f>
        <v>허지웅</v>
      </c>
      <c r="FI7" s="44" t="str">
        <f>'cal2'!FI36</f>
        <v>-</v>
      </c>
      <c r="FJ7" s="44" t="str">
        <f>'cal2'!FJ36</f>
        <v>-</v>
      </c>
      <c r="FK7" s="44" t="str">
        <f>'cal2'!FK36</f>
        <v>박성현</v>
      </c>
      <c r="FL7" s="44" t="str">
        <f>'cal2'!FL36</f>
        <v>-</v>
      </c>
      <c r="FM7" s="44" t="str">
        <f>'cal2'!FM36</f>
        <v>허지웅</v>
      </c>
      <c r="FN7" s="44" t="str">
        <f>'cal2'!FN36</f>
        <v>이기수</v>
      </c>
      <c r="FO7" s="44" t="str">
        <f>'cal2'!FO36</f>
        <v>-</v>
      </c>
      <c r="FP7" s="44" t="str">
        <f>'cal2'!FP36</f>
        <v>-</v>
      </c>
      <c r="FQ7" s="44" t="str">
        <f>'cal2'!FQ36</f>
        <v>정윤준</v>
      </c>
      <c r="FR7" s="44" t="str">
        <f>'cal2'!FR36</f>
        <v>-</v>
      </c>
      <c r="FS7" s="44" t="str">
        <f>'cal2'!FS36</f>
        <v>박성현</v>
      </c>
      <c r="FT7" s="44" t="str">
        <f>'cal2'!FT36</f>
        <v>허지웅</v>
      </c>
      <c r="FU7" s="44" t="str">
        <f>'cal2'!FU36</f>
        <v>-</v>
      </c>
      <c r="FV7" s="44" t="str">
        <f>'cal2'!FV36</f>
        <v>이기수</v>
      </c>
      <c r="FW7" s="44" t="str">
        <f>'cal2'!FW36</f>
        <v>박성현</v>
      </c>
      <c r="FX7" s="44" t="str">
        <f>'cal2'!FX36</f>
        <v>-</v>
      </c>
      <c r="FY7" s="44" t="str">
        <f>'cal2'!FY36</f>
        <v>정윤준</v>
      </c>
      <c r="FZ7" s="44" t="str">
        <f>'cal2'!FZ36</f>
        <v>이기수</v>
      </c>
      <c r="GA7" s="44" t="str">
        <f>'cal2'!GA36</f>
        <v>-</v>
      </c>
      <c r="GB7" s="44" t="str">
        <f>'cal2'!GB36</f>
        <v>허지웅</v>
      </c>
      <c r="GC7" s="44" t="str">
        <f>'cal2'!GC36</f>
        <v>정윤준</v>
      </c>
      <c r="GD7" s="44" t="str">
        <f>'cal2'!GD36</f>
        <v>-</v>
      </c>
      <c r="GE7" s="44" t="str">
        <f>'cal2'!GE36</f>
        <v>-</v>
      </c>
      <c r="GF7" s="44" t="str">
        <f>'cal2'!GF36</f>
        <v>허지웅</v>
      </c>
      <c r="GG7" s="44" t="str">
        <f>'cal2'!GG36</f>
        <v>-</v>
      </c>
      <c r="GH7" s="44" t="str">
        <f>'cal2'!GH36</f>
        <v>박성현</v>
      </c>
      <c r="GI7" s="44" t="str">
        <f>'cal2'!GI36</f>
        <v>박성현</v>
      </c>
      <c r="GJ7" s="44" t="str">
        <f>'cal2'!GJ36</f>
        <v>-</v>
      </c>
      <c r="GK7" s="44" t="str">
        <f>'cal2'!GK36</f>
        <v>-</v>
      </c>
      <c r="GL7" s="44" t="str">
        <f>'cal2'!GL36</f>
        <v>이기수</v>
      </c>
      <c r="GM7" s="44" t="str">
        <f>'cal2'!GM36</f>
        <v>-</v>
      </c>
      <c r="GN7" s="44" t="str">
        <f>'cal2'!GN36</f>
        <v>이기수</v>
      </c>
      <c r="GO7" s="44" t="str">
        <f>'cal2'!GO36</f>
        <v>정윤준</v>
      </c>
      <c r="GP7" s="44" t="str">
        <f>'cal2'!GP36</f>
        <v>-</v>
      </c>
      <c r="GQ7" s="44" t="str">
        <f>'cal2'!GQ36</f>
        <v>-</v>
      </c>
      <c r="GR7" s="44" t="str">
        <f>'cal2'!GR36</f>
        <v>허지웅</v>
      </c>
      <c r="GS7" s="44" t="str">
        <f>'cal2'!GS36</f>
        <v>-</v>
      </c>
      <c r="GT7" s="44" t="str">
        <f>'cal2'!GT36</f>
        <v>정윤준</v>
      </c>
      <c r="GU7" s="44" t="str">
        <f>'cal2'!GU36</f>
        <v>박성현</v>
      </c>
      <c r="GV7" s="44" t="str">
        <f>'cal2'!GV36</f>
        <v>-</v>
      </c>
      <c r="GW7" s="44" t="str">
        <f>'cal2'!GW36</f>
        <v>허지웅</v>
      </c>
      <c r="GX7" s="44" t="str">
        <f>'cal2'!GX36</f>
        <v>이기수</v>
      </c>
      <c r="GY7" s="44" t="str">
        <f>'cal2'!GY36</f>
        <v>-</v>
      </c>
      <c r="GZ7" s="44" t="str">
        <f>'cal2'!GZ36</f>
        <v>-</v>
      </c>
      <c r="HA7" s="44" t="str">
        <f>'cal2'!HA36</f>
        <v>정윤준</v>
      </c>
      <c r="HB7" s="44" t="str">
        <f>'cal2'!HB36</f>
        <v>-</v>
      </c>
      <c r="HC7" s="44" t="str">
        <f>'cal2'!HC36</f>
        <v>박성현</v>
      </c>
      <c r="HD7" s="44" t="str">
        <f>'cal2'!HD36</f>
        <v>허지웅</v>
      </c>
      <c r="HE7" s="44" t="str">
        <f>'cal2'!HE36</f>
        <v>-</v>
      </c>
      <c r="HF7" s="44" t="str">
        <f>'cal2'!HF36</f>
        <v>-</v>
      </c>
      <c r="HG7" s="44" t="str">
        <f>'cal2'!HG36</f>
        <v>박성현</v>
      </c>
      <c r="HH7" s="44" t="str">
        <f>'cal2'!HH36</f>
        <v>-</v>
      </c>
      <c r="HI7" s="44" t="str">
        <f>'cal2'!HI36</f>
        <v>이기수</v>
      </c>
      <c r="HJ7" s="44" t="str">
        <f>'cal2'!HJ36</f>
        <v>이기수</v>
      </c>
      <c r="HK7" s="44" t="str">
        <f>'cal2'!HK36</f>
        <v>-</v>
      </c>
      <c r="HL7" s="44" t="str">
        <f>'cal2'!HL36</f>
        <v>정윤준</v>
      </c>
      <c r="HM7" s="44" t="str">
        <f>'cal2'!HM36</f>
        <v>정윤준</v>
      </c>
      <c r="HN7" s="44" t="str">
        <f>'cal2'!HN36</f>
        <v>-</v>
      </c>
      <c r="HO7" s="44" t="str">
        <f>'cal2'!HO36</f>
        <v>허지웅</v>
      </c>
      <c r="HP7" s="44" t="str">
        <f>'cal2'!HP36</f>
        <v>허지웅</v>
      </c>
      <c r="HQ7" s="44" t="str">
        <f>'cal2'!HQ36</f>
        <v>-</v>
      </c>
      <c r="HR7" s="44" t="str">
        <f>'cal2'!HR36</f>
        <v>박성현</v>
      </c>
      <c r="HS7" s="44" t="str">
        <f>'cal2'!HS36</f>
        <v>박성현</v>
      </c>
      <c r="HT7" s="44" t="str">
        <f>'cal2'!HT36</f>
        <v>-</v>
      </c>
      <c r="HU7" s="44" t="str">
        <f>'cal2'!HU36</f>
        <v>-</v>
      </c>
      <c r="HV7" s="44" t="str">
        <f>'cal2'!HV36</f>
        <v>이기수</v>
      </c>
      <c r="HW7" s="44" t="str">
        <f>'cal2'!HW36</f>
        <v>-</v>
      </c>
      <c r="HX7" s="44" t="str">
        <f>'cal2'!HX36</f>
        <v>이기수</v>
      </c>
      <c r="HY7" s="44" t="str">
        <f>'cal2'!HY36</f>
        <v>정윤준</v>
      </c>
      <c r="HZ7" s="44" t="str">
        <f>'cal2'!HZ36</f>
        <v>-</v>
      </c>
      <c r="IA7" s="44" t="str">
        <f>'cal2'!IA36</f>
        <v>-</v>
      </c>
      <c r="IB7" s="44" t="str">
        <f>'cal2'!IB36</f>
        <v>허지웅</v>
      </c>
      <c r="IC7" s="44" t="str">
        <f>'cal2'!IC36</f>
        <v>-</v>
      </c>
      <c r="ID7" s="44" t="str">
        <f>'cal2'!ID36</f>
        <v>정윤준</v>
      </c>
      <c r="IE7" s="44" t="str">
        <f>'cal2'!IE36</f>
        <v>박성현</v>
      </c>
      <c r="IF7" s="44" t="str">
        <f>'cal2'!IF36</f>
        <v>-</v>
      </c>
      <c r="IG7" s="44" t="str">
        <f>'cal2'!IG36</f>
        <v>허지웅</v>
      </c>
      <c r="IH7" s="44" t="str">
        <f>'cal2'!IH36</f>
        <v>이기수</v>
      </c>
      <c r="II7" s="44" t="str">
        <f>'cal2'!II36</f>
        <v>-</v>
      </c>
      <c r="IJ7" s="44" t="str">
        <f>'cal2'!IJ36</f>
        <v>박성현</v>
      </c>
      <c r="IK7" s="44" t="str">
        <f>'cal2'!IK36</f>
        <v>정윤준</v>
      </c>
      <c r="IL7" s="44" t="str">
        <f>'cal2'!IL36</f>
        <v>-</v>
      </c>
      <c r="IM7" s="44" t="str">
        <f>'cal2'!IM36</f>
        <v>이기수</v>
      </c>
      <c r="IN7" s="44" t="str">
        <f>'cal2'!IN36</f>
        <v>허지웅</v>
      </c>
      <c r="IO7" s="44" t="str">
        <f>'cal2'!IO36</f>
        <v>-</v>
      </c>
      <c r="IP7" s="44" t="str">
        <f>'cal2'!IP36</f>
        <v>-</v>
      </c>
      <c r="IQ7" s="44" t="str">
        <f>'cal2'!IQ36</f>
        <v>박성현</v>
      </c>
      <c r="IR7" s="44" t="str">
        <f>'cal2'!IR36</f>
        <v>-</v>
      </c>
      <c r="IS7" s="44" t="str">
        <f>'cal2'!IS36</f>
        <v>정윤준</v>
      </c>
      <c r="IT7" s="44" t="str">
        <f>'cal2'!IT36</f>
        <v>이기수</v>
      </c>
      <c r="IU7" s="44" t="str">
        <f>'cal2'!IU36</f>
        <v>-</v>
      </c>
      <c r="IV7" s="44" t="str">
        <f>'cal2'!IV36</f>
        <v>-</v>
      </c>
      <c r="IW7" s="44" t="str">
        <f>'cal2'!IW36</f>
        <v>정윤준</v>
      </c>
      <c r="IX7" s="44" t="str">
        <f>'cal2'!IX36</f>
        <v>-</v>
      </c>
      <c r="IY7" s="44" t="str">
        <f>'cal2'!IY36</f>
        <v>허지웅</v>
      </c>
      <c r="IZ7" s="44" t="str">
        <f>'cal2'!IZ36</f>
        <v>허지웅</v>
      </c>
      <c r="JA7" s="44" t="str">
        <f>'cal2'!JA36</f>
        <v>-</v>
      </c>
      <c r="JB7" s="44" t="str">
        <f>'cal2'!JB36</f>
        <v>박성현</v>
      </c>
      <c r="JC7" s="44" t="str">
        <f>'cal2'!JC36</f>
        <v>박성현</v>
      </c>
      <c r="JD7" s="44" t="str">
        <f>'cal2'!JD36</f>
        <v>-</v>
      </c>
      <c r="JE7" s="44" t="str">
        <f>'cal2'!JE36</f>
        <v>이기수</v>
      </c>
      <c r="JF7" s="44" t="str">
        <f>'cal2'!JF36</f>
        <v>이기수</v>
      </c>
      <c r="JG7" s="44" t="str">
        <f>'cal2'!JG36</f>
        <v>-</v>
      </c>
      <c r="JH7" s="44" t="str">
        <f>'cal2'!JH36</f>
        <v>-</v>
      </c>
      <c r="JI7" s="44" t="str">
        <f>'cal2'!JI36</f>
        <v>정윤준</v>
      </c>
      <c r="JJ7" s="44" t="str">
        <f>'cal2'!JJ36</f>
        <v>-</v>
      </c>
      <c r="JK7" s="44" t="str">
        <f>'cal2'!JK36</f>
        <v>-</v>
      </c>
      <c r="JL7" s="44" t="str">
        <f>'cal2'!JL36</f>
        <v>허지웅</v>
      </c>
      <c r="JM7" s="44" t="str">
        <f>'cal2'!JM36</f>
        <v>-</v>
      </c>
      <c r="JN7" s="44" t="str">
        <f>'cal2'!JN36</f>
        <v>정윤준</v>
      </c>
      <c r="JO7" s="44" t="str">
        <f>'cal2'!JO36</f>
        <v>박성현</v>
      </c>
      <c r="JP7" s="44" t="str">
        <f>'cal2'!JP36</f>
        <v>-</v>
      </c>
      <c r="JQ7" s="44" t="str">
        <f>'cal2'!JQ36</f>
        <v>-</v>
      </c>
      <c r="JR7" s="44" t="str">
        <f>'cal2'!JR36</f>
        <v>이기수</v>
      </c>
      <c r="JS7" s="44" t="str">
        <f>'cal2'!JS36</f>
        <v>-</v>
      </c>
      <c r="JT7" s="44" t="str">
        <f>'cal2'!JT36</f>
        <v>허지웅</v>
      </c>
      <c r="JU7" s="44" t="str">
        <f>'cal2'!JU36</f>
        <v>정윤준</v>
      </c>
      <c r="JV7" s="44" t="str">
        <f>'cal2'!JV36</f>
        <v>-</v>
      </c>
      <c r="JW7" s="44" t="str">
        <f>'cal2'!JW36</f>
        <v>-</v>
      </c>
      <c r="JX7" s="44" t="str">
        <f>'cal2'!JX36</f>
        <v>허지웅</v>
      </c>
      <c r="JY7" s="44" t="str">
        <f>'cal2'!JY36</f>
        <v>-</v>
      </c>
      <c r="JZ7" s="44" t="str">
        <f>'cal2'!JZ36</f>
        <v>박성현</v>
      </c>
      <c r="KA7" s="44" t="str">
        <f>'cal2'!KA36</f>
        <v>박성현</v>
      </c>
      <c r="KB7" s="44" t="str">
        <f>'cal2'!KB36</f>
        <v>-</v>
      </c>
      <c r="KC7" s="44" t="str">
        <f>'cal2'!KC36</f>
        <v>이기수</v>
      </c>
      <c r="KD7" s="44" t="str">
        <f>'cal2'!KD36</f>
        <v>이기수</v>
      </c>
      <c r="KE7" s="44" t="str">
        <f>'cal2'!KE36</f>
        <v>-</v>
      </c>
      <c r="KF7" s="44" t="str">
        <f>'cal2'!KF36</f>
        <v>-</v>
      </c>
      <c r="KG7" s="44" t="str">
        <f>'cal2'!KG36</f>
        <v>정윤준</v>
      </c>
      <c r="KH7" s="44" t="str">
        <f>'cal2'!KH36</f>
        <v>-</v>
      </c>
      <c r="KI7" s="44" t="str">
        <f>'cal2'!KI36</f>
        <v>정윤준</v>
      </c>
      <c r="KJ7" s="44" t="str">
        <f>'cal2'!KJ36</f>
        <v>허지웅</v>
      </c>
      <c r="KK7" s="44" t="str">
        <f>'cal2'!KK36</f>
        <v>-</v>
      </c>
      <c r="KL7" s="44" t="str">
        <f>'cal2'!KL36</f>
        <v>-</v>
      </c>
      <c r="KM7" s="44" t="str">
        <f>'cal2'!KM36</f>
        <v>박성현</v>
      </c>
      <c r="KN7" s="44" t="str">
        <f>'cal2'!KN36</f>
        <v>-</v>
      </c>
      <c r="KO7" s="44" t="str">
        <f>'cal2'!KO36</f>
        <v>허지웅</v>
      </c>
      <c r="KP7" s="44" t="str">
        <f>'cal2'!KP36</f>
        <v>이기수</v>
      </c>
      <c r="KQ7" s="44" t="str">
        <f>'cal2'!KQ36</f>
        <v>-</v>
      </c>
      <c r="KR7" s="44" t="str">
        <f>'cal2'!KR36</f>
        <v>박성현</v>
      </c>
      <c r="KS7" s="44" t="str">
        <f>'cal2'!KS36</f>
        <v>정윤준</v>
      </c>
      <c r="KT7" s="44" t="str">
        <f>'cal2'!KT36</f>
        <v>-</v>
      </c>
      <c r="KU7" s="44" t="str">
        <f>'cal2'!KU36</f>
        <v>이기수</v>
      </c>
      <c r="KV7" s="44" t="str">
        <f>'cal2'!KV36</f>
        <v>허지웅</v>
      </c>
      <c r="KW7" s="44" t="str">
        <f>'cal2'!KW36</f>
        <v>-</v>
      </c>
      <c r="KX7" s="44" t="str">
        <f>'cal2'!KX36</f>
        <v>정윤준</v>
      </c>
      <c r="KY7" s="44" t="str">
        <f>'cal2'!KY36</f>
        <v>박성현</v>
      </c>
      <c r="KZ7" s="44" t="str">
        <f>'cal2'!KZ36</f>
        <v>-</v>
      </c>
      <c r="LA7" s="44" t="str">
        <f>'cal2'!LA36</f>
        <v>-</v>
      </c>
      <c r="LB7" s="44" t="str">
        <f>'cal2'!LB36</f>
        <v>이기수</v>
      </c>
      <c r="LC7" s="44" t="str">
        <f>'cal2'!LC36</f>
        <v>-</v>
      </c>
      <c r="LD7" s="44" t="str">
        <f>'cal2'!LD36</f>
        <v>허지웅</v>
      </c>
      <c r="LE7" s="44" t="str">
        <f>'cal2'!LE36</f>
        <v>정윤준</v>
      </c>
      <c r="LF7" s="44" t="str">
        <f>'cal2'!LF36</f>
        <v>-</v>
      </c>
      <c r="LG7" s="44" t="str">
        <f>'cal2'!LG36</f>
        <v>-</v>
      </c>
      <c r="LH7" s="44" t="str">
        <f>'cal2'!LH36</f>
        <v>허지웅</v>
      </c>
      <c r="LI7" s="44" t="str">
        <f>'cal2'!LI36</f>
        <v>-</v>
      </c>
      <c r="LJ7" s="44" t="str">
        <f>'cal2'!LJ36</f>
        <v>박성현</v>
      </c>
      <c r="LK7" s="44" t="str">
        <f>'cal2'!LK36</f>
        <v>박성현</v>
      </c>
      <c r="LL7" s="44" t="str">
        <f>'cal2'!LL36</f>
        <v>-</v>
      </c>
      <c r="LM7" s="44" t="str">
        <f>'cal2'!LM36</f>
        <v>이기수</v>
      </c>
      <c r="LN7" s="44" t="str">
        <f>'cal2'!LN36</f>
        <v>이기수</v>
      </c>
      <c r="LO7" s="44" t="str">
        <f>'cal2'!LO36</f>
        <v>-</v>
      </c>
      <c r="LP7" s="44" t="str">
        <f>'cal2'!LP36</f>
        <v>정윤준</v>
      </c>
      <c r="LQ7" s="44" t="str">
        <f>'cal2'!LQ36</f>
        <v>정윤준</v>
      </c>
      <c r="LR7" s="44" t="str">
        <f>'cal2'!LR36</f>
        <v>-</v>
      </c>
      <c r="LS7" s="44" t="str">
        <f>'cal2'!LS36</f>
        <v>허지웅</v>
      </c>
      <c r="LT7" s="44" t="str">
        <f>'cal2'!LT36</f>
        <v>허지웅</v>
      </c>
      <c r="LU7" s="44" t="str">
        <f>'cal2'!LU36</f>
        <v>-</v>
      </c>
      <c r="LV7" s="44" t="str">
        <f>'cal2'!LV36</f>
        <v>-</v>
      </c>
      <c r="LW7" s="44" t="str">
        <f>'cal2'!LW36</f>
        <v>박성현</v>
      </c>
      <c r="LX7" s="44" t="str">
        <f>'cal2'!LX36</f>
        <v>-</v>
      </c>
      <c r="LY7" s="44" t="str">
        <f>'cal2'!LY36</f>
        <v>박성현</v>
      </c>
      <c r="LZ7" s="44" t="str">
        <f>'cal2'!LZ36</f>
        <v>이기수</v>
      </c>
      <c r="MA7" s="44" t="str">
        <f>'cal2'!MA36</f>
        <v>-</v>
      </c>
      <c r="MB7" s="44" t="str">
        <f>'cal2'!MB36</f>
        <v>-</v>
      </c>
      <c r="MC7" s="44" t="str">
        <f>'cal2'!MC36</f>
        <v>정윤준</v>
      </c>
      <c r="MD7" s="44" t="str">
        <f>'cal2'!MD36</f>
        <v>-</v>
      </c>
      <c r="ME7" s="44" t="str">
        <f>'cal2'!ME36</f>
        <v>이기수</v>
      </c>
      <c r="MF7" s="44" t="str">
        <f>'cal2'!MF36</f>
        <v>허지웅</v>
      </c>
      <c r="MG7" s="44" t="str">
        <f>'cal2'!MG36</f>
        <v>-</v>
      </c>
      <c r="MH7" s="44" t="str">
        <f>'cal2'!MH36</f>
        <v>정윤준</v>
      </c>
      <c r="MI7" s="44" t="str">
        <f>'cal2'!MI36</f>
        <v>박성현</v>
      </c>
      <c r="MJ7" s="44" t="str">
        <f>'cal2'!MJ36</f>
        <v>-</v>
      </c>
      <c r="MK7" s="44" t="str">
        <f>'cal2'!MK36</f>
        <v>허지웅</v>
      </c>
      <c r="ML7" s="44" t="str">
        <f>'cal2'!ML36</f>
        <v>이기수</v>
      </c>
      <c r="MM7" s="44" t="str">
        <f>'cal2'!MM36</f>
        <v>-</v>
      </c>
      <c r="MN7" s="44" t="str">
        <f>'cal2'!MN36</f>
        <v>박성현</v>
      </c>
      <c r="MO7" s="44" t="str">
        <f>'cal2'!MO36</f>
        <v>정윤준</v>
      </c>
      <c r="MP7" s="44" t="str">
        <f>'cal2'!MP36</f>
        <v>-</v>
      </c>
      <c r="MQ7" s="44" t="str">
        <f>'cal2'!MQ36</f>
        <v>-</v>
      </c>
      <c r="MR7" s="44" t="str">
        <f>'cal2'!MR36</f>
        <v>허지웅</v>
      </c>
      <c r="MS7" s="44" t="str">
        <f>'cal2'!MS36</f>
        <v>-</v>
      </c>
      <c r="MT7" s="44" t="str">
        <f>'cal2'!MT36</f>
        <v>이기수</v>
      </c>
      <c r="MU7" s="44" t="str">
        <f>'cal2'!MU36</f>
        <v>박성현</v>
      </c>
      <c r="MV7" s="44" t="str">
        <f>'cal2'!MV36</f>
        <v>-</v>
      </c>
      <c r="MW7" s="44" t="str">
        <f>'cal2'!MW36</f>
        <v>-</v>
      </c>
      <c r="MX7" s="44" t="str">
        <f>'cal2'!MX36</f>
        <v>이기수</v>
      </c>
      <c r="MY7" s="44" t="str">
        <f>'cal2'!MY36</f>
        <v>-</v>
      </c>
      <c r="MZ7" s="44" t="str">
        <f>'cal2'!MZ36</f>
        <v>정윤준</v>
      </c>
      <c r="NA7" s="44" t="str">
        <f>'cal2'!NA36</f>
        <v>정윤준</v>
      </c>
      <c r="NB7" s="44" t="str">
        <f>'cal2'!NB36</f>
        <v>-</v>
      </c>
      <c r="NC7" s="44" t="str">
        <f>'cal2'!NC36</f>
        <v>허지웅</v>
      </c>
    </row>
    <row r="8" spans="1:367" s="40" customFormat="1">
      <c r="A8" s="39" t="str">
        <f>'cal2'!A37</f>
        <v>외곽-2</v>
      </c>
      <c r="B8" s="39" t="str">
        <f>'cal2'!B37</f>
        <v>박성현</v>
      </c>
      <c r="C8" s="39" t="str">
        <f>'cal2'!C37</f>
        <v>-</v>
      </c>
      <c r="D8" s="39" t="str">
        <f>'cal2'!D37</f>
        <v>-</v>
      </c>
      <c r="E8" s="39" t="str">
        <f>'cal2'!E37</f>
        <v>이기수</v>
      </c>
      <c r="F8" s="39" t="str">
        <f>'cal2'!F37</f>
        <v>-</v>
      </c>
      <c r="G8" s="39" t="str">
        <f>'cal2'!G37</f>
        <v>박성현</v>
      </c>
      <c r="H8" s="39" t="str">
        <f>'cal2'!H37</f>
        <v>정윤준</v>
      </c>
      <c r="I8" s="39" t="str">
        <f>'cal2'!I37</f>
        <v>-</v>
      </c>
      <c r="J8" s="39" t="str">
        <f>'cal2'!J37</f>
        <v>이기수</v>
      </c>
      <c r="K8" s="39" t="str">
        <f>'cal2'!K37</f>
        <v>허지웅</v>
      </c>
      <c r="L8" s="39" t="str">
        <f>'cal2'!L37</f>
        <v>-</v>
      </c>
      <c r="M8" s="39" t="str">
        <f>'cal2'!M37</f>
        <v>정윤준</v>
      </c>
      <c r="N8" s="39" t="str">
        <f>'cal2'!N37</f>
        <v>박성현</v>
      </c>
      <c r="O8" s="39" t="str">
        <f>'cal2'!O37</f>
        <v>-</v>
      </c>
      <c r="P8" s="39" t="str">
        <f>'cal2'!P37</f>
        <v>허지웅</v>
      </c>
      <c r="Q8" s="39" t="str">
        <f>'cal2'!Q37</f>
        <v>이기수</v>
      </c>
      <c r="R8" s="39" t="str">
        <f>'cal2'!R37</f>
        <v>-</v>
      </c>
      <c r="S8" s="39" t="str">
        <f>'cal2'!S37</f>
        <v>-</v>
      </c>
      <c r="T8" s="39" t="str">
        <f>'cal2'!T37</f>
        <v>정윤준</v>
      </c>
      <c r="U8" s="39" t="str">
        <f>'cal2'!U37</f>
        <v>-</v>
      </c>
      <c r="V8" s="39" t="str">
        <f>'cal2'!V37</f>
        <v>박성현</v>
      </c>
      <c r="W8" s="39" t="str">
        <f>'cal2'!W37</f>
        <v>허지웅</v>
      </c>
      <c r="X8" s="39" t="str">
        <f>'cal2'!X37</f>
        <v>-</v>
      </c>
      <c r="Y8" s="39" t="str">
        <f>'cal2'!Y37</f>
        <v>-</v>
      </c>
      <c r="Z8" s="39" t="str">
        <f>'cal2'!Z37</f>
        <v>박성현</v>
      </c>
      <c r="AA8" s="39" t="str">
        <f>'cal2'!AA37</f>
        <v>-</v>
      </c>
      <c r="AB8" s="39" t="str">
        <f>'cal2'!AB37</f>
        <v>이기수</v>
      </c>
      <c r="AC8" s="39" t="str">
        <f>'cal2'!AC37</f>
        <v>이기수</v>
      </c>
      <c r="AD8" s="39" t="str">
        <f>'cal2'!AD37</f>
        <v>-</v>
      </c>
      <c r="AE8" s="39" t="str">
        <f>'cal2'!AE37</f>
        <v>정윤준</v>
      </c>
      <c r="AF8" s="39" t="str">
        <f>'cal2'!AF37</f>
        <v>정윤준</v>
      </c>
      <c r="AG8" s="39" t="str">
        <f>'cal2'!AG37</f>
        <v>-</v>
      </c>
      <c r="AH8" s="39" t="str">
        <f>'cal2'!AH37</f>
        <v>허지웅</v>
      </c>
      <c r="AI8" s="39" t="str">
        <f>'cal2'!AI37</f>
        <v>허지웅</v>
      </c>
      <c r="AJ8" s="39" t="str">
        <f>'cal2'!AJ37</f>
        <v>-</v>
      </c>
      <c r="AK8" s="39" t="str">
        <f>'cal2'!AK37</f>
        <v>박성현</v>
      </c>
      <c r="AL8" s="39" t="str">
        <f>'cal2'!AL37</f>
        <v>박성현</v>
      </c>
      <c r="AM8" s="39" t="str">
        <f>'cal2'!AM37</f>
        <v>-</v>
      </c>
      <c r="AN8" s="39" t="str">
        <f>'cal2'!AN37</f>
        <v>-</v>
      </c>
      <c r="AO8" s="39" t="str">
        <f>'cal2'!AO37</f>
        <v>이기수</v>
      </c>
      <c r="AP8" s="39" t="str">
        <f>'cal2'!AP37</f>
        <v>-</v>
      </c>
      <c r="AQ8" s="39" t="str">
        <f>'cal2'!AQ37</f>
        <v>이기수</v>
      </c>
      <c r="AR8" s="39" t="str">
        <f>'cal2'!AR37</f>
        <v>정윤준</v>
      </c>
      <c r="AS8" s="39" t="str">
        <f>'cal2'!AS37</f>
        <v>-</v>
      </c>
      <c r="AT8" s="39" t="str">
        <f>'cal2'!AT37</f>
        <v>-</v>
      </c>
      <c r="AU8" s="39" t="str">
        <f>'cal2'!AU37</f>
        <v>허지웅</v>
      </c>
      <c r="AV8" s="39" t="str">
        <f>'cal2'!AV37</f>
        <v>-</v>
      </c>
      <c r="AW8" s="39" t="str">
        <f>'cal2'!AW37</f>
        <v>-</v>
      </c>
      <c r="AX8" s="39" t="str">
        <f>'cal2'!AX37</f>
        <v>박성현</v>
      </c>
      <c r="AY8" s="39" t="str">
        <f>'cal2'!AY37</f>
        <v>-</v>
      </c>
      <c r="AZ8" s="39" t="str">
        <f>'cal2'!AZ37</f>
        <v>정윤준</v>
      </c>
      <c r="BA8" s="39" t="str">
        <f>'cal2'!BA37</f>
        <v>이기수</v>
      </c>
      <c r="BB8" s="39" t="str">
        <f>'cal2'!BB37</f>
        <v>-</v>
      </c>
      <c r="BC8" s="39" t="str">
        <f>'cal2'!BC37</f>
        <v>허지웅</v>
      </c>
      <c r="BD8" s="39" t="str">
        <f>'cal2'!BD37</f>
        <v>정윤준</v>
      </c>
      <c r="BE8" s="39" t="str">
        <f>'cal2'!BE37</f>
        <v>-</v>
      </c>
      <c r="BF8" s="39" t="str">
        <f>'cal2'!BF37</f>
        <v>박성현</v>
      </c>
      <c r="BG8" s="39" t="str">
        <f>'cal2'!BG37</f>
        <v>허지웅</v>
      </c>
      <c r="BH8" s="39" t="str">
        <f>'cal2'!BH37</f>
        <v>-</v>
      </c>
      <c r="BI8" s="39" t="str">
        <f>'cal2'!BI37</f>
        <v>-</v>
      </c>
      <c r="BJ8" s="39" t="str">
        <f>'cal2'!BJ37</f>
        <v>박성현</v>
      </c>
      <c r="BK8" s="39" t="str">
        <f>'cal2'!BK37</f>
        <v>-</v>
      </c>
      <c r="BL8" s="39" t="str">
        <f>'cal2'!BL37</f>
        <v>이기수</v>
      </c>
      <c r="BM8" s="39" t="str">
        <f>'cal2'!BM37</f>
        <v>이기수</v>
      </c>
      <c r="BN8" s="39" t="str">
        <f>'cal2'!BN37</f>
        <v>-</v>
      </c>
      <c r="BO8" s="39" t="str">
        <f>'cal2'!BO37</f>
        <v>-</v>
      </c>
      <c r="BP8" s="39" t="str">
        <f>'cal2'!BP37</f>
        <v>정윤준</v>
      </c>
      <c r="BQ8" s="39" t="str">
        <f>'cal2'!BQ37</f>
        <v>-</v>
      </c>
      <c r="BR8" s="39" t="str">
        <f>'cal2'!BR37</f>
        <v>정윤준</v>
      </c>
      <c r="BS8" s="39" t="str">
        <f>'cal2'!BS37</f>
        <v>허지웅</v>
      </c>
      <c r="BT8" s="39" t="str">
        <f>'cal2'!BT37</f>
        <v>-</v>
      </c>
      <c r="BU8" s="39" t="str">
        <f>'cal2'!BU37</f>
        <v>허지웅</v>
      </c>
      <c r="BV8" s="39" t="str">
        <f>'cal2'!BV37</f>
        <v>박성현</v>
      </c>
      <c r="BW8" s="39" t="str">
        <f>'cal2'!BW37</f>
        <v>-</v>
      </c>
      <c r="BX8" s="39" t="str">
        <f>'cal2'!BX37</f>
        <v>박성현</v>
      </c>
      <c r="BY8" s="39" t="str">
        <f>'cal2'!BY37</f>
        <v>이기수</v>
      </c>
      <c r="BZ8" s="39" t="str">
        <f>'cal2'!BZ37</f>
        <v>-</v>
      </c>
      <c r="CA8" s="39" t="str">
        <f>'cal2'!CA37</f>
        <v>이기수</v>
      </c>
      <c r="CB8" s="39" t="str">
        <f>'cal2'!CB37</f>
        <v>정윤준</v>
      </c>
      <c r="CC8" s="39" t="str">
        <f>'cal2'!CC37</f>
        <v>-</v>
      </c>
      <c r="CD8" s="39" t="str">
        <f>'cal2'!CD37</f>
        <v>-</v>
      </c>
      <c r="CE8" s="39" t="str">
        <f>'cal2'!CE37</f>
        <v>허지웅</v>
      </c>
      <c r="CF8" s="39" t="str">
        <f>'cal2'!CF37</f>
        <v>-</v>
      </c>
      <c r="CG8" s="39" t="str">
        <f>'cal2'!CG37</f>
        <v>정윤준</v>
      </c>
      <c r="CH8" s="39" t="str">
        <f>'cal2'!CH37</f>
        <v>박성현</v>
      </c>
      <c r="CI8" s="39" t="str">
        <f>'cal2'!CI37</f>
        <v>-</v>
      </c>
      <c r="CJ8" s="39" t="str">
        <f>'cal2'!CJ37</f>
        <v>-</v>
      </c>
      <c r="CK8" s="39" t="str">
        <f>'cal2'!CK37</f>
        <v>이기수</v>
      </c>
      <c r="CL8" s="39" t="str">
        <f>'cal2'!CL37</f>
        <v>-</v>
      </c>
      <c r="CM8" s="39" t="str">
        <f>'cal2'!CM37</f>
        <v>허지웅</v>
      </c>
      <c r="CN8" s="39" t="str">
        <f>'cal2'!CN37</f>
        <v>정윤준</v>
      </c>
      <c r="CO8" s="39" t="str">
        <f>'cal2'!CO37</f>
        <v>-</v>
      </c>
      <c r="CP8" s="39" t="str">
        <f>'cal2'!CP37</f>
        <v>박성현</v>
      </c>
      <c r="CQ8" s="39" t="str">
        <f>'cal2'!CQ37</f>
        <v>허지웅</v>
      </c>
      <c r="CR8" s="39" t="str">
        <f>'cal2'!CR37</f>
        <v>-</v>
      </c>
      <c r="CS8" s="39" t="str">
        <f>'cal2'!CS37</f>
        <v>이기수</v>
      </c>
      <c r="CT8" s="39" t="str">
        <f>'cal2'!CT37</f>
        <v>박성현</v>
      </c>
      <c r="CU8" s="39" t="str">
        <f>'cal2'!CU37</f>
        <v>-</v>
      </c>
      <c r="CV8" s="39" t="str">
        <f>'cal2'!CV37</f>
        <v>정윤준</v>
      </c>
      <c r="CW8" s="39" t="str">
        <f>'cal2'!CW37</f>
        <v>이기수</v>
      </c>
      <c r="CX8" s="39" t="str">
        <f>'cal2'!CX37</f>
        <v>-</v>
      </c>
      <c r="CY8" s="39" t="str">
        <f>'cal2'!CY37</f>
        <v>-</v>
      </c>
      <c r="CZ8" s="39" t="str">
        <f>'cal2'!CZ37</f>
        <v>정윤준</v>
      </c>
      <c r="DA8" s="39" t="str">
        <f>'cal2'!DA37</f>
        <v>-</v>
      </c>
      <c r="DB8" s="39" t="str">
        <f>'cal2'!DB37</f>
        <v>허지웅</v>
      </c>
      <c r="DC8" s="39" t="str">
        <f>'cal2'!DC37</f>
        <v>허지웅</v>
      </c>
      <c r="DD8" s="39" t="str">
        <f>'cal2'!DD37</f>
        <v>-</v>
      </c>
      <c r="DE8" s="39" t="str">
        <f>'cal2'!DE37</f>
        <v>-</v>
      </c>
      <c r="DF8" s="39" t="str">
        <f>'cal2'!DF37</f>
        <v>박성현</v>
      </c>
      <c r="DG8" s="39" t="str">
        <f>'cal2'!DG37</f>
        <v>-</v>
      </c>
      <c r="DH8" s="39" t="str">
        <f>'cal2'!DH37</f>
        <v>박성현</v>
      </c>
      <c r="DI8" s="39" t="str">
        <f>'cal2'!DI37</f>
        <v>이기수</v>
      </c>
      <c r="DJ8" s="39" t="str">
        <f>'cal2'!DJ37</f>
        <v>-</v>
      </c>
      <c r="DK8" s="39" t="str">
        <f>'cal2'!DK37</f>
        <v>이기수</v>
      </c>
      <c r="DL8" s="39" t="str">
        <f>'cal2'!DL37</f>
        <v>정윤준</v>
      </c>
      <c r="DM8" s="39" t="str">
        <f>'cal2'!DM37</f>
        <v>-</v>
      </c>
      <c r="DN8" s="39" t="str">
        <f>'cal2'!DN37</f>
        <v>정윤준</v>
      </c>
      <c r="DO8" s="39" t="str">
        <f>'cal2'!DO37</f>
        <v>허지웅</v>
      </c>
      <c r="DP8" s="39" t="str">
        <f>'cal2'!DP37</f>
        <v>-</v>
      </c>
      <c r="DQ8" s="39" t="str">
        <f>'cal2'!DQ37</f>
        <v>허지웅</v>
      </c>
      <c r="DR8" s="39" t="str">
        <f>'cal2'!DR37</f>
        <v>박성현</v>
      </c>
      <c r="DS8" s="39" t="str">
        <f>'cal2'!DS37</f>
        <v>-</v>
      </c>
      <c r="DT8" s="39" t="str">
        <f>'cal2'!DT37</f>
        <v>-</v>
      </c>
      <c r="DU8" s="39" t="str">
        <f>'cal2'!DU37</f>
        <v>이기수</v>
      </c>
      <c r="DV8" s="39" t="str">
        <f>'cal2'!DV37</f>
        <v>-</v>
      </c>
      <c r="DW8" s="39" t="str">
        <f>'cal2'!DW37</f>
        <v>박성현</v>
      </c>
      <c r="DX8" s="39" t="str">
        <f>'cal2'!DX37</f>
        <v>정윤준</v>
      </c>
      <c r="DY8" s="39" t="str">
        <f>'cal2'!DY37</f>
        <v>-</v>
      </c>
      <c r="DZ8" s="39" t="str">
        <f>'cal2'!DZ37</f>
        <v>-</v>
      </c>
      <c r="EA8" s="39" t="str">
        <f>'cal2'!EA37</f>
        <v>허지웅</v>
      </c>
      <c r="EB8" s="39" t="str">
        <f>'cal2'!EB37</f>
        <v>-</v>
      </c>
      <c r="EC8" s="39" t="str">
        <f>'cal2'!EC37</f>
        <v>이기수</v>
      </c>
      <c r="ED8" s="39" t="str">
        <f>'cal2'!ED37</f>
        <v>박성현</v>
      </c>
      <c r="EE8" s="39" t="str">
        <f>'cal2'!EE37</f>
        <v>-</v>
      </c>
      <c r="EF8" s="39" t="str">
        <f>'cal2'!EF37</f>
        <v>정윤준</v>
      </c>
      <c r="EG8" s="39" t="str">
        <f>'cal2'!EG37</f>
        <v>이기수</v>
      </c>
      <c r="EH8" s="39" t="str">
        <f>'cal2'!EH37</f>
        <v>-</v>
      </c>
      <c r="EI8" s="39" t="str">
        <f>'cal2'!EI37</f>
        <v>허지웅</v>
      </c>
      <c r="EJ8" s="39" t="str">
        <f>'cal2'!EJ37</f>
        <v>정윤준</v>
      </c>
      <c r="EK8" s="39" t="str">
        <f>'cal2'!EK37</f>
        <v>-</v>
      </c>
      <c r="EL8" s="39" t="str">
        <f>'cal2'!EL37</f>
        <v>박성현</v>
      </c>
      <c r="EM8" s="39" t="str">
        <f>'cal2'!EM37</f>
        <v>허지웅</v>
      </c>
      <c r="EN8" s="39" t="str">
        <f>'cal2'!EN37</f>
        <v>-</v>
      </c>
      <c r="EO8" s="39" t="str">
        <f>'cal2'!EO37</f>
        <v>-</v>
      </c>
      <c r="EP8" s="39" t="str">
        <f>'cal2'!EP37</f>
        <v>박성현</v>
      </c>
      <c r="EQ8" s="39" t="str">
        <f>'cal2'!EQ37</f>
        <v>-</v>
      </c>
      <c r="ER8" s="39" t="str">
        <f>'cal2'!ER37</f>
        <v>이기수</v>
      </c>
      <c r="ES8" s="39" t="str">
        <f>'cal2'!ES37</f>
        <v>이기수</v>
      </c>
      <c r="ET8" s="39" t="str">
        <f>'cal2'!ET37</f>
        <v>-</v>
      </c>
      <c r="EU8" s="39" t="str">
        <f>'cal2'!EU37</f>
        <v>-</v>
      </c>
      <c r="EV8" s="39" t="str">
        <f>'cal2'!EV37</f>
        <v>정윤준</v>
      </c>
      <c r="EW8" s="39" t="str">
        <f>'cal2'!EW37</f>
        <v>-</v>
      </c>
      <c r="EX8" s="39" t="str">
        <f>'cal2'!EX37</f>
        <v>정윤준</v>
      </c>
      <c r="EY8" s="39" t="str">
        <f>'cal2'!EY37</f>
        <v>허지웅</v>
      </c>
      <c r="EZ8" s="39" t="str">
        <f>'cal2'!EZ37</f>
        <v>-</v>
      </c>
      <c r="FA8" s="39" t="str">
        <f>'cal2'!FA37</f>
        <v>허지웅</v>
      </c>
      <c r="FB8" s="39" t="str">
        <f>'cal2'!FB37</f>
        <v>박성현</v>
      </c>
      <c r="FC8" s="39" t="str">
        <f>'cal2'!FC37</f>
        <v>-</v>
      </c>
      <c r="FD8" s="39" t="str">
        <f>'cal2'!FD37</f>
        <v>박성현</v>
      </c>
      <c r="FE8" s="39" t="str">
        <f>'cal2'!FE37</f>
        <v>이기수</v>
      </c>
      <c r="FF8" s="39" t="str">
        <f>'cal2'!FF37</f>
        <v>-</v>
      </c>
      <c r="FG8" s="39" t="str">
        <f>'cal2'!FG37</f>
        <v>이기수</v>
      </c>
      <c r="FH8" s="39" t="str">
        <f>'cal2'!FH37</f>
        <v>정윤준</v>
      </c>
      <c r="FI8" s="39" t="str">
        <f>'cal2'!FI37</f>
        <v>-</v>
      </c>
      <c r="FJ8" s="39" t="str">
        <f>'cal2'!FJ37</f>
        <v>-</v>
      </c>
      <c r="FK8" s="39" t="str">
        <f>'cal2'!FK37</f>
        <v>허지웅</v>
      </c>
      <c r="FL8" s="39" t="str">
        <f>'cal2'!FL37</f>
        <v>-</v>
      </c>
      <c r="FM8" s="39" t="str">
        <f>'cal2'!FM37</f>
        <v>정윤준</v>
      </c>
      <c r="FN8" s="39" t="str">
        <f>'cal2'!FN37</f>
        <v>박성현</v>
      </c>
      <c r="FO8" s="39" t="str">
        <f>'cal2'!FO37</f>
        <v>-</v>
      </c>
      <c r="FP8" s="39" t="str">
        <f>'cal2'!FP37</f>
        <v>-</v>
      </c>
      <c r="FQ8" s="39" t="str">
        <f>'cal2'!FQ37</f>
        <v>이기수</v>
      </c>
      <c r="FR8" s="39" t="str">
        <f>'cal2'!FR37</f>
        <v>-</v>
      </c>
      <c r="FS8" s="39" t="str">
        <f>'cal2'!FS37</f>
        <v>허지웅</v>
      </c>
      <c r="FT8" s="39" t="str">
        <f>'cal2'!FT37</f>
        <v>정윤준</v>
      </c>
      <c r="FU8" s="39" t="str">
        <f>'cal2'!FU37</f>
        <v>-</v>
      </c>
      <c r="FV8" s="39" t="str">
        <f>'cal2'!FV37</f>
        <v>박성현</v>
      </c>
      <c r="FW8" s="39" t="str">
        <f>'cal2'!FW37</f>
        <v>허지웅</v>
      </c>
      <c r="FX8" s="39" t="str">
        <f>'cal2'!FX37</f>
        <v>-</v>
      </c>
      <c r="FY8" s="39" t="str">
        <f>'cal2'!FY37</f>
        <v>이기수</v>
      </c>
      <c r="FZ8" s="39" t="str">
        <f>'cal2'!FZ37</f>
        <v>박성현</v>
      </c>
      <c r="GA8" s="39" t="str">
        <f>'cal2'!GA37</f>
        <v>-</v>
      </c>
      <c r="GB8" s="39" t="str">
        <f>'cal2'!GB37</f>
        <v>정윤준</v>
      </c>
      <c r="GC8" s="39" t="str">
        <f>'cal2'!GC37</f>
        <v>이기수</v>
      </c>
      <c r="GD8" s="39" t="str">
        <f>'cal2'!GD37</f>
        <v>-</v>
      </c>
      <c r="GE8" s="39" t="str">
        <f>'cal2'!GE37</f>
        <v>-</v>
      </c>
      <c r="GF8" s="39" t="str">
        <f>'cal2'!GF37</f>
        <v>정윤준</v>
      </c>
      <c r="GG8" s="39" t="str">
        <f>'cal2'!GG37</f>
        <v>-</v>
      </c>
      <c r="GH8" s="39" t="str">
        <f>'cal2'!GH37</f>
        <v>허지웅</v>
      </c>
      <c r="GI8" s="39" t="str">
        <f>'cal2'!GI37</f>
        <v>허지웅</v>
      </c>
      <c r="GJ8" s="39" t="str">
        <f>'cal2'!GJ37</f>
        <v>-</v>
      </c>
      <c r="GK8" s="39" t="str">
        <f>'cal2'!GK37</f>
        <v>-</v>
      </c>
      <c r="GL8" s="39" t="str">
        <f>'cal2'!GL37</f>
        <v>박성현</v>
      </c>
      <c r="GM8" s="39" t="str">
        <f>'cal2'!GM37</f>
        <v>-</v>
      </c>
      <c r="GN8" s="39" t="str">
        <f>'cal2'!GN37</f>
        <v>박성현</v>
      </c>
      <c r="GO8" s="39" t="str">
        <f>'cal2'!GO37</f>
        <v>이기수</v>
      </c>
      <c r="GP8" s="39" t="str">
        <f>'cal2'!GP37</f>
        <v>-</v>
      </c>
      <c r="GQ8" s="39" t="str">
        <f>'cal2'!GQ37</f>
        <v>-</v>
      </c>
      <c r="GR8" s="39" t="str">
        <f>'cal2'!GR37</f>
        <v>정윤준</v>
      </c>
      <c r="GS8" s="39" t="str">
        <f>'cal2'!GS37</f>
        <v>-</v>
      </c>
      <c r="GT8" s="39" t="str">
        <f>'cal2'!GT37</f>
        <v>이기수</v>
      </c>
      <c r="GU8" s="39" t="str">
        <f>'cal2'!GU37</f>
        <v>허지웅</v>
      </c>
      <c r="GV8" s="39" t="str">
        <f>'cal2'!GV37</f>
        <v>-</v>
      </c>
      <c r="GW8" s="39" t="str">
        <f>'cal2'!GW37</f>
        <v>정윤준</v>
      </c>
      <c r="GX8" s="39" t="str">
        <f>'cal2'!GX37</f>
        <v>박성현</v>
      </c>
      <c r="GY8" s="39" t="str">
        <f>'cal2'!GY37</f>
        <v>-</v>
      </c>
      <c r="GZ8" s="39" t="str">
        <f>'cal2'!GZ37</f>
        <v>-</v>
      </c>
      <c r="HA8" s="39" t="str">
        <f>'cal2'!HA37</f>
        <v>이기수</v>
      </c>
      <c r="HB8" s="39" t="str">
        <f>'cal2'!HB37</f>
        <v>-</v>
      </c>
      <c r="HC8" s="39" t="str">
        <f>'cal2'!HC37</f>
        <v>허지웅</v>
      </c>
      <c r="HD8" s="39" t="str">
        <f>'cal2'!HD37</f>
        <v>정윤준</v>
      </c>
      <c r="HE8" s="39" t="str">
        <f>'cal2'!HE37</f>
        <v>-</v>
      </c>
      <c r="HF8" s="39" t="str">
        <f>'cal2'!HF37</f>
        <v>-</v>
      </c>
      <c r="HG8" s="39" t="str">
        <f>'cal2'!HG37</f>
        <v>허지웅</v>
      </c>
      <c r="HH8" s="39" t="str">
        <f>'cal2'!HH37</f>
        <v>-</v>
      </c>
      <c r="HI8" s="39" t="str">
        <f>'cal2'!HI37</f>
        <v>박성현</v>
      </c>
      <c r="HJ8" s="39" t="str">
        <f>'cal2'!HJ37</f>
        <v>박성현</v>
      </c>
      <c r="HK8" s="39" t="str">
        <f>'cal2'!HK37</f>
        <v>-</v>
      </c>
      <c r="HL8" s="39" t="str">
        <f>'cal2'!HL37</f>
        <v>이기수</v>
      </c>
      <c r="HM8" s="39" t="str">
        <f>'cal2'!HM37</f>
        <v>이기수</v>
      </c>
      <c r="HN8" s="39" t="str">
        <f>'cal2'!HN37</f>
        <v>-</v>
      </c>
      <c r="HO8" s="39" t="str">
        <f>'cal2'!HO37</f>
        <v>정윤준</v>
      </c>
      <c r="HP8" s="39" t="str">
        <f>'cal2'!HP37</f>
        <v>정윤준</v>
      </c>
      <c r="HQ8" s="39" t="str">
        <f>'cal2'!HQ37</f>
        <v>-</v>
      </c>
      <c r="HR8" s="39" t="str">
        <f>'cal2'!HR37</f>
        <v>허지웅</v>
      </c>
      <c r="HS8" s="39" t="str">
        <f>'cal2'!HS37</f>
        <v>허지웅</v>
      </c>
      <c r="HT8" s="39" t="str">
        <f>'cal2'!HT37</f>
        <v>-</v>
      </c>
      <c r="HU8" s="39" t="str">
        <f>'cal2'!HU37</f>
        <v>-</v>
      </c>
      <c r="HV8" s="39" t="str">
        <f>'cal2'!HV37</f>
        <v>박성현</v>
      </c>
      <c r="HW8" s="39" t="str">
        <f>'cal2'!HW37</f>
        <v>-</v>
      </c>
      <c r="HX8" s="39" t="str">
        <f>'cal2'!HX37</f>
        <v>박성현</v>
      </c>
      <c r="HY8" s="39" t="str">
        <f>'cal2'!HY37</f>
        <v>이기수</v>
      </c>
      <c r="HZ8" s="39" t="str">
        <f>'cal2'!HZ37</f>
        <v>-</v>
      </c>
      <c r="IA8" s="39" t="str">
        <f>'cal2'!IA37</f>
        <v>-</v>
      </c>
      <c r="IB8" s="39" t="str">
        <f>'cal2'!IB37</f>
        <v>정윤준</v>
      </c>
      <c r="IC8" s="39" t="str">
        <f>'cal2'!IC37</f>
        <v>-</v>
      </c>
      <c r="ID8" s="39" t="str">
        <f>'cal2'!ID37</f>
        <v>이기수</v>
      </c>
      <c r="IE8" s="39" t="str">
        <f>'cal2'!IE37</f>
        <v>허지웅</v>
      </c>
      <c r="IF8" s="39" t="str">
        <f>'cal2'!IF37</f>
        <v>-</v>
      </c>
      <c r="IG8" s="39" t="str">
        <f>'cal2'!IG37</f>
        <v>정윤준</v>
      </c>
      <c r="IH8" s="39" t="str">
        <f>'cal2'!IH37</f>
        <v>박성현</v>
      </c>
      <c r="II8" s="39" t="str">
        <f>'cal2'!II37</f>
        <v>-</v>
      </c>
      <c r="IJ8" s="39" t="str">
        <f>'cal2'!IJ37</f>
        <v>허지웅</v>
      </c>
      <c r="IK8" s="39" t="str">
        <f>'cal2'!IK37</f>
        <v>이기수</v>
      </c>
      <c r="IL8" s="39" t="str">
        <f>'cal2'!IL37</f>
        <v>-</v>
      </c>
      <c r="IM8" s="39" t="str">
        <f>'cal2'!IM37</f>
        <v>박성현</v>
      </c>
      <c r="IN8" s="39" t="str">
        <f>'cal2'!IN37</f>
        <v>정윤준</v>
      </c>
      <c r="IO8" s="39" t="str">
        <f>'cal2'!IO37</f>
        <v>-</v>
      </c>
      <c r="IP8" s="39" t="str">
        <f>'cal2'!IP37</f>
        <v>-</v>
      </c>
      <c r="IQ8" s="39" t="str">
        <f>'cal2'!IQ37</f>
        <v>허지웅</v>
      </c>
      <c r="IR8" s="39" t="str">
        <f>'cal2'!IR37</f>
        <v>-</v>
      </c>
      <c r="IS8" s="39" t="str">
        <f>'cal2'!IS37</f>
        <v>이기수</v>
      </c>
      <c r="IT8" s="39" t="str">
        <f>'cal2'!IT37</f>
        <v>박성현</v>
      </c>
      <c r="IU8" s="39" t="str">
        <f>'cal2'!IU37</f>
        <v>-</v>
      </c>
      <c r="IV8" s="39" t="str">
        <f>'cal2'!IV37</f>
        <v>-</v>
      </c>
      <c r="IW8" s="39" t="str">
        <f>'cal2'!IW37</f>
        <v>이기수</v>
      </c>
      <c r="IX8" s="39" t="str">
        <f>'cal2'!IX37</f>
        <v>-</v>
      </c>
      <c r="IY8" s="39" t="str">
        <f>'cal2'!IY37</f>
        <v>정윤준</v>
      </c>
      <c r="IZ8" s="39" t="str">
        <f>'cal2'!IZ37</f>
        <v>정윤준</v>
      </c>
      <c r="JA8" s="39" t="str">
        <f>'cal2'!JA37</f>
        <v>-</v>
      </c>
      <c r="JB8" s="39" t="str">
        <f>'cal2'!JB37</f>
        <v>허지웅</v>
      </c>
      <c r="JC8" s="39" t="str">
        <f>'cal2'!JC37</f>
        <v>허지웅</v>
      </c>
      <c r="JD8" s="39" t="str">
        <f>'cal2'!JD37</f>
        <v>-</v>
      </c>
      <c r="JE8" s="39" t="str">
        <f>'cal2'!JE37</f>
        <v>박성현</v>
      </c>
      <c r="JF8" s="39" t="str">
        <f>'cal2'!JF37</f>
        <v>박성현</v>
      </c>
      <c r="JG8" s="39" t="str">
        <f>'cal2'!JG37</f>
        <v>-</v>
      </c>
      <c r="JH8" s="39" t="str">
        <f>'cal2'!JH37</f>
        <v>-</v>
      </c>
      <c r="JI8" s="39" t="str">
        <f>'cal2'!JI37</f>
        <v>이기수</v>
      </c>
      <c r="JJ8" s="39" t="str">
        <f>'cal2'!JJ37</f>
        <v>-</v>
      </c>
      <c r="JK8" s="39" t="str">
        <f>'cal2'!JK37</f>
        <v>-</v>
      </c>
      <c r="JL8" s="39" t="str">
        <f>'cal2'!JL37</f>
        <v>정윤준</v>
      </c>
      <c r="JM8" s="39" t="str">
        <f>'cal2'!JM37</f>
        <v>-</v>
      </c>
      <c r="JN8" s="39" t="str">
        <f>'cal2'!JN37</f>
        <v>이기수</v>
      </c>
      <c r="JO8" s="39" t="str">
        <f>'cal2'!JO37</f>
        <v>허지웅</v>
      </c>
      <c r="JP8" s="39" t="str">
        <f>'cal2'!JP37</f>
        <v>-</v>
      </c>
      <c r="JQ8" s="39" t="str">
        <f>'cal2'!JQ37</f>
        <v>-</v>
      </c>
      <c r="JR8" s="39" t="str">
        <f>'cal2'!JR37</f>
        <v>박성현</v>
      </c>
      <c r="JS8" s="39" t="str">
        <f>'cal2'!JS37</f>
        <v>-</v>
      </c>
      <c r="JT8" s="39" t="str">
        <f>'cal2'!JT37</f>
        <v>정윤준</v>
      </c>
      <c r="JU8" s="39" t="str">
        <f>'cal2'!JU37</f>
        <v>이기수</v>
      </c>
      <c r="JV8" s="39" t="str">
        <f>'cal2'!JV37</f>
        <v>-</v>
      </c>
      <c r="JW8" s="39" t="str">
        <f>'cal2'!JW37</f>
        <v>-</v>
      </c>
      <c r="JX8" s="39" t="str">
        <f>'cal2'!JX37</f>
        <v>정윤준</v>
      </c>
      <c r="JY8" s="39" t="str">
        <f>'cal2'!JY37</f>
        <v>-</v>
      </c>
      <c r="JZ8" s="39" t="str">
        <f>'cal2'!JZ37</f>
        <v>허지웅</v>
      </c>
      <c r="KA8" s="39" t="str">
        <f>'cal2'!KA37</f>
        <v>허지웅</v>
      </c>
      <c r="KB8" s="39" t="str">
        <f>'cal2'!KB37</f>
        <v>-</v>
      </c>
      <c r="KC8" s="39" t="str">
        <f>'cal2'!KC37</f>
        <v>박성현</v>
      </c>
      <c r="KD8" s="39" t="str">
        <f>'cal2'!KD37</f>
        <v>박성현</v>
      </c>
      <c r="KE8" s="39" t="str">
        <f>'cal2'!KE37</f>
        <v>-</v>
      </c>
      <c r="KF8" s="39" t="str">
        <f>'cal2'!KF37</f>
        <v>-</v>
      </c>
      <c r="KG8" s="39" t="str">
        <f>'cal2'!KG37</f>
        <v>이기수</v>
      </c>
      <c r="KH8" s="39" t="str">
        <f>'cal2'!KH37</f>
        <v>-</v>
      </c>
      <c r="KI8" s="39" t="str">
        <f>'cal2'!KI37</f>
        <v>이기수</v>
      </c>
      <c r="KJ8" s="39" t="str">
        <f>'cal2'!KJ37</f>
        <v>정윤준</v>
      </c>
      <c r="KK8" s="39" t="str">
        <f>'cal2'!KK37</f>
        <v>-</v>
      </c>
      <c r="KL8" s="39" t="str">
        <f>'cal2'!KL37</f>
        <v>-</v>
      </c>
      <c r="KM8" s="39" t="str">
        <f>'cal2'!KM37</f>
        <v>허지웅</v>
      </c>
      <c r="KN8" s="39" t="str">
        <f>'cal2'!KN37</f>
        <v>-</v>
      </c>
      <c r="KO8" s="39" t="str">
        <f>'cal2'!KO37</f>
        <v>정윤준</v>
      </c>
      <c r="KP8" s="39" t="str">
        <f>'cal2'!KP37</f>
        <v>박성현</v>
      </c>
      <c r="KQ8" s="39" t="str">
        <f>'cal2'!KQ37</f>
        <v>-</v>
      </c>
      <c r="KR8" s="39" t="str">
        <f>'cal2'!KR37</f>
        <v>허지웅</v>
      </c>
      <c r="KS8" s="39" t="str">
        <f>'cal2'!KS37</f>
        <v>이기수</v>
      </c>
      <c r="KT8" s="39" t="str">
        <f>'cal2'!KT37</f>
        <v>-</v>
      </c>
      <c r="KU8" s="39" t="str">
        <f>'cal2'!KU37</f>
        <v>박성현</v>
      </c>
      <c r="KV8" s="39" t="str">
        <f>'cal2'!KV37</f>
        <v>정윤준</v>
      </c>
      <c r="KW8" s="39" t="str">
        <f>'cal2'!KW37</f>
        <v>-</v>
      </c>
      <c r="KX8" s="39" t="str">
        <f>'cal2'!KX37</f>
        <v>이기수</v>
      </c>
      <c r="KY8" s="39" t="str">
        <f>'cal2'!KY37</f>
        <v>허지웅</v>
      </c>
      <c r="KZ8" s="39" t="str">
        <f>'cal2'!KZ37</f>
        <v>-</v>
      </c>
      <c r="LA8" s="39" t="str">
        <f>'cal2'!LA37</f>
        <v>-</v>
      </c>
      <c r="LB8" s="39" t="str">
        <f>'cal2'!LB37</f>
        <v>박성현</v>
      </c>
      <c r="LC8" s="39" t="str">
        <f>'cal2'!LC37</f>
        <v>-</v>
      </c>
      <c r="LD8" s="39" t="str">
        <f>'cal2'!LD37</f>
        <v>정윤준</v>
      </c>
      <c r="LE8" s="39" t="str">
        <f>'cal2'!LE37</f>
        <v>이기수</v>
      </c>
      <c r="LF8" s="39" t="str">
        <f>'cal2'!LF37</f>
        <v>-</v>
      </c>
      <c r="LG8" s="39" t="str">
        <f>'cal2'!LG37</f>
        <v>-</v>
      </c>
      <c r="LH8" s="39" t="str">
        <f>'cal2'!LH37</f>
        <v>정윤준</v>
      </c>
      <c r="LI8" s="39" t="str">
        <f>'cal2'!LI37</f>
        <v>-</v>
      </c>
      <c r="LJ8" s="39" t="str">
        <f>'cal2'!LJ37</f>
        <v>허지웅</v>
      </c>
      <c r="LK8" s="39" t="str">
        <f>'cal2'!LK37</f>
        <v>허지웅</v>
      </c>
      <c r="LL8" s="39" t="str">
        <f>'cal2'!LL37</f>
        <v>-</v>
      </c>
      <c r="LM8" s="39" t="str">
        <f>'cal2'!LM37</f>
        <v>박성현</v>
      </c>
      <c r="LN8" s="39" t="str">
        <f>'cal2'!LN37</f>
        <v>박성현</v>
      </c>
      <c r="LO8" s="39" t="str">
        <f>'cal2'!LO37</f>
        <v>-</v>
      </c>
      <c r="LP8" s="39" t="str">
        <f>'cal2'!LP37</f>
        <v>이기수</v>
      </c>
      <c r="LQ8" s="39" t="str">
        <f>'cal2'!LQ37</f>
        <v>이기수</v>
      </c>
      <c r="LR8" s="39" t="str">
        <f>'cal2'!LR37</f>
        <v>-</v>
      </c>
      <c r="LS8" s="39" t="str">
        <f>'cal2'!LS37</f>
        <v>정윤준</v>
      </c>
      <c r="LT8" s="39" t="str">
        <f>'cal2'!LT37</f>
        <v>정윤준</v>
      </c>
      <c r="LU8" s="39" t="str">
        <f>'cal2'!LU37</f>
        <v>-</v>
      </c>
      <c r="LV8" s="39" t="str">
        <f>'cal2'!LV37</f>
        <v>-</v>
      </c>
      <c r="LW8" s="39" t="str">
        <f>'cal2'!LW37</f>
        <v>허지웅</v>
      </c>
      <c r="LX8" s="39" t="str">
        <f>'cal2'!LX37</f>
        <v>-</v>
      </c>
      <c r="LY8" s="39" t="str">
        <f>'cal2'!LY37</f>
        <v>허지웅</v>
      </c>
      <c r="LZ8" s="39" t="str">
        <f>'cal2'!LZ37</f>
        <v>박성현</v>
      </c>
      <c r="MA8" s="39" t="str">
        <f>'cal2'!MA37</f>
        <v>-</v>
      </c>
      <c r="MB8" s="39" t="str">
        <f>'cal2'!MB37</f>
        <v>-</v>
      </c>
      <c r="MC8" s="39" t="str">
        <f>'cal2'!MC37</f>
        <v>이기수</v>
      </c>
      <c r="MD8" s="39" t="str">
        <f>'cal2'!MD37</f>
        <v>-</v>
      </c>
      <c r="ME8" s="39" t="str">
        <f>'cal2'!ME37</f>
        <v>박성현</v>
      </c>
      <c r="MF8" s="39" t="str">
        <f>'cal2'!MF37</f>
        <v>정윤준</v>
      </c>
      <c r="MG8" s="39" t="str">
        <f>'cal2'!MG37</f>
        <v>-</v>
      </c>
      <c r="MH8" s="39" t="str">
        <f>'cal2'!MH37</f>
        <v>이기수</v>
      </c>
      <c r="MI8" s="39" t="str">
        <f>'cal2'!MI37</f>
        <v>허지웅</v>
      </c>
      <c r="MJ8" s="39" t="str">
        <f>'cal2'!MJ37</f>
        <v>-</v>
      </c>
      <c r="MK8" s="39" t="str">
        <f>'cal2'!MK37</f>
        <v>정윤준</v>
      </c>
      <c r="ML8" s="39" t="str">
        <f>'cal2'!ML37</f>
        <v>박성현</v>
      </c>
      <c r="MM8" s="39" t="str">
        <f>'cal2'!MM37</f>
        <v>-</v>
      </c>
      <c r="MN8" s="39" t="str">
        <f>'cal2'!MN37</f>
        <v>허지웅</v>
      </c>
      <c r="MO8" s="39" t="str">
        <f>'cal2'!MO37</f>
        <v>이기수</v>
      </c>
      <c r="MP8" s="39" t="str">
        <f>'cal2'!MP37</f>
        <v>-</v>
      </c>
      <c r="MQ8" s="39" t="str">
        <f>'cal2'!MQ37</f>
        <v>-</v>
      </c>
      <c r="MR8" s="39" t="str">
        <f>'cal2'!MR37</f>
        <v>정윤준</v>
      </c>
      <c r="MS8" s="39" t="str">
        <f>'cal2'!MS37</f>
        <v>-</v>
      </c>
      <c r="MT8" s="39" t="str">
        <f>'cal2'!MT37</f>
        <v>박성현</v>
      </c>
      <c r="MU8" s="39" t="str">
        <f>'cal2'!MU37</f>
        <v>허지웅</v>
      </c>
      <c r="MV8" s="39" t="str">
        <f>'cal2'!MV37</f>
        <v>-</v>
      </c>
      <c r="MW8" s="39" t="str">
        <f>'cal2'!MW37</f>
        <v>-</v>
      </c>
      <c r="MX8" s="39" t="str">
        <f>'cal2'!MX37</f>
        <v>박성현</v>
      </c>
      <c r="MY8" s="39" t="str">
        <f>'cal2'!MY37</f>
        <v>-</v>
      </c>
      <c r="MZ8" s="39" t="str">
        <f>'cal2'!MZ37</f>
        <v>이기수</v>
      </c>
      <c r="NA8" s="39" t="str">
        <f>'cal2'!NA37</f>
        <v>이기수</v>
      </c>
      <c r="NB8" s="39" t="str">
        <f>'cal2'!NB37</f>
        <v>-</v>
      </c>
      <c r="NC8" s="39" t="str">
        <f>'cal2'!NC37</f>
        <v>정윤준</v>
      </c>
    </row>
  </sheetData>
  <phoneticPr fontId="1" type="noConversion"/>
  <conditionalFormatting sqref="A1:NC8">
    <cfRule type="expression" dxfId="324" priority="1">
      <formula>A$4="휴무"</formula>
    </cfRule>
    <cfRule type="expression" dxfId="323" priority="2">
      <formula>A$4="야간"</formula>
    </cfRule>
    <cfRule type="expression" dxfId="322" priority="3">
      <formula>A$4="비번"</formula>
    </cfRule>
    <cfRule type="expression" dxfId="321" priority="4">
      <formula>A$4="주간"</formula>
    </cfRule>
    <cfRule type="expression" dxfId="320" priority="5">
      <formula>A$4="당직"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603"/>
  <sheetViews>
    <sheetView topLeftCell="A209" zoomScale="70" zoomScaleNormal="70" workbookViewId="0">
      <selection activeCell="A209" sqref="A209"/>
    </sheetView>
  </sheetViews>
  <sheetFormatPr defaultRowHeight="17.45"/>
  <sheetData>
    <row r="1" spans="1:8" ht="18.600000000000001" thickTop="1" thickBot="1">
      <c r="A1" s="46" t="s">
        <v>87</v>
      </c>
      <c r="E1" s="34">
        <v>46023</v>
      </c>
      <c r="F1" s="34">
        <v>46024</v>
      </c>
      <c r="G1" s="34">
        <v>46025</v>
      </c>
      <c r="H1" s="34">
        <v>46026</v>
      </c>
    </row>
    <row r="2" spans="1:8" ht="18.600000000000001" thickTop="1" thickBot="1">
      <c r="A2" s="47" t="s">
        <v>88</v>
      </c>
      <c r="E2" s="37">
        <v>5</v>
      </c>
      <c r="F2" s="37">
        <v>6</v>
      </c>
      <c r="G2" s="37">
        <v>7</v>
      </c>
      <c r="H2" s="37">
        <v>1</v>
      </c>
    </row>
    <row r="3" spans="1:8" ht="18.600000000000001" thickTop="1" thickBot="1">
      <c r="A3" s="48" t="s">
        <v>89</v>
      </c>
      <c r="E3" s="39" t="s">
        <v>62</v>
      </c>
      <c r="F3" s="39">
        <v>0</v>
      </c>
      <c r="G3" s="39">
        <v>0</v>
      </c>
      <c r="H3" s="39">
        <v>0</v>
      </c>
    </row>
    <row r="4" spans="1:8" ht="18" thickBot="1">
      <c r="A4" s="49" t="s">
        <v>90</v>
      </c>
      <c r="E4" s="41" t="s">
        <v>91</v>
      </c>
      <c r="F4" s="41" t="s">
        <v>92</v>
      </c>
      <c r="G4" s="41" t="s">
        <v>93</v>
      </c>
      <c r="H4" s="41" t="s">
        <v>91</v>
      </c>
    </row>
    <row r="5" spans="1:8" ht="18" thickTop="1">
      <c r="A5" s="50" t="s">
        <v>83</v>
      </c>
      <c r="E5" s="43" t="s">
        <v>22</v>
      </c>
      <c r="F5" s="43" t="s">
        <v>94</v>
      </c>
      <c r="G5" s="43" t="s">
        <v>94</v>
      </c>
      <c r="H5" s="43" t="s">
        <v>25</v>
      </c>
    </row>
    <row r="6" spans="1:8" ht="18" thickBot="1">
      <c r="A6" s="51" t="s">
        <v>84</v>
      </c>
      <c r="E6" s="43" t="s">
        <v>23</v>
      </c>
      <c r="F6" s="43" t="s">
        <v>94</v>
      </c>
      <c r="G6" s="43" t="s">
        <v>94</v>
      </c>
      <c r="H6" s="43" t="s">
        <v>22</v>
      </c>
    </row>
    <row r="7" spans="1:8">
      <c r="A7" s="50" t="s">
        <v>85</v>
      </c>
      <c r="E7" s="44" t="s">
        <v>24</v>
      </c>
      <c r="F7" s="44" t="s">
        <v>94</v>
      </c>
      <c r="G7" s="44" t="s">
        <v>94</v>
      </c>
      <c r="H7" s="44" t="s">
        <v>23</v>
      </c>
    </row>
    <row r="8" spans="1:8" ht="18" thickBot="1">
      <c r="A8" s="52" t="s">
        <v>86</v>
      </c>
      <c r="E8" s="39" t="s">
        <v>25</v>
      </c>
      <c r="F8" s="39" t="s">
        <v>94</v>
      </c>
      <c r="G8" s="39" t="s">
        <v>94</v>
      </c>
      <c r="H8" s="39" t="s">
        <v>24</v>
      </c>
    </row>
    <row r="9" spans="1:8" ht="18.600000000000001" thickTop="1" thickBot="1">
      <c r="A9" s="46" t="s">
        <v>87</v>
      </c>
      <c r="B9" s="34">
        <v>46027</v>
      </c>
      <c r="C9" s="34">
        <v>46028</v>
      </c>
      <c r="D9" s="34">
        <v>46029</v>
      </c>
      <c r="E9" s="34">
        <v>46030</v>
      </c>
      <c r="F9" s="34">
        <v>46031</v>
      </c>
      <c r="G9" s="34">
        <v>46032</v>
      </c>
      <c r="H9" s="34">
        <v>46033</v>
      </c>
    </row>
    <row r="10" spans="1:8" ht="18.600000000000001" thickTop="1" thickBot="1">
      <c r="A10" s="47" t="s">
        <v>88</v>
      </c>
      <c r="B10" s="37">
        <v>2</v>
      </c>
      <c r="C10" s="37">
        <v>3</v>
      </c>
      <c r="D10" s="37">
        <v>4</v>
      </c>
      <c r="E10" s="37">
        <v>5</v>
      </c>
      <c r="F10" s="37">
        <v>6</v>
      </c>
      <c r="G10" s="37">
        <v>7</v>
      </c>
      <c r="H10" s="37">
        <v>1</v>
      </c>
    </row>
    <row r="11" spans="1:8" ht="18.600000000000001" thickTop="1" thickBot="1">
      <c r="A11" s="48" t="s">
        <v>89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</row>
    <row r="12" spans="1:8" ht="18" thickBot="1">
      <c r="A12" s="49" t="s">
        <v>90</v>
      </c>
      <c r="B12" s="41" t="s">
        <v>92</v>
      </c>
      <c r="C12" s="41" t="s">
        <v>95</v>
      </c>
      <c r="D12" s="41" t="s">
        <v>96</v>
      </c>
      <c r="E12" s="41" t="s">
        <v>92</v>
      </c>
      <c r="F12" s="41" t="s">
        <v>95</v>
      </c>
      <c r="G12" s="41" t="s">
        <v>91</v>
      </c>
      <c r="H12" s="41" t="s">
        <v>92</v>
      </c>
    </row>
    <row r="13" spans="1:8" ht="18" thickTop="1">
      <c r="A13" s="50" t="s">
        <v>83</v>
      </c>
      <c r="B13" s="43" t="s">
        <v>94</v>
      </c>
      <c r="C13" s="43" t="s">
        <v>22</v>
      </c>
      <c r="D13" s="43" t="s">
        <v>24</v>
      </c>
      <c r="E13" s="43" t="s">
        <v>94</v>
      </c>
      <c r="F13" s="43" t="s">
        <v>25</v>
      </c>
      <c r="G13" s="43" t="s">
        <v>23</v>
      </c>
      <c r="H13" s="43" t="s">
        <v>94</v>
      </c>
    </row>
    <row r="14" spans="1:8" ht="18" thickBot="1">
      <c r="A14" s="51" t="s">
        <v>84</v>
      </c>
      <c r="B14" s="43" t="s">
        <v>94</v>
      </c>
      <c r="C14" s="43" t="s">
        <v>23</v>
      </c>
      <c r="D14" s="43" t="s">
        <v>25</v>
      </c>
      <c r="E14" s="43" t="s">
        <v>94</v>
      </c>
      <c r="F14" s="43" t="s">
        <v>22</v>
      </c>
      <c r="G14" s="43" t="s">
        <v>24</v>
      </c>
      <c r="H14" s="43" t="s">
        <v>94</v>
      </c>
    </row>
    <row r="15" spans="1:8">
      <c r="A15" s="50" t="s">
        <v>85</v>
      </c>
      <c r="B15" s="44" t="s">
        <v>94</v>
      </c>
      <c r="C15" s="44" t="s">
        <v>24</v>
      </c>
      <c r="D15" s="44" t="s">
        <v>22</v>
      </c>
      <c r="E15" s="44" t="s">
        <v>94</v>
      </c>
      <c r="F15" s="44" t="s">
        <v>23</v>
      </c>
      <c r="G15" s="44" t="s">
        <v>25</v>
      </c>
      <c r="H15" s="44" t="s">
        <v>94</v>
      </c>
    </row>
    <row r="16" spans="1:8" ht="18" thickBot="1">
      <c r="A16" s="52" t="s">
        <v>86</v>
      </c>
      <c r="B16" s="39" t="s">
        <v>94</v>
      </c>
      <c r="C16" s="39" t="s">
        <v>25</v>
      </c>
      <c r="D16" s="39" t="s">
        <v>23</v>
      </c>
      <c r="E16" s="39" t="s">
        <v>94</v>
      </c>
      <c r="F16" s="39" t="s">
        <v>24</v>
      </c>
      <c r="G16" s="39" t="s">
        <v>22</v>
      </c>
      <c r="H16" s="39" t="s">
        <v>94</v>
      </c>
    </row>
    <row r="17" spans="1:8" ht="18.600000000000001" thickTop="1" thickBot="1">
      <c r="A17" s="46" t="s">
        <v>87</v>
      </c>
      <c r="B17" s="34">
        <v>46034</v>
      </c>
      <c r="C17" s="34">
        <v>46035</v>
      </c>
      <c r="D17" s="34">
        <v>46036</v>
      </c>
      <c r="E17" s="34">
        <v>46037</v>
      </c>
      <c r="F17" s="34">
        <v>46038</v>
      </c>
      <c r="G17" s="34">
        <v>46039</v>
      </c>
      <c r="H17" s="34">
        <v>46040</v>
      </c>
    </row>
    <row r="18" spans="1:8" ht="18.600000000000001" thickTop="1" thickBot="1">
      <c r="A18" s="47" t="s">
        <v>88</v>
      </c>
      <c r="B18" s="37">
        <v>2</v>
      </c>
      <c r="C18" s="37">
        <v>3</v>
      </c>
      <c r="D18" s="37">
        <v>4</v>
      </c>
      <c r="E18" s="37">
        <v>5</v>
      </c>
      <c r="F18" s="37">
        <v>6</v>
      </c>
      <c r="G18" s="37">
        <v>7</v>
      </c>
      <c r="H18" s="37">
        <v>1</v>
      </c>
    </row>
    <row r="19" spans="1:8" ht="18.600000000000001" thickTop="1" thickBot="1">
      <c r="A19" s="48" t="s">
        <v>89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</row>
    <row r="20" spans="1:8" ht="18" thickBot="1">
      <c r="A20" s="49" t="s">
        <v>90</v>
      </c>
      <c r="B20" s="41" t="s">
        <v>95</v>
      </c>
      <c r="C20" s="41" t="s">
        <v>96</v>
      </c>
      <c r="D20" s="41" t="s">
        <v>92</v>
      </c>
      <c r="E20" s="41" t="s">
        <v>95</v>
      </c>
      <c r="F20" s="41" t="s">
        <v>96</v>
      </c>
      <c r="G20" s="41" t="s">
        <v>92</v>
      </c>
      <c r="H20" s="41" t="s">
        <v>93</v>
      </c>
    </row>
    <row r="21" spans="1:8" ht="18" thickTop="1">
      <c r="A21" s="50" t="s">
        <v>83</v>
      </c>
      <c r="B21" s="43" t="s">
        <v>24</v>
      </c>
      <c r="C21" s="43" t="s">
        <v>22</v>
      </c>
      <c r="D21" s="43" t="s">
        <v>94</v>
      </c>
      <c r="E21" s="43" t="s">
        <v>23</v>
      </c>
      <c r="F21" s="43" t="s">
        <v>25</v>
      </c>
      <c r="G21" s="43" t="s">
        <v>94</v>
      </c>
      <c r="H21" s="43" t="s">
        <v>94</v>
      </c>
    </row>
    <row r="22" spans="1:8" ht="18" thickBot="1">
      <c r="A22" s="51" t="s">
        <v>84</v>
      </c>
      <c r="B22" s="43" t="s">
        <v>25</v>
      </c>
      <c r="C22" s="43" t="s">
        <v>23</v>
      </c>
      <c r="D22" s="43" t="s">
        <v>94</v>
      </c>
      <c r="E22" s="43" t="s">
        <v>24</v>
      </c>
      <c r="F22" s="43" t="s">
        <v>22</v>
      </c>
      <c r="G22" s="43" t="s">
        <v>94</v>
      </c>
      <c r="H22" s="43" t="s">
        <v>94</v>
      </c>
    </row>
    <row r="23" spans="1:8">
      <c r="A23" s="50" t="s">
        <v>85</v>
      </c>
      <c r="B23" s="44" t="s">
        <v>22</v>
      </c>
      <c r="C23" s="44" t="s">
        <v>24</v>
      </c>
      <c r="D23" s="44" t="s">
        <v>94</v>
      </c>
      <c r="E23" s="44" t="s">
        <v>25</v>
      </c>
      <c r="F23" s="44" t="s">
        <v>23</v>
      </c>
      <c r="G23" s="44" t="s">
        <v>94</v>
      </c>
      <c r="H23" s="44" t="s">
        <v>94</v>
      </c>
    </row>
    <row r="24" spans="1:8" ht="18" thickBot="1">
      <c r="A24" s="52" t="s">
        <v>86</v>
      </c>
      <c r="B24" s="39" t="s">
        <v>23</v>
      </c>
      <c r="C24" s="39" t="s">
        <v>25</v>
      </c>
      <c r="D24" s="39" t="s">
        <v>94</v>
      </c>
      <c r="E24" s="39" t="s">
        <v>22</v>
      </c>
      <c r="F24" s="39" t="s">
        <v>24</v>
      </c>
      <c r="G24" s="39" t="s">
        <v>94</v>
      </c>
      <c r="H24" s="39" t="s">
        <v>94</v>
      </c>
    </row>
    <row r="25" spans="1:8" ht="18.600000000000001" thickTop="1" thickBot="1">
      <c r="A25" s="46" t="s">
        <v>87</v>
      </c>
      <c r="B25" s="34">
        <v>46041</v>
      </c>
      <c r="C25" s="34">
        <v>46042</v>
      </c>
      <c r="D25" s="34">
        <v>46043</v>
      </c>
      <c r="E25" s="34">
        <v>46044</v>
      </c>
      <c r="F25" s="34">
        <v>46045</v>
      </c>
      <c r="G25" s="34">
        <v>46046</v>
      </c>
      <c r="H25" s="34">
        <v>46047</v>
      </c>
    </row>
    <row r="26" spans="1:8" ht="18.600000000000001" thickTop="1" thickBot="1">
      <c r="A26" s="47" t="s">
        <v>88</v>
      </c>
      <c r="B26" s="37">
        <v>2</v>
      </c>
      <c r="C26" s="37">
        <v>3</v>
      </c>
      <c r="D26" s="37">
        <v>4</v>
      </c>
      <c r="E26" s="37">
        <v>5</v>
      </c>
      <c r="F26" s="37">
        <v>6</v>
      </c>
      <c r="G26" s="37">
        <v>7</v>
      </c>
      <c r="H26" s="37">
        <v>1</v>
      </c>
    </row>
    <row r="27" spans="1:8" ht="18.600000000000001" thickTop="1" thickBot="1">
      <c r="A27" s="48" t="s">
        <v>89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</row>
    <row r="28" spans="1:8" ht="18" thickBot="1">
      <c r="A28" s="49" t="s">
        <v>90</v>
      </c>
      <c r="B28" s="41" t="s">
        <v>96</v>
      </c>
      <c r="C28" s="41" t="s">
        <v>92</v>
      </c>
      <c r="D28" s="41" t="s">
        <v>95</v>
      </c>
      <c r="E28" s="41" t="s">
        <v>96</v>
      </c>
      <c r="F28" s="41" t="s">
        <v>92</v>
      </c>
      <c r="G28" s="41" t="s">
        <v>93</v>
      </c>
      <c r="H28" s="41" t="s">
        <v>91</v>
      </c>
    </row>
    <row r="29" spans="1:8" ht="18" thickTop="1">
      <c r="A29" s="50" t="s">
        <v>83</v>
      </c>
      <c r="B29" s="43" t="s">
        <v>24</v>
      </c>
      <c r="C29" s="43" t="s">
        <v>94</v>
      </c>
      <c r="D29" s="43" t="s">
        <v>22</v>
      </c>
      <c r="E29" s="43" t="s">
        <v>23</v>
      </c>
      <c r="F29" s="43" t="s">
        <v>94</v>
      </c>
      <c r="G29" s="43" t="s">
        <v>94</v>
      </c>
      <c r="H29" s="43" t="s">
        <v>22</v>
      </c>
    </row>
    <row r="30" spans="1:8" ht="18" thickBot="1">
      <c r="A30" s="51" t="s">
        <v>84</v>
      </c>
      <c r="B30" s="43" t="s">
        <v>25</v>
      </c>
      <c r="C30" s="43" t="s">
        <v>94</v>
      </c>
      <c r="D30" s="43" t="s">
        <v>23</v>
      </c>
      <c r="E30" s="43" t="s">
        <v>24</v>
      </c>
      <c r="F30" s="43" t="s">
        <v>94</v>
      </c>
      <c r="G30" s="43" t="s">
        <v>94</v>
      </c>
      <c r="H30" s="43" t="s">
        <v>23</v>
      </c>
    </row>
    <row r="31" spans="1:8">
      <c r="A31" s="50" t="s">
        <v>85</v>
      </c>
      <c r="B31" s="44" t="s">
        <v>22</v>
      </c>
      <c r="C31" s="44" t="s">
        <v>94</v>
      </c>
      <c r="D31" s="44" t="s">
        <v>24</v>
      </c>
      <c r="E31" s="44" t="s">
        <v>25</v>
      </c>
      <c r="F31" s="44" t="s">
        <v>94</v>
      </c>
      <c r="G31" s="44" t="s">
        <v>94</v>
      </c>
      <c r="H31" s="44" t="s">
        <v>24</v>
      </c>
    </row>
    <row r="32" spans="1:8" ht="18" thickBot="1">
      <c r="A32" s="52" t="s">
        <v>86</v>
      </c>
      <c r="B32" s="39" t="s">
        <v>23</v>
      </c>
      <c r="C32" s="39" t="s">
        <v>94</v>
      </c>
      <c r="D32" s="39" t="s">
        <v>25</v>
      </c>
      <c r="E32" s="39" t="s">
        <v>22</v>
      </c>
      <c r="F32" s="39" t="s">
        <v>94</v>
      </c>
      <c r="G32" s="39" t="s">
        <v>94</v>
      </c>
      <c r="H32" s="39" t="s">
        <v>25</v>
      </c>
    </row>
    <row r="33" spans="1:8" ht="18.600000000000001" thickTop="1" thickBot="1">
      <c r="A33" s="46" t="s">
        <v>87</v>
      </c>
      <c r="B33" s="34">
        <v>46048</v>
      </c>
      <c r="C33" s="34">
        <v>46049</v>
      </c>
      <c r="D33" s="34">
        <v>46050</v>
      </c>
      <c r="E33" s="34">
        <v>46051</v>
      </c>
      <c r="F33" s="34">
        <v>46052</v>
      </c>
      <c r="G33" s="34">
        <v>46053</v>
      </c>
      <c r="H33" s="34">
        <v>46054</v>
      </c>
    </row>
    <row r="34" spans="1:8" ht="18.600000000000001" thickTop="1" thickBot="1">
      <c r="A34" s="47" t="s">
        <v>88</v>
      </c>
      <c r="B34" s="37">
        <v>2</v>
      </c>
      <c r="C34" s="37">
        <v>3</v>
      </c>
      <c r="D34" s="37">
        <v>4</v>
      </c>
      <c r="E34" s="37">
        <v>5</v>
      </c>
      <c r="F34" s="37">
        <v>6</v>
      </c>
      <c r="G34" s="37">
        <v>7</v>
      </c>
      <c r="H34" s="37">
        <v>1</v>
      </c>
    </row>
    <row r="35" spans="1:8" ht="18.600000000000001" thickTop="1" thickBot="1">
      <c r="A35" s="48" t="s">
        <v>89</v>
      </c>
      <c r="B35" s="39">
        <v>0</v>
      </c>
      <c r="C35" s="39">
        <v>0</v>
      </c>
      <c r="D35" s="39">
        <v>0</v>
      </c>
      <c r="E35" s="39">
        <v>0</v>
      </c>
      <c r="F35" s="39">
        <v>0</v>
      </c>
      <c r="G35" s="39">
        <v>0</v>
      </c>
      <c r="H35" s="39">
        <v>0</v>
      </c>
    </row>
    <row r="36" spans="1:8" ht="18" thickBot="1">
      <c r="A36" s="49" t="s">
        <v>90</v>
      </c>
      <c r="B36" s="41" t="s">
        <v>92</v>
      </c>
      <c r="C36" s="41" t="s">
        <v>95</v>
      </c>
      <c r="D36" s="41" t="s">
        <v>96</v>
      </c>
      <c r="E36" s="41" t="s">
        <v>92</v>
      </c>
      <c r="F36" s="41" t="s">
        <v>95</v>
      </c>
      <c r="G36" s="41" t="s">
        <v>91</v>
      </c>
      <c r="H36" s="41" t="s">
        <v>92</v>
      </c>
    </row>
    <row r="37" spans="1:8" ht="18" thickTop="1">
      <c r="A37" s="50" t="s">
        <v>83</v>
      </c>
      <c r="B37" s="43" t="s">
        <v>94</v>
      </c>
      <c r="C37" s="43" t="s">
        <v>25</v>
      </c>
      <c r="D37" s="43" t="s">
        <v>25</v>
      </c>
      <c r="E37" s="43" t="s">
        <v>94</v>
      </c>
      <c r="F37" s="43" t="s">
        <v>24</v>
      </c>
      <c r="G37" s="43" t="s">
        <v>24</v>
      </c>
      <c r="H37" s="43" t="s">
        <v>94</v>
      </c>
    </row>
    <row r="38" spans="1:8" ht="18" thickBot="1">
      <c r="A38" s="51" t="s">
        <v>84</v>
      </c>
      <c r="B38" s="43" t="s">
        <v>94</v>
      </c>
      <c r="C38" s="43" t="s">
        <v>22</v>
      </c>
      <c r="D38" s="43" t="s">
        <v>22</v>
      </c>
      <c r="E38" s="43" t="s">
        <v>94</v>
      </c>
      <c r="F38" s="43" t="s">
        <v>25</v>
      </c>
      <c r="G38" s="43" t="s">
        <v>25</v>
      </c>
      <c r="H38" s="43" t="s">
        <v>94</v>
      </c>
    </row>
    <row r="39" spans="1:8">
      <c r="A39" s="50" t="s">
        <v>85</v>
      </c>
      <c r="B39" s="44" t="s">
        <v>94</v>
      </c>
      <c r="C39" s="44" t="s">
        <v>23</v>
      </c>
      <c r="D39" s="44" t="s">
        <v>23</v>
      </c>
      <c r="E39" s="44" t="s">
        <v>94</v>
      </c>
      <c r="F39" s="44" t="s">
        <v>22</v>
      </c>
      <c r="G39" s="44" t="s">
        <v>22</v>
      </c>
      <c r="H39" s="44" t="s">
        <v>94</v>
      </c>
    </row>
    <row r="40" spans="1:8" ht="18" thickBot="1">
      <c r="A40" s="52" t="s">
        <v>86</v>
      </c>
      <c r="B40" s="39" t="s">
        <v>94</v>
      </c>
      <c r="C40" s="39" t="s">
        <v>24</v>
      </c>
      <c r="D40" s="39" t="s">
        <v>24</v>
      </c>
      <c r="E40" s="39" t="s">
        <v>94</v>
      </c>
      <c r="F40" s="39" t="s">
        <v>23</v>
      </c>
      <c r="G40" s="39" t="s">
        <v>23</v>
      </c>
      <c r="H40" s="39" t="s">
        <v>94</v>
      </c>
    </row>
    <row r="41" spans="1:8" ht="18.600000000000001" thickTop="1" thickBot="1">
      <c r="A41" s="46" t="s">
        <v>87</v>
      </c>
      <c r="B41" s="34">
        <v>46055</v>
      </c>
      <c r="C41" s="34">
        <v>46056</v>
      </c>
      <c r="D41" s="34">
        <v>46057</v>
      </c>
      <c r="E41" s="34">
        <v>46058</v>
      </c>
      <c r="F41" s="34">
        <v>46059</v>
      </c>
      <c r="G41" s="34">
        <v>46060</v>
      </c>
      <c r="H41" s="34">
        <v>46061</v>
      </c>
    </row>
    <row r="42" spans="1:8" ht="18.600000000000001" thickTop="1" thickBot="1">
      <c r="A42" s="47" t="s">
        <v>88</v>
      </c>
      <c r="B42" s="37">
        <v>2</v>
      </c>
      <c r="C42" s="37">
        <v>3</v>
      </c>
      <c r="D42" s="37">
        <v>4</v>
      </c>
      <c r="E42" s="37">
        <v>5</v>
      </c>
      <c r="F42" s="37">
        <v>6</v>
      </c>
      <c r="G42" s="37">
        <v>7</v>
      </c>
      <c r="H42" s="37">
        <v>1</v>
      </c>
    </row>
    <row r="43" spans="1:8" ht="18.600000000000001" thickTop="1" thickBot="1">
      <c r="A43" s="48" t="s">
        <v>89</v>
      </c>
      <c r="B43" s="39">
        <v>0</v>
      </c>
      <c r="C43" s="39">
        <v>0</v>
      </c>
      <c r="D43" s="39">
        <v>0</v>
      </c>
      <c r="E43" s="39">
        <v>0</v>
      </c>
      <c r="F43" s="39">
        <v>0</v>
      </c>
      <c r="G43" s="39">
        <v>0</v>
      </c>
      <c r="H43" s="39">
        <v>0</v>
      </c>
    </row>
    <row r="44" spans="1:8" ht="18" thickBot="1">
      <c r="A44" s="49" t="s">
        <v>90</v>
      </c>
      <c r="B44" s="41" t="s">
        <v>95</v>
      </c>
      <c r="C44" s="41" t="s">
        <v>96</v>
      </c>
      <c r="D44" s="41" t="s">
        <v>92</v>
      </c>
      <c r="E44" s="41" t="s">
        <v>95</v>
      </c>
      <c r="F44" s="41" t="s">
        <v>96</v>
      </c>
      <c r="G44" s="41" t="s">
        <v>92</v>
      </c>
      <c r="H44" s="41" t="s">
        <v>93</v>
      </c>
    </row>
    <row r="45" spans="1:8" ht="18" thickTop="1">
      <c r="A45" s="50" t="s">
        <v>83</v>
      </c>
      <c r="B45" s="43" t="s">
        <v>23</v>
      </c>
      <c r="C45" s="43" t="s">
        <v>23</v>
      </c>
      <c r="D45" s="43" t="s">
        <v>94</v>
      </c>
      <c r="E45" s="43" t="s">
        <v>22</v>
      </c>
      <c r="F45" s="43" t="s">
        <v>22</v>
      </c>
      <c r="G45" s="43" t="s">
        <v>94</v>
      </c>
      <c r="H45" s="43" t="s">
        <v>94</v>
      </c>
    </row>
    <row r="46" spans="1:8" ht="18" thickBot="1">
      <c r="A46" s="51" t="s">
        <v>84</v>
      </c>
      <c r="B46" s="43" t="s">
        <v>24</v>
      </c>
      <c r="C46" s="43" t="s">
        <v>24</v>
      </c>
      <c r="D46" s="43" t="s">
        <v>94</v>
      </c>
      <c r="E46" s="43" t="s">
        <v>23</v>
      </c>
      <c r="F46" s="43" t="s">
        <v>23</v>
      </c>
      <c r="G46" s="43" t="s">
        <v>94</v>
      </c>
      <c r="H46" s="43" t="s">
        <v>94</v>
      </c>
    </row>
    <row r="47" spans="1:8">
      <c r="A47" s="50" t="s">
        <v>85</v>
      </c>
      <c r="B47" s="44" t="s">
        <v>25</v>
      </c>
      <c r="C47" s="44" t="s">
        <v>25</v>
      </c>
      <c r="D47" s="44" t="s">
        <v>94</v>
      </c>
      <c r="E47" s="44" t="s">
        <v>24</v>
      </c>
      <c r="F47" s="44" t="s">
        <v>24</v>
      </c>
      <c r="G47" s="44" t="s">
        <v>94</v>
      </c>
      <c r="H47" s="44" t="s">
        <v>94</v>
      </c>
    </row>
    <row r="48" spans="1:8" ht="18" thickBot="1">
      <c r="A48" s="52" t="s">
        <v>86</v>
      </c>
      <c r="B48" s="39" t="s">
        <v>22</v>
      </c>
      <c r="C48" s="39" t="s">
        <v>22</v>
      </c>
      <c r="D48" s="39" t="s">
        <v>94</v>
      </c>
      <c r="E48" s="39" t="s">
        <v>25</v>
      </c>
      <c r="F48" s="39" t="s">
        <v>25</v>
      </c>
      <c r="G48" s="39" t="s">
        <v>94</v>
      </c>
      <c r="H48" s="39" t="s">
        <v>94</v>
      </c>
    </row>
    <row r="49" spans="1:8" ht="18.600000000000001" thickTop="1" thickBot="1">
      <c r="A49" s="46" t="s">
        <v>87</v>
      </c>
      <c r="B49" s="34">
        <v>46062</v>
      </c>
      <c r="C49" s="34">
        <v>46063</v>
      </c>
      <c r="D49" s="34">
        <v>46064</v>
      </c>
      <c r="E49" s="34">
        <v>46065</v>
      </c>
      <c r="F49" s="34">
        <v>46066</v>
      </c>
      <c r="G49" s="34">
        <v>46067</v>
      </c>
      <c r="H49" s="34">
        <v>46068</v>
      </c>
    </row>
    <row r="50" spans="1:8" ht="18.600000000000001" thickTop="1" thickBot="1">
      <c r="A50" s="47" t="s">
        <v>88</v>
      </c>
      <c r="B50" s="37">
        <v>2</v>
      </c>
      <c r="C50" s="37">
        <v>3</v>
      </c>
      <c r="D50" s="37">
        <v>4</v>
      </c>
      <c r="E50" s="37">
        <v>5</v>
      </c>
      <c r="F50" s="37">
        <v>6</v>
      </c>
      <c r="G50" s="37">
        <v>7</v>
      </c>
      <c r="H50" s="37">
        <v>1</v>
      </c>
    </row>
    <row r="51" spans="1:8" ht="18.600000000000001" thickTop="1" thickBot="1">
      <c r="A51" s="48" t="s">
        <v>89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</row>
    <row r="52" spans="1:8" ht="18" thickBot="1">
      <c r="A52" s="49" t="s">
        <v>90</v>
      </c>
      <c r="B52" s="41" t="s">
        <v>96</v>
      </c>
      <c r="C52" s="41" t="s">
        <v>92</v>
      </c>
      <c r="D52" s="41" t="s">
        <v>95</v>
      </c>
      <c r="E52" s="41" t="s">
        <v>96</v>
      </c>
      <c r="F52" s="41" t="s">
        <v>92</v>
      </c>
      <c r="G52" s="41" t="s">
        <v>93</v>
      </c>
      <c r="H52" s="41" t="s">
        <v>91</v>
      </c>
    </row>
    <row r="53" spans="1:8" ht="18" thickTop="1">
      <c r="A53" s="50" t="s">
        <v>83</v>
      </c>
      <c r="B53" s="43" t="s">
        <v>25</v>
      </c>
      <c r="C53" s="43" t="s">
        <v>94</v>
      </c>
      <c r="D53" s="43" t="s">
        <v>25</v>
      </c>
      <c r="E53" s="43" t="s">
        <v>24</v>
      </c>
      <c r="F53" s="43" t="s">
        <v>94</v>
      </c>
      <c r="G53" s="43" t="s">
        <v>94</v>
      </c>
      <c r="H53" s="43" t="s">
        <v>23</v>
      </c>
    </row>
    <row r="54" spans="1:8" ht="18" thickBot="1">
      <c r="A54" s="51" t="s">
        <v>84</v>
      </c>
      <c r="B54" s="43" t="s">
        <v>22</v>
      </c>
      <c r="C54" s="43" t="s">
        <v>94</v>
      </c>
      <c r="D54" s="43" t="s">
        <v>22</v>
      </c>
      <c r="E54" s="43" t="s">
        <v>25</v>
      </c>
      <c r="F54" s="43" t="s">
        <v>94</v>
      </c>
      <c r="G54" s="43" t="s">
        <v>94</v>
      </c>
      <c r="H54" s="43" t="s">
        <v>24</v>
      </c>
    </row>
    <row r="55" spans="1:8">
      <c r="A55" s="50" t="s">
        <v>85</v>
      </c>
      <c r="B55" s="44" t="s">
        <v>23</v>
      </c>
      <c r="C55" s="44" t="s">
        <v>94</v>
      </c>
      <c r="D55" s="44" t="s">
        <v>23</v>
      </c>
      <c r="E55" s="44" t="s">
        <v>22</v>
      </c>
      <c r="F55" s="44" t="s">
        <v>94</v>
      </c>
      <c r="G55" s="44" t="s">
        <v>94</v>
      </c>
      <c r="H55" s="44" t="s">
        <v>25</v>
      </c>
    </row>
    <row r="56" spans="1:8" ht="18" thickBot="1">
      <c r="A56" s="52" t="s">
        <v>86</v>
      </c>
      <c r="B56" s="39" t="s">
        <v>24</v>
      </c>
      <c r="C56" s="39" t="s">
        <v>94</v>
      </c>
      <c r="D56" s="39" t="s">
        <v>24</v>
      </c>
      <c r="E56" s="39" t="s">
        <v>23</v>
      </c>
      <c r="F56" s="39" t="s">
        <v>94</v>
      </c>
      <c r="G56" s="39" t="s">
        <v>94</v>
      </c>
      <c r="H56" s="39" t="s">
        <v>22</v>
      </c>
    </row>
    <row r="57" spans="1:8" ht="18.600000000000001" thickTop="1" thickBot="1">
      <c r="A57" s="46" t="s">
        <v>87</v>
      </c>
      <c r="B57" s="34">
        <v>46069</v>
      </c>
      <c r="C57" s="34">
        <v>46070</v>
      </c>
      <c r="D57" s="34">
        <v>46071</v>
      </c>
      <c r="E57" s="34">
        <v>46072</v>
      </c>
      <c r="F57" s="34">
        <v>46073</v>
      </c>
      <c r="G57" s="34">
        <v>46074</v>
      </c>
      <c r="H57" s="34">
        <v>46075</v>
      </c>
    </row>
    <row r="58" spans="1:8" ht="18.600000000000001" thickTop="1" thickBot="1">
      <c r="A58" s="47" t="s">
        <v>88</v>
      </c>
      <c r="B58" s="37">
        <v>2</v>
      </c>
      <c r="C58" s="37">
        <v>3</v>
      </c>
      <c r="D58" s="37">
        <v>4</v>
      </c>
      <c r="E58" s="37">
        <v>5</v>
      </c>
      <c r="F58" s="37">
        <v>6</v>
      </c>
      <c r="G58" s="37">
        <v>7</v>
      </c>
      <c r="H58" s="37">
        <v>1</v>
      </c>
    </row>
    <row r="59" spans="1:8" ht="18.600000000000001" thickTop="1" thickBot="1">
      <c r="A59" s="48" t="s">
        <v>89</v>
      </c>
      <c r="B59" s="39" t="s">
        <v>97</v>
      </c>
      <c r="C59" s="39" t="s">
        <v>98</v>
      </c>
      <c r="D59" s="39" t="s">
        <v>97</v>
      </c>
      <c r="E59" s="39">
        <v>0</v>
      </c>
      <c r="F59" s="39">
        <v>0</v>
      </c>
      <c r="G59" s="39">
        <v>0</v>
      </c>
      <c r="H59" s="39">
        <v>0</v>
      </c>
    </row>
    <row r="60" spans="1:8" ht="18" thickBot="1">
      <c r="A60" s="49" t="s">
        <v>90</v>
      </c>
      <c r="B60" s="41" t="s">
        <v>92</v>
      </c>
      <c r="C60" s="41" t="s">
        <v>93</v>
      </c>
      <c r="D60" s="41" t="s">
        <v>91</v>
      </c>
      <c r="E60" s="41" t="s">
        <v>92</v>
      </c>
      <c r="F60" s="41" t="s">
        <v>95</v>
      </c>
      <c r="G60" s="41" t="s">
        <v>91</v>
      </c>
      <c r="H60" s="41" t="s">
        <v>92</v>
      </c>
    </row>
    <row r="61" spans="1:8" ht="18" thickTop="1">
      <c r="A61" s="50" t="s">
        <v>83</v>
      </c>
      <c r="B61" s="43" t="s">
        <v>94</v>
      </c>
      <c r="C61" s="43" t="s">
        <v>94</v>
      </c>
      <c r="D61" s="43" t="s">
        <v>22</v>
      </c>
      <c r="E61" s="43" t="s">
        <v>94</v>
      </c>
      <c r="F61" s="43" t="s">
        <v>24</v>
      </c>
      <c r="G61" s="43" t="s">
        <v>25</v>
      </c>
      <c r="H61" s="43" t="s">
        <v>94</v>
      </c>
    </row>
    <row r="62" spans="1:8" ht="18" thickBot="1">
      <c r="A62" s="51" t="s">
        <v>84</v>
      </c>
      <c r="B62" s="43" t="s">
        <v>94</v>
      </c>
      <c r="C62" s="43" t="s">
        <v>94</v>
      </c>
      <c r="D62" s="43" t="s">
        <v>23</v>
      </c>
      <c r="E62" s="43" t="s">
        <v>94</v>
      </c>
      <c r="F62" s="43" t="s">
        <v>25</v>
      </c>
      <c r="G62" s="43" t="s">
        <v>22</v>
      </c>
      <c r="H62" s="43" t="s">
        <v>94</v>
      </c>
    </row>
    <row r="63" spans="1:8">
      <c r="A63" s="50" t="s">
        <v>85</v>
      </c>
      <c r="B63" s="44" t="s">
        <v>94</v>
      </c>
      <c r="C63" s="44" t="s">
        <v>94</v>
      </c>
      <c r="D63" s="44" t="s">
        <v>24</v>
      </c>
      <c r="E63" s="44" t="s">
        <v>94</v>
      </c>
      <c r="F63" s="44" t="s">
        <v>22</v>
      </c>
      <c r="G63" s="44" t="s">
        <v>23</v>
      </c>
      <c r="H63" s="44" t="s">
        <v>94</v>
      </c>
    </row>
    <row r="64" spans="1:8" ht="18" thickBot="1">
      <c r="A64" s="52" t="s">
        <v>86</v>
      </c>
      <c r="B64" s="39" t="s">
        <v>94</v>
      </c>
      <c r="C64" s="39" t="s">
        <v>94</v>
      </c>
      <c r="D64" s="39" t="s">
        <v>25</v>
      </c>
      <c r="E64" s="39" t="s">
        <v>94</v>
      </c>
      <c r="F64" s="39" t="s">
        <v>23</v>
      </c>
      <c r="G64" s="39" t="s">
        <v>24</v>
      </c>
      <c r="H64" s="39" t="s">
        <v>94</v>
      </c>
    </row>
    <row r="65" spans="1:8" ht="18.600000000000001" thickTop="1" thickBot="1">
      <c r="A65" s="46" t="s">
        <v>87</v>
      </c>
      <c r="B65" s="34">
        <v>46076</v>
      </c>
      <c r="C65" s="34">
        <v>46077</v>
      </c>
      <c r="D65" s="34">
        <v>46078</v>
      </c>
      <c r="E65" s="34">
        <v>46079</v>
      </c>
      <c r="F65" s="34">
        <v>46080</v>
      </c>
      <c r="G65" s="34">
        <v>46081</v>
      </c>
      <c r="H65" s="34">
        <v>46082</v>
      </c>
    </row>
    <row r="66" spans="1:8" ht="18.600000000000001" thickTop="1" thickBot="1">
      <c r="A66" s="47" t="s">
        <v>88</v>
      </c>
      <c r="B66" s="37">
        <v>2</v>
      </c>
      <c r="C66" s="37">
        <v>3</v>
      </c>
      <c r="D66" s="37">
        <v>4</v>
      </c>
      <c r="E66" s="37">
        <v>5</v>
      </c>
      <c r="F66" s="37">
        <v>6</v>
      </c>
      <c r="G66" s="37">
        <v>7</v>
      </c>
      <c r="H66" s="37">
        <v>1</v>
      </c>
    </row>
    <row r="67" spans="1:8" ht="18.600000000000001" thickTop="1" thickBot="1">
      <c r="A67" s="48" t="s">
        <v>89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</row>
    <row r="68" spans="1:8" ht="18" thickBot="1">
      <c r="A68" s="49" t="s">
        <v>90</v>
      </c>
      <c r="B68" s="41" t="s">
        <v>95</v>
      </c>
      <c r="C68" s="41" t="s">
        <v>96</v>
      </c>
      <c r="D68" s="41" t="s">
        <v>92</v>
      </c>
      <c r="E68" s="41" t="s">
        <v>95</v>
      </c>
      <c r="F68" s="41" t="s">
        <v>96</v>
      </c>
      <c r="G68" s="41" t="s">
        <v>92</v>
      </c>
      <c r="H68" s="41" t="s">
        <v>93</v>
      </c>
    </row>
    <row r="69" spans="1:8" ht="18" thickTop="1">
      <c r="A69" s="50" t="s">
        <v>83</v>
      </c>
      <c r="B69" s="43" t="s">
        <v>23</v>
      </c>
      <c r="C69" s="43" t="s">
        <v>24</v>
      </c>
      <c r="D69" s="43" t="s">
        <v>94</v>
      </c>
      <c r="E69" s="43" t="s">
        <v>22</v>
      </c>
      <c r="F69" s="43" t="s">
        <v>23</v>
      </c>
      <c r="G69" s="43" t="s">
        <v>94</v>
      </c>
      <c r="H69" s="43" t="s">
        <v>94</v>
      </c>
    </row>
    <row r="70" spans="1:8" ht="18" thickBot="1">
      <c r="A70" s="51" t="s">
        <v>84</v>
      </c>
      <c r="B70" s="43" t="s">
        <v>24</v>
      </c>
      <c r="C70" s="43" t="s">
        <v>25</v>
      </c>
      <c r="D70" s="43" t="s">
        <v>94</v>
      </c>
      <c r="E70" s="43" t="s">
        <v>23</v>
      </c>
      <c r="F70" s="43" t="s">
        <v>24</v>
      </c>
      <c r="G70" s="43" t="s">
        <v>94</v>
      </c>
      <c r="H70" s="43" t="s">
        <v>94</v>
      </c>
    </row>
    <row r="71" spans="1:8">
      <c r="A71" s="50" t="s">
        <v>85</v>
      </c>
      <c r="B71" s="44" t="s">
        <v>25</v>
      </c>
      <c r="C71" s="44" t="s">
        <v>22</v>
      </c>
      <c r="D71" s="44" t="s">
        <v>94</v>
      </c>
      <c r="E71" s="44" t="s">
        <v>24</v>
      </c>
      <c r="F71" s="44" t="s">
        <v>25</v>
      </c>
      <c r="G71" s="44" t="s">
        <v>94</v>
      </c>
      <c r="H71" s="44" t="s">
        <v>94</v>
      </c>
    </row>
    <row r="72" spans="1:8" ht="18" thickBot="1">
      <c r="A72" s="52" t="s">
        <v>86</v>
      </c>
      <c r="B72" s="39" t="s">
        <v>22</v>
      </c>
      <c r="C72" s="39" t="s">
        <v>23</v>
      </c>
      <c r="D72" s="39" t="s">
        <v>94</v>
      </c>
      <c r="E72" s="39" t="s">
        <v>25</v>
      </c>
      <c r="F72" s="39" t="s">
        <v>22</v>
      </c>
      <c r="G72" s="39" t="s">
        <v>94</v>
      </c>
      <c r="H72" s="39" t="s">
        <v>94</v>
      </c>
    </row>
    <row r="73" spans="1:8" ht="18.600000000000001" thickTop="1" thickBot="1">
      <c r="A73" s="46" t="s">
        <v>87</v>
      </c>
      <c r="B73" s="34">
        <v>46083</v>
      </c>
      <c r="C73" s="34">
        <v>46084</v>
      </c>
      <c r="D73" s="34">
        <v>46085</v>
      </c>
      <c r="E73" s="34">
        <v>46086</v>
      </c>
      <c r="F73" s="34">
        <v>46087</v>
      </c>
      <c r="G73" s="34">
        <v>46088</v>
      </c>
      <c r="H73" s="34">
        <v>46089</v>
      </c>
    </row>
    <row r="74" spans="1:8" ht="18.600000000000001" thickTop="1" thickBot="1">
      <c r="A74" s="47" t="s">
        <v>88</v>
      </c>
      <c r="B74" s="37">
        <v>2</v>
      </c>
      <c r="C74" s="37">
        <v>3</v>
      </c>
      <c r="D74" s="37">
        <v>4</v>
      </c>
      <c r="E74" s="37">
        <v>5</v>
      </c>
      <c r="F74" s="37">
        <v>6</v>
      </c>
      <c r="G74" s="37">
        <v>7</v>
      </c>
      <c r="H74" s="37">
        <v>1</v>
      </c>
    </row>
    <row r="75" spans="1:8" ht="18.600000000000001" thickTop="1" thickBot="1">
      <c r="A75" s="48" t="s">
        <v>89</v>
      </c>
      <c r="B75" s="39" t="s">
        <v>68</v>
      </c>
      <c r="C75" s="39">
        <v>0</v>
      </c>
      <c r="D75" s="39">
        <v>0</v>
      </c>
      <c r="E75" s="39">
        <v>0</v>
      </c>
      <c r="F75" s="39">
        <v>0</v>
      </c>
      <c r="G75" s="39">
        <v>0</v>
      </c>
      <c r="H75" s="39">
        <v>0</v>
      </c>
    </row>
    <row r="76" spans="1:8" ht="18" thickBot="1">
      <c r="A76" s="49" t="s">
        <v>90</v>
      </c>
      <c r="B76" s="41" t="s">
        <v>91</v>
      </c>
      <c r="C76" s="41" t="s">
        <v>92</v>
      </c>
      <c r="D76" s="41" t="s">
        <v>95</v>
      </c>
      <c r="E76" s="41" t="s">
        <v>96</v>
      </c>
      <c r="F76" s="41" t="s">
        <v>92</v>
      </c>
      <c r="G76" s="41" t="s">
        <v>93</v>
      </c>
      <c r="H76" s="41" t="s">
        <v>91</v>
      </c>
    </row>
    <row r="77" spans="1:8" ht="18" thickTop="1">
      <c r="A77" s="50" t="s">
        <v>83</v>
      </c>
      <c r="B77" s="43" t="s">
        <v>22</v>
      </c>
      <c r="C77" s="43" t="s">
        <v>94</v>
      </c>
      <c r="D77" s="43" t="s">
        <v>25</v>
      </c>
      <c r="E77" s="43" t="s">
        <v>25</v>
      </c>
      <c r="F77" s="43" t="s">
        <v>94</v>
      </c>
      <c r="G77" s="43" t="s">
        <v>94</v>
      </c>
      <c r="H77" s="43" t="s">
        <v>24</v>
      </c>
    </row>
    <row r="78" spans="1:8" ht="18" thickBot="1">
      <c r="A78" s="51" t="s">
        <v>84</v>
      </c>
      <c r="B78" s="43" t="s">
        <v>23</v>
      </c>
      <c r="C78" s="43" t="s">
        <v>94</v>
      </c>
      <c r="D78" s="43" t="s">
        <v>22</v>
      </c>
      <c r="E78" s="43" t="s">
        <v>22</v>
      </c>
      <c r="F78" s="43" t="s">
        <v>94</v>
      </c>
      <c r="G78" s="43" t="s">
        <v>94</v>
      </c>
      <c r="H78" s="43" t="s">
        <v>25</v>
      </c>
    </row>
    <row r="79" spans="1:8">
      <c r="A79" s="50" t="s">
        <v>85</v>
      </c>
      <c r="B79" s="44" t="s">
        <v>24</v>
      </c>
      <c r="C79" s="44" t="s">
        <v>94</v>
      </c>
      <c r="D79" s="44" t="s">
        <v>23</v>
      </c>
      <c r="E79" s="44" t="s">
        <v>23</v>
      </c>
      <c r="F79" s="44" t="s">
        <v>94</v>
      </c>
      <c r="G79" s="44" t="s">
        <v>94</v>
      </c>
      <c r="H79" s="44" t="s">
        <v>22</v>
      </c>
    </row>
    <row r="80" spans="1:8" ht="18" thickBot="1">
      <c r="A80" s="52" t="s">
        <v>86</v>
      </c>
      <c r="B80" s="39" t="s">
        <v>25</v>
      </c>
      <c r="C80" s="39" t="s">
        <v>94</v>
      </c>
      <c r="D80" s="39" t="s">
        <v>24</v>
      </c>
      <c r="E80" s="39" t="s">
        <v>24</v>
      </c>
      <c r="F80" s="39" t="s">
        <v>94</v>
      </c>
      <c r="G80" s="39" t="s">
        <v>94</v>
      </c>
      <c r="H80" s="39" t="s">
        <v>23</v>
      </c>
    </row>
    <row r="81" spans="1:8" ht="18.600000000000001" thickTop="1" thickBot="1">
      <c r="A81" s="46" t="s">
        <v>87</v>
      </c>
      <c r="B81" s="34">
        <v>46090</v>
      </c>
      <c r="C81" s="34">
        <v>46091</v>
      </c>
      <c r="D81" s="34">
        <v>46092</v>
      </c>
      <c r="E81" s="34">
        <v>46093</v>
      </c>
      <c r="F81" s="34">
        <v>46094</v>
      </c>
      <c r="G81" s="34">
        <v>46095</v>
      </c>
      <c r="H81" s="34">
        <v>46096</v>
      </c>
    </row>
    <row r="82" spans="1:8" ht="18.600000000000001" thickTop="1" thickBot="1">
      <c r="A82" s="47" t="s">
        <v>88</v>
      </c>
      <c r="B82" s="37">
        <v>2</v>
      </c>
      <c r="C82" s="37">
        <v>3</v>
      </c>
      <c r="D82" s="37">
        <v>4</v>
      </c>
      <c r="E82" s="37">
        <v>5</v>
      </c>
      <c r="F82" s="37">
        <v>6</v>
      </c>
      <c r="G82" s="37">
        <v>7</v>
      </c>
      <c r="H82" s="37">
        <v>1</v>
      </c>
    </row>
    <row r="83" spans="1:8" ht="18.600000000000001" thickTop="1" thickBot="1">
      <c r="A83" s="48" t="s">
        <v>89</v>
      </c>
      <c r="B83" s="39">
        <v>0</v>
      </c>
      <c r="C83" s="39">
        <v>0</v>
      </c>
      <c r="D83" s="39">
        <v>0</v>
      </c>
      <c r="E83" s="39">
        <v>0</v>
      </c>
      <c r="F83" s="39">
        <v>0</v>
      </c>
      <c r="G83" s="39">
        <v>0</v>
      </c>
      <c r="H83" s="39">
        <v>0</v>
      </c>
    </row>
    <row r="84" spans="1:8" ht="18" thickBot="1">
      <c r="A84" s="49" t="s">
        <v>90</v>
      </c>
      <c r="B84" s="41" t="s">
        <v>92</v>
      </c>
      <c r="C84" s="41" t="s">
        <v>95</v>
      </c>
      <c r="D84" s="41" t="s">
        <v>96</v>
      </c>
      <c r="E84" s="41" t="s">
        <v>92</v>
      </c>
      <c r="F84" s="41" t="s">
        <v>95</v>
      </c>
      <c r="G84" s="41" t="s">
        <v>91</v>
      </c>
      <c r="H84" s="41" t="s">
        <v>92</v>
      </c>
    </row>
    <row r="85" spans="1:8" ht="18" thickTop="1">
      <c r="A85" s="50" t="s">
        <v>83</v>
      </c>
      <c r="B85" s="43" t="s">
        <v>94</v>
      </c>
      <c r="C85" s="43" t="s">
        <v>24</v>
      </c>
      <c r="D85" s="43" t="s">
        <v>23</v>
      </c>
      <c r="E85" s="43" t="s">
        <v>94</v>
      </c>
      <c r="F85" s="43" t="s">
        <v>23</v>
      </c>
      <c r="G85" s="43" t="s">
        <v>22</v>
      </c>
      <c r="H85" s="43" t="s">
        <v>94</v>
      </c>
    </row>
    <row r="86" spans="1:8" ht="18" thickBot="1">
      <c r="A86" s="51" t="s">
        <v>84</v>
      </c>
      <c r="B86" s="43" t="s">
        <v>94</v>
      </c>
      <c r="C86" s="43" t="s">
        <v>25</v>
      </c>
      <c r="D86" s="43" t="s">
        <v>24</v>
      </c>
      <c r="E86" s="43" t="s">
        <v>94</v>
      </c>
      <c r="F86" s="43" t="s">
        <v>24</v>
      </c>
      <c r="G86" s="43" t="s">
        <v>23</v>
      </c>
      <c r="H86" s="43" t="s">
        <v>94</v>
      </c>
    </row>
    <row r="87" spans="1:8">
      <c r="A87" s="50" t="s">
        <v>85</v>
      </c>
      <c r="B87" s="44" t="s">
        <v>94</v>
      </c>
      <c r="C87" s="44" t="s">
        <v>22</v>
      </c>
      <c r="D87" s="44" t="s">
        <v>25</v>
      </c>
      <c r="E87" s="44" t="s">
        <v>94</v>
      </c>
      <c r="F87" s="44" t="s">
        <v>25</v>
      </c>
      <c r="G87" s="44" t="s">
        <v>24</v>
      </c>
      <c r="H87" s="44" t="s">
        <v>94</v>
      </c>
    </row>
    <row r="88" spans="1:8" ht="18" thickBot="1">
      <c r="A88" s="52" t="s">
        <v>86</v>
      </c>
      <c r="B88" s="39" t="s">
        <v>94</v>
      </c>
      <c r="C88" s="39" t="s">
        <v>23</v>
      </c>
      <c r="D88" s="39" t="s">
        <v>22</v>
      </c>
      <c r="E88" s="39" t="s">
        <v>94</v>
      </c>
      <c r="F88" s="39" t="s">
        <v>22</v>
      </c>
      <c r="G88" s="39" t="s">
        <v>25</v>
      </c>
      <c r="H88" s="39" t="s">
        <v>94</v>
      </c>
    </row>
    <row r="89" spans="1:8" ht="18.600000000000001" thickTop="1" thickBot="1">
      <c r="A89" s="46" t="s">
        <v>87</v>
      </c>
      <c r="B89" s="34">
        <v>46097</v>
      </c>
      <c r="C89" s="34">
        <v>46098</v>
      </c>
      <c r="D89" s="34">
        <v>46099</v>
      </c>
      <c r="E89" s="34">
        <v>46100</v>
      </c>
      <c r="F89" s="34">
        <v>46101</v>
      </c>
      <c r="G89" s="34">
        <v>46102</v>
      </c>
      <c r="H89" s="34">
        <v>46103</v>
      </c>
    </row>
    <row r="90" spans="1:8" ht="18.600000000000001" thickTop="1" thickBot="1">
      <c r="A90" s="47" t="s">
        <v>88</v>
      </c>
      <c r="B90" s="37">
        <v>2</v>
      </c>
      <c r="C90" s="37">
        <v>3</v>
      </c>
      <c r="D90" s="37">
        <v>4</v>
      </c>
      <c r="E90" s="37">
        <v>5</v>
      </c>
      <c r="F90" s="37">
        <v>6</v>
      </c>
      <c r="G90" s="37">
        <v>7</v>
      </c>
      <c r="H90" s="37">
        <v>1</v>
      </c>
    </row>
    <row r="91" spans="1:8" ht="18.600000000000001" thickTop="1" thickBot="1">
      <c r="A91" s="48" t="s">
        <v>89</v>
      </c>
      <c r="B91" s="39">
        <v>0</v>
      </c>
      <c r="C91" s="39">
        <v>0</v>
      </c>
      <c r="D91" s="39">
        <v>0</v>
      </c>
      <c r="E91" s="39">
        <v>0</v>
      </c>
      <c r="F91" s="39">
        <v>0</v>
      </c>
      <c r="G91" s="39">
        <v>0</v>
      </c>
      <c r="H91" s="39">
        <v>0</v>
      </c>
    </row>
    <row r="92" spans="1:8" ht="18" thickBot="1">
      <c r="A92" s="49" t="s">
        <v>90</v>
      </c>
      <c r="B92" s="41" t="s">
        <v>95</v>
      </c>
      <c r="C92" s="41" t="s">
        <v>96</v>
      </c>
      <c r="D92" s="41" t="s">
        <v>92</v>
      </c>
      <c r="E92" s="41" t="s">
        <v>95</v>
      </c>
      <c r="F92" s="41" t="s">
        <v>96</v>
      </c>
      <c r="G92" s="41" t="s">
        <v>92</v>
      </c>
      <c r="H92" s="41" t="s">
        <v>93</v>
      </c>
    </row>
    <row r="93" spans="1:8" ht="18" thickTop="1">
      <c r="A93" s="50" t="s">
        <v>83</v>
      </c>
      <c r="B93" s="43" t="s">
        <v>22</v>
      </c>
      <c r="C93" s="43" t="s">
        <v>25</v>
      </c>
      <c r="D93" s="43" t="s">
        <v>94</v>
      </c>
      <c r="E93" s="43" t="s">
        <v>25</v>
      </c>
      <c r="F93" s="43" t="s">
        <v>24</v>
      </c>
      <c r="G93" s="43" t="s">
        <v>94</v>
      </c>
      <c r="H93" s="43" t="s">
        <v>94</v>
      </c>
    </row>
    <row r="94" spans="1:8" ht="18" thickBot="1">
      <c r="A94" s="51" t="s">
        <v>84</v>
      </c>
      <c r="B94" s="43" t="s">
        <v>23</v>
      </c>
      <c r="C94" s="43" t="s">
        <v>22</v>
      </c>
      <c r="D94" s="43" t="s">
        <v>94</v>
      </c>
      <c r="E94" s="43" t="s">
        <v>22</v>
      </c>
      <c r="F94" s="43" t="s">
        <v>25</v>
      </c>
      <c r="G94" s="43" t="s">
        <v>94</v>
      </c>
      <c r="H94" s="43" t="s">
        <v>94</v>
      </c>
    </row>
    <row r="95" spans="1:8">
      <c r="A95" s="50" t="s">
        <v>85</v>
      </c>
      <c r="B95" s="44" t="s">
        <v>24</v>
      </c>
      <c r="C95" s="44" t="s">
        <v>23</v>
      </c>
      <c r="D95" s="44" t="s">
        <v>94</v>
      </c>
      <c r="E95" s="44" t="s">
        <v>23</v>
      </c>
      <c r="F95" s="44" t="s">
        <v>22</v>
      </c>
      <c r="G95" s="44" t="s">
        <v>94</v>
      </c>
      <c r="H95" s="44" t="s">
        <v>94</v>
      </c>
    </row>
    <row r="96" spans="1:8" ht="18" thickBot="1">
      <c r="A96" s="52" t="s">
        <v>86</v>
      </c>
      <c r="B96" s="39" t="s">
        <v>25</v>
      </c>
      <c r="C96" s="39" t="s">
        <v>24</v>
      </c>
      <c r="D96" s="39" t="s">
        <v>94</v>
      </c>
      <c r="E96" s="39" t="s">
        <v>24</v>
      </c>
      <c r="F96" s="39" t="s">
        <v>23</v>
      </c>
      <c r="G96" s="39" t="s">
        <v>94</v>
      </c>
      <c r="H96" s="39" t="s">
        <v>94</v>
      </c>
    </row>
    <row r="97" spans="1:8" ht="18.600000000000001" thickTop="1" thickBot="1">
      <c r="A97" s="46" t="s">
        <v>87</v>
      </c>
      <c r="B97" s="34">
        <v>46104</v>
      </c>
      <c r="C97" s="34">
        <v>46105</v>
      </c>
      <c r="D97" s="34">
        <v>46106</v>
      </c>
      <c r="E97" s="34">
        <v>46107</v>
      </c>
      <c r="F97" s="34">
        <v>46108</v>
      </c>
      <c r="G97" s="34">
        <v>46109</v>
      </c>
      <c r="H97" s="34">
        <v>46110</v>
      </c>
    </row>
    <row r="98" spans="1:8" ht="18.600000000000001" thickTop="1" thickBot="1">
      <c r="A98" s="47" t="s">
        <v>88</v>
      </c>
      <c r="B98" s="37">
        <v>2</v>
      </c>
      <c r="C98" s="37">
        <v>3</v>
      </c>
      <c r="D98" s="37">
        <v>4</v>
      </c>
      <c r="E98" s="37">
        <v>5</v>
      </c>
      <c r="F98" s="37">
        <v>6</v>
      </c>
      <c r="G98" s="37">
        <v>7</v>
      </c>
      <c r="H98" s="37">
        <v>1</v>
      </c>
    </row>
    <row r="99" spans="1:8" ht="18.600000000000001" thickTop="1" thickBot="1">
      <c r="A99" s="48" t="s">
        <v>89</v>
      </c>
      <c r="B99" s="39">
        <v>0</v>
      </c>
      <c r="C99" s="39">
        <v>0</v>
      </c>
      <c r="D99" s="39">
        <v>0</v>
      </c>
      <c r="E99" s="39">
        <v>0</v>
      </c>
      <c r="F99" s="39">
        <v>0</v>
      </c>
      <c r="G99" s="39">
        <v>0</v>
      </c>
      <c r="H99" s="39">
        <v>0</v>
      </c>
    </row>
    <row r="100" spans="1:8" ht="18" thickBot="1">
      <c r="A100" s="49" t="s">
        <v>90</v>
      </c>
      <c r="B100" s="41" t="s">
        <v>96</v>
      </c>
      <c r="C100" s="41" t="s">
        <v>92</v>
      </c>
      <c r="D100" s="41" t="s">
        <v>95</v>
      </c>
      <c r="E100" s="41" t="s">
        <v>96</v>
      </c>
      <c r="F100" s="41" t="s">
        <v>92</v>
      </c>
      <c r="G100" s="41" t="s">
        <v>93</v>
      </c>
      <c r="H100" s="41" t="s">
        <v>91</v>
      </c>
    </row>
    <row r="101" spans="1:8" ht="18" thickTop="1">
      <c r="A101" s="50" t="s">
        <v>83</v>
      </c>
      <c r="B101" s="43" t="s">
        <v>23</v>
      </c>
      <c r="C101" s="43" t="s">
        <v>94</v>
      </c>
      <c r="D101" s="43" t="s">
        <v>24</v>
      </c>
      <c r="E101" s="43" t="s">
        <v>22</v>
      </c>
      <c r="F101" s="43" t="s">
        <v>94</v>
      </c>
      <c r="G101" s="43" t="s">
        <v>94</v>
      </c>
      <c r="H101" s="43" t="s">
        <v>25</v>
      </c>
    </row>
    <row r="102" spans="1:8" ht="18" thickBot="1">
      <c r="A102" s="51" t="s">
        <v>84</v>
      </c>
      <c r="B102" s="43" t="s">
        <v>24</v>
      </c>
      <c r="C102" s="43" t="s">
        <v>94</v>
      </c>
      <c r="D102" s="43" t="s">
        <v>25</v>
      </c>
      <c r="E102" s="43" t="s">
        <v>23</v>
      </c>
      <c r="F102" s="43" t="s">
        <v>94</v>
      </c>
      <c r="G102" s="43" t="s">
        <v>94</v>
      </c>
      <c r="H102" s="43" t="s">
        <v>22</v>
      </c>
    </row>
    <row r="103" spans="1:8">
      <c r="A103" s="50" t="s">
        <v>85</v>
      </c>
      <c r="B103" s="44" t="s">
        <v>25</v>
      </c>
      <c r="C103" s="44" t="s">
        <v>94</v>
      </c>
      <c r="D103" s="44" t="s">
        <v>22</v>
      </c>
      <c r="E103" s="44" t="s">
        <v>24</v>
      </c>
      <c r="F103" s="44" t="s">
        <v>94</v>
      </c>
      <c r="G103" s="44" t="s">
        <v>94</v>
      </c>
      <c r="H103" s="44" t="s">
        <v>23</v>
      </c>
    </row>
    <row r="104" spans="1:8" ht="18" thickBot="1">
      <c r="A104" s="52" t="s">
        <v>86</v>
      </c>
      <c r="B104" s="39" t="s">
        <v>22</v>
      </c>
      <c r="C104" s="39" t="s">
        <v>94</v>
      </c>
      <c r="D104" s="39" t="s">
        <v>23</v>
      </c>
      <c r="E104" s="39" t="s">
        <v>25</v>
      </c>
      <c r="F104" s="39" t="s">
        <v>94</v>
      </c>
      <c r="G104" s="39" t="s">
        <v>94</v>
      </c>
      <c r="H104" s="39" t="s">
        <v>24</v>
      </c>
    </row>
    <row r="105" spans="1:8" ht="18.600000000000001" thickTop="1" thickBot="1">
      <c r="A105" s="46" t="s">
        <v>87</v>
      </c>
      <c r="B105" s="34">
        <v>46111</v>
      </c>
      <c r="C105" s="34">
        <v>46112</v>
      </c>
      <c r="D105" s="34">
        <v>46113</v>
      </c>
      <c r="E105" s="34">
        <v>46114</v>
      </c>
      <c r="F105" s="34">
        <v>46115</v>
      </c>
      <c r="G105" s="34">
        <v>46116</v>
      </c>
      <c r="H105" s="34">
        <v>46117</v>
      </c>
    </row>
    <row r="106" spans="1:8" ht="18.600000000000001" thickTop="1" thickBot="1">
      <c r="A106" s="47" t="s">
        <v>88</v>
      </c>
      <c r="B106" s="37">
        <v>2</v>
      </c>
      <c r="C106" s="37">
        <v>3</v>
      </c>
      <c r="D106" s="37">
        <v>4</v>
      </c>
      <c r="E106" s="37">
        <v>5</v>
      </c>
      <c r="F106" s="37">
        <v>6</v>
      </c>
      <c r="G106" s="37">
        <v>7</v>
      </c>
      <c r="H106" s="37">
        <v>1</v>
      </c>
    </row>
    <row r="107" spans="1:8" ht="18.600000000000001" thickTop="1" thickBot="1">
      <c r="A107" s="48" t="s">
        <v>89</v>
      </c>
      <c r="B107" s="39">
        <v>0</v>
      </c>
      <c r="C107" s="39">
        <v>0</v>
      </c>
      <c r="D107" s="39">
        <v>0</v>
      </c>
      <c r="E107" s="39">
        <v>0</v>
      </c>
      <c r="F107" s="39">
        <v>0</v>
      </c>
      <c r="G107" s="39">
        <v>0</v>
      </c>
      <c r="H107" s="39">
        <v>0</v>
      </c>
    </row>
    <row r="108" spans="1:8" ht="18" thickBot="1">
      <c r="A108" s="49" t="s">
        <v>90</v>
      </c>
      <c r="B108" s="41" t="s">
        <v>92</v>
      </c>
      <c r="C108" s="41" t="s">
        <v>95</v>
      </c>
      <c r="D108" s="41" t="s">
        <v>96</v>
      </c>
      <c r="E108" s="41" t="s">
        <v>92</v>
      </c>
      <c r="F108" s="41" t="s">
        <v>95</v>
      </c>
      <c r="G108" s="41" t="s">
        <v>91</v>
      </c>
      <c r="H108" s="41" t="s">
        <v>92</v>
      </c>
    </row>
    <row r="109" spans="1:8" ht="18" thickTop="1">
      <c r="A109" s="50" t="s">
        <v>83</v>
      </c>
      <c r="B109" s="43" t="s">
        <v>94</v>
      </c>
      <c r="C109" s="43" t="s">
        <v>23</v>
      </c>
      <c r="D109" s="43" t="s">
        <v>24</v>
      </c>
      <c r="E109" s="43" t="s">
        <v>94</v>
      </c>
      <c r="F109" s="43" t="s">
        <v>22</v>
      </c>
      <c r="G109" s="43" t="s">
        <v>23</v>
      </c>
      <c r="H109" s="43" t="s">
        <v>94</v>
      </c>
    </row>
    <row r="110" spans="1:8" ht="18" thickBot="1">
      <c r="A110" s="51" t="s">
        <v>84</v>
      </c>
      <c r="B110" s="43" t="s">
        <v>94</v>
      </c>
      <c r="C110" s="43" t="s">
        <v>24</v>
      </c>
      <c r="D110" s="43" t="s">
        <v>25</v>
      </c>
      <c r="E110" s="43" t="s">
        <v>94</v>
      </c>
      <c r="F110" s="43" t="s">
        <v>23</v>
      </c>
      <c r="G110" s="43" t="s">
        <v>24</v>
      </c>
      <c r="H110" s="43" t="s">
        <v>94</v>
      </c>
    </row>
    <row r="111" spans="1:8">
      <c r="A111" s="50" t="s">
        <v>85</v>
      </c>
      <c r="B111" s="44" t="s">
        <v>94</v>
      </c>
      <c r="C111" s="44" t="s">
        <v>25</v>
      </c>
      <c r="D111" s="44" t="s">
        <v>22</v>
      </c>
      <c r="E111" s="44" t="s">
        <v>94</v>
      </c>
      <c r="F111" s="44" t="s">
        <v>24</v>
      </c>
      <c r="G111" s="44" t="s">
        <v>25</v>
      </c>
      <c r="H111" s="44" t="s">
        <v>94</v>
      </c>
    </row>
    <row r="112" spans="1:8" ht="18" thickBot="1">
      <c r="A112" s="52" t="s">
        <v>86</v>
      </c>
      <c r="B112" s="39" t="s">
        <v>94</v>
      </c>
      <c r="C112" s="39" t="s">
        <v>22</v>
      </c>
      <c r="D112" s="39" t="s">
        <v>23</v>
      </c>
      <c r="E112" s="39" t="s">
        <v>94</v>
      </c>
      <c r="F112" s="39" t="s">
        <v>25</v>
      </c>
      <c r="G112" s="39" t="s">
        <v>22</v>
      </c>
      <c r="H112" s="39" t="s">
        <v>94</v>
      </c>
    </row>
    <row r="113" spans="1:8" ht="18.600000000000001" thickTop="1" thickBot="1">
      <c r="A113" s="46" t="s">
        <v>87</v>
      </c>
      <c r="B113" s="34">
        <v>46118</v>
      </c>
      <c r="C113" s="34">
        <v>46119</v>
      </c>
      <c r="D113" s="34">
        <v>46120</v>
      </c>
      <c r="E113" s="34">
        <v>46121</v>
      </c>
      <c r="F113" s="34">
        <v>46122</v>
      </c>
      <c r="G113" s="34">
        <v>46123</v>
      </c>
      <c r="H113" s="34">
        <v>46124</v>
      </c>
    </row>
    <row r="114" spans="1:8" ht="18.600000000000001" thickTop="1" thickBot="1">
      <c r="A114" s="47" t="s">
        <v>88</v>
      </c>
      <c r="B114" s="37">
        <v>2</v>
      </c>
      <c r="C114" s="37">
        <v>3</v>
      </c>
      <c r="D114" s="37">
        <v>4</v>
      </c>
      <c r="E114" s="37">
        <v>5</v>
      </c>
      <c r="F114" s="37">
        <v>6</v>
      </c>
      <c r="G114" s="37">
        <v>7</v>
      </c>
      <c r="H114" s="37">
        <v>1</v>
      </c>
    </row>
    <row r="115" spans="1:8" ht="18.600000000000001" thickTop="1" thickBot="1">
      <c r="A115" s="48" t="s">
        <v>89</v>
      </c>
      <c r="B115" s="39">
        <v>0</v>
      </c>
      <c r="C115" s="39">
        <v>0</v>
      </c>
      <c r="D115" s="39">
        <v>0</v>
      </c>
      <c r="E115" s="39">
        <v>0</v>
      </c>
      <c r="F115" s="39">
        <v>0</v>
      </c>
      <c r="G115" s="39">
        <v>0</v>
      </c>
      <c r="H115" s="39">
        <v>0</v>
      </c>
    </row>
    <row r="116" spans="1:8" ht="18" thickBot="1">
      <c r="A116" s="49" t="s">
        <v>90</v>
      </c>
      <c r="B116" s="41" t="s">
        <v>95</v>
      </c>
      <c r="C116" s="41" t="s">
        <v>96</v>
      </c>
      <c r="D116" s="41" t="s">
        <v>92</v>
      </c>
      <c r="E116" s="41" t="s">
        <v>95</v>
      </c>
      <c r="F116" s="41" t="s">
        <v>96</v>
      </c>
      <c r="G116" s="41" t="s">
        <v>92</v>
      </c>
      <c r="H116" s="41" t="s">
        <v>93</v>
      </c>
    </row>
    <row r="117" spans="1:8" ht="18" thickTop="1">
      <c r="A117" s="50" t="s">
        <v>83</v>
      </c>
      <c r="B117" s="43" t="s">
        <v>25</v>
      </c>
      <c r="C117" s="43" t="s">
        <v>22</v>
      </c>
      <c r="D117" s="43" t="s">
        <v>94</v>
      </c>
      <c r="E117" s="43" t="s">
        <v>24</v>
      </c>
      <c r="F117" s="43" t="s">
        <v>25</v>
      </c>
      <c r="G117" s="43" t="s">
        <v>94</v>
      </c>
      <c r="H117" s="43" t="s">
        <v>94</v>
      </c>
    </row>
    <row r="118" spans="1:8" ht="18" thickBot="1">
      <c r="A118" s="51" t="s">
        <v>84</v>
      </c>
      <c r="B118" s="43" t="s">
        <v>22</v>
      </c>
      <c r="C118" s="43" t="s">
        <v>23</v>
      </c>
      <c r="D118" s="43" t="s">
        <v>94</v>
      </c>
      <c r="E118" s="43" t="s">
        <v>25</v>
      </c>
      <c r="F118" s="43" t="s">
        <v>22</v>
      </c>
      <c r="G118" s="43" t="s">
        <v>94</v>
      </c>
      <c r="H118" s="43" t="s">
        <v>94</v>
      </c>
    </row>
    <row r="119" spans="1:8">
      <c r="A119" s="50" t="s">
        <v>85</v>
      </c>
      <c r="B119" s="44" t="s">
        <v>23</v>
      </c>
      <c r="C119" s="44" t="s">
        <v>24</v>
      </c>
      <c r="D119" s="44" t="s">
        <v>94</v>
      </c>
      <c r="E119" s="44" t="s">
        <v>22</v>
      </c>
      <c r="F119" s="44" t="s">
        <v>23</v>
      </c>
      <c r="G119" s="44" t="s">
        <v>94</v>
      </c>
      <c r="H119" s="44" t="s">
        <v>94</v>
      </c>
    </row>
    <row r="120" spans="1:8" ht="18" thickBot="1">
      <c r="A120" s="52" t="s">
        <v>86</v>
      </c>
      <c r="B120" s="39" t="s">
        <v>24</v>
      </c>
      <c r="C120" s="39" t="s">
        <v>25</v>
      </c>
      <c r="D120" s="39" t="s">
        <v>94</v>
      </c>
      <c r="E120" s="39" t="s">
        <v>23</v>
      </c>
      <c r="F120" s="39" t="s">
        <v>24</v>
      </c>
      <c r="G120" s="39" t="s">
        <v>94</v>
      </c>
      <c r="H120" s="39" t="s">
        <v>94</v>
      </c>
    </row>
    <row r="121" spans="1:8" ht="18.600000000000001" thickTop="1" thickBot="1">
      <c r="A121" s="46" t="s">
        <v>87</v>
      </c>
      <c r="B121" s="34">
        <v>46125</v>
      </c>
      <c r="C121" s="34">
        <v>46126</v>
      </c>
      <c r="D121" s="34">
        <v>46127</v>
      </c>
      <c r="E121" s="34">
        <v>46128</v>
      </c>
      <c r="F121" s="34">
        <v>46129</v>
      </c>
      <c r="G121" s="34">
        <v>46130</v>
      </c>
      <c r="H121" s="34">
        <v>46131</v>
      </c>
    </row>
    <row r="122" spans="1:8" ht="18.600000000000001" thickTop="1" thickBot="1">
      <c r="A122" s="47" t="s">
        <v>88</v>
      </c>
      <c r="B122" s="37">
        <v>2</v>
      </c>
      <c r="C122" s="37">
        <v>3</v>
      </c>
      <c r="D122" s="37">
        <v>4</v>
      </c>
      <c r="E122" s="37">
        <v>5</v>
      </c>
      <c r="F122" s="37">
        <v>6</v>
      </c>
      <c r="G122" s="37">
        <v>7</v>
      </c>
      <c r="H122" s="37">
        <v>1</v>
      </c>
    </row>
    <row r="123" spans="1:8" ht="18.600000000000001" thickTop="1" thickBot="1">
      <c r="A123" s="48" t="s">
        <v>89</v>
      </c>
      <c r="B123" s="39">
        <v>0</v>
      </c>
      <c r="C123" s="39">
        <v>0</v>
      </c>
      <c r="D123" s="39">
        <v>0</v>
      </c>
      <c r="E123" s="39">
        <v>0</v>
      </c>
      <c r="F123" s="39">
        <v>0</v>
      </c>
      <c r="G123" s="39">
        <v>0</v>
      </c>
      <c r="H123" s="39">
        <v>0</v>
      </c>
    </row>
    <row r="124" spans="1:8" ht="18" thickBot="1">
      <c r="A124" s="49" t="s">
        <v>90</v>
      </c>
      <c r="B124" s="41" t="s">
        <v>96</v>
      </c>
      <c r="C124" s="41" t="s">
        <v>92</v>
      </c>
      <c r="D124" s="41" t="s">
        <v>95</v>
      </c>
      <c r="E124" s="41" t="s">
        <v>96</v>
      </c>
      <c r="F124" s="41" t="s">
        <v>92</v>
      </c>
      <c r="G124" s="41" t="s">
        <v>93</v>
      </c>
      <c r="H124" s="41" t="s">
        <v>91</v>
      </c>
    </row>
    <row r="125" spans="1:8" ht="18" thickTop="1">
      <c r="A125" s="50" t="s">
        <v>83</v>
      </c>
      <c r="B125" s="43" t="s">
        <v>24</v>
      </c>
      <c r="C125" s="43" t="s">
        <v>94</v>
      </c>
      <c r="D125" s="43" t="s">
        <v>23</v>
      </c>
      <c r="E125" s="43" t="s">
        <v>23</v>
      </c>
      <c r="F125" s="43" t="s">
        <v>94</v>
      </c>
      <c r="G125" s="43" t="s">
        <v>94</v>
      </c>
      <c r="H125" s="43" t="s">
        <v>22</v>
      </c>
    </row>
    <row r="126" spans="1:8" ht="18" thickBot="1">
      <c r="A126" s="51" t="s">
        <v>84</v>
      </c>
      <c r="B126" s="43" t="s">
        <v>25</v>
      </c>
      <c r="C126" s="43" t="s">
        <v>94</v>
      </c>
      <c r="D126" s="43" t="s">
        <v>24</v>
      </c>
      <c r="E126" s="43" t="s">
        <v>24</v>
      </c>
      <c r="F126" s="43" t="s">
        <v>94</v>
      </c>
      <c r="G126" s="43" t="s">
        <v>94</v>
      </c>
      <c r="H126" s="43" t="s">
        <v>23</v>
      </c>
    </row>
    <row r="127" spans="1:8">
      <c r="A127" s="50" t="s">
        <v>85</v>
      </c>
      <c r="B127" s="44" t="s">
        <v>22</v>
      </c>
      <c r="C127" s="44" t="s">
        <v>94</v>
      </c>
      <c r="D127" s="44" t="s">
        <v>25</v>
      </c>
      <c r="E127" s="44" t="s">
        <v>25</v>
      </c>
      <c r="F127" s="44" t="s">
        <v>94</v>
      </c>
      <c r="G127" s="44" t="s">
        <v>94</v>
      </c>
      <c r="H127" s="44" t="s">
        <v>24</v>
      </c>
    </row>
    <row r="128" spans="1:8" ht="18" thickBot="1">
      <c r="A128" s="52" t="s">
        <v>86</v>
      </c>
      <c r="B128" s="39" t="s">
        <v>23</v>
      </c>
      <c r="C128" s="39" t="s">
        <v>94</v>
      </c>
      <c r="D128" s="39" t="s">
        <v>22</v>
      </c>
      <c r="E128" s="39" t="s">
        <v>22</v>
      </c>
      <c r="F128" s="39" t="s">
        <v>94</v>
      </c>
      <c r="G128" s="39" t="s">
        <v>94</v>
      </c>
      <c r="H128" s="39" t="s">
        <v>25</v>
      </c>
    </row>
    <row r="129" spans="1:8" ht="18.600000000000001" thickTop="1" thickBot="1">
      <c r="A129" s="46" t="s">
        <v>87</v>
      </c>
      <c r="B129" s="34">
        <v>46132</v>
      </c>
      <c r="C129" s="34">
        <v>46133</v>
      </c>
      <c r="D129" s="34">
        <v>46134</v>
      </c>
      <c r="E129" s="34">
        <v>46135</v>
      </c>
      <c r="F129" s="34">
        <v>46136</v>
      </c>
      <c r="G129" s="34">
        <v>46137</v>
      </c>
      <c r="H129" s="34">
        <v>46138</v>
      </c>
    </row>
    <row r="130" spans="1:8" ht="18.600000000000001" thickTop="1" thickBot="1">
      <c r="A130" s="47" t="s">
        <v>88</v>
      </c>
      <c r="B130" s="37">
        <v>2</v>
      </c>
      <c r="C130" s="37">
        <v>3</v>
      </c>
      <c r="D130" s="37">
        <v>4</v>
      </c>
      <c r="E130" s="37">
        <v>5</v>
      </c>
      <c r="F130" s="37">
        <v>6</v>
      </c>
      <c r="G130" s="37">
        <v>7</v>
      </c>
      <c r="H130" s="37">
        <v>1</v>
      </c>
    </row>
    <row r="131" spans="1:8" ht="18.600000000000001" thickTop="1" thickBot="1">
      <c r="A131" s="48" t="s">
        <v>89</v>
      </c>
      <c r="B131" s="39">
        <v>0</v>
      </c>
      <c r="C131" s="39">
        <v>0</v>
      </c>
      <c r="D131" s="39">
        <v>0</v>
      </c>
      <c r="E131" s="39">
        <v>0</v>
      </c>
      <c r="F131" s="39">
        <v>0</v>
      </c>
      <c r="G131" s="39">
        <v>0</v>
      </c>
      <c r="H131" s="39">
        <v>0</v>
      </c>
    </row>
    <row r="132" spans="1:8" ht="18" thickBot="1">
      <c r="A132" s="49" t="s">
        <v>90</v>
      </c>
      <c r="B132" s="41" t="s">
        <v>92</v>
      </c>
      <c r="C132" s="41" t="s">
        <v>95</v>
      </c>
      <c r="D132" s="41" t="s">
        <v>96</v>
      </c>
      <c r="E132" s="41" t="s">
        <v>92</v>
      </c>
      <c r="F132" s="41" t="s">
        <v>95</v>
      </c>
      <c r="G132" s="41" t="s">
        <v>91</v>
      </c>
      <c r="H132" s="41" t="s">
        <v>92</v>
      </c>
    </row>
    <row r="133" spans="1:8" ht="18" thickTop="1">
      <c r="A133" s="50" t="s">
        <v>83</v>
      </c>
      <c r="B133" s="43" t="s">
        <v>94</v>
      </c>
      <c r="C133" s="43" t="s">
        <v>22</v>
      </c>
      <c r="D133" s="43" t="s">
        <v>25</v>
      </c>
      <c r="E133" s="43" t="s">
        <v>94</v>
      </c>
      <c r="F133" s="43" t="s">
        <v>25</v>
      </c>
      <c r="G133" s="43" t="s">
        <v>24</v>
      </c>
      <c r="H133" s="43" t="s">
        <v>94</v>
      </c>
    </row>
    <row r="134" spans="1:8" ht="18" thickBot="1">
      <c r="A134" s="51" t="s">
        <v>84</v>
      </c>
      <c r="B134" s="43" t="s">
        <v>94</v>
      </c>
      <c r="C134" s="43" t="s">
        <v>23</v>
      </c>
      <c r="D134" s="43" t="s">
        <v>22</v>
      </c>
      <c r="E134" s="43" t="s">
        <v>94</v>
      </c>
      <c r="F134" s="43" t="s">
        <v>22</v>
      </c>
      <c r="G134" s="43" t="s">
        <v>25</v>
      </c>
      <c r="H134" s="43" t="s">
        <v>94</v>
      </c>
    </row>
    <row r="135" spans="1:8">
      <c r="A135" s="50" t="s">
        <v>85</v>
      </c>
      <c r="B135" s="44" t="s">
        <v>94</v>
      </c>
      <c r="C135" s="44" t="s">
        <v>24</v>
      </c>
      <c r="D135" s="44" t="s">
        <v>23</v>
      </c>
      <c r="E135" s="44" t="s">
        <v>94</v>
      </c>
      <c r="F135" s="44" t="s">
        <v>23</v>
      </c>
      <c r="G135" s="44" t="s">
        <v>22</v>
      </c>
      <c r="H135" s="44" t="s">
        <v>94</v>
      </c>
    </row>
    <row r="136" spans="1:8" ht="18" thickBot="1">
      <c r="A136" s="52" t="s">
        <v>86</v>
      </c>
      <c r="B136" s="39" t="s">
        <v>94</v>
      </c>
      <c r="C136" s="39" t="s">
        <v>25</v>
      </c>
      <c r="D136" s="39" t="s">
        <v>24</v>
      </c>
      <c r="E136" s="39" t="s">
        <v>94</v>
      </c>
      <c r="F136" s="39" t="s">
        <v>24</v>
      </c>
      <c r="G136" s="39" t="s">
        <v>23</v>
      </c>
      <c r="H136" s="39" t="s">
        <v>94</v>
      </c>
    </row>
    <row r="137" spans="1:8" ht="18.600000000000001" thickTop="1" thickBot="1">
      <c r="A137" s="46" t="s">
        <v>87</v>
      </c>
      <c r="B137" s="34">
        <v>46139</v>
      </c>
      <c r="C137" s="34">
        <v>46140</v>
      </c>
      <c r="D137" s="34">
        <v>46141</v>
      </c>
      <c r="E137" s="34">
        <v>46142</v>
      </c>
      <c r="F137" s="34">
        <v>46143</v>
      </c>
      <c r="G137" s="34">
        <v>46144</v>
      </c>
      <c r="H137" s="34">
        <v>46145</v>
      </c>
    </row>
    <row r="138" spans="1:8" ht="18.600000000000001" thickTop="1" thickBot="1">
      <c r="A138" s="47" t="s">
        <v>88</v>
      </c>
      <c r="B138" s="37">
        <v>2</v>
      </c>
      <c r="C138" s="37">
        <v>3</v>
      </c>
      <c r="D138" s="37">
        <v>4</v>
      </c>
      <c r="E138" s="37">
        <v>5</v>
      </c>
      <c r="F138" s="37">
        <v>6</v>
      </c>
      <c r="G138" s="37">
        <v>7</v>
      </c>
      <c r="H138" s="37">
        <v>1</v>
      </c>
    </row>
    <row r="139" spans="1:8" ht="18.600000000000001" thickTop="1" thickBot="1">
      <c r="A139" s="48" t="s">
        <v>89</v>
      </c>
      <c r="B139" s="39">
        <v>0</v>
      </c>
      <c r="C139" s="39">
        <v>0</v>
      </c>
      <c r="D139" s="39">
        <v>0</v>
      </c>
      <c r="E139" s="39">
        <v>0</v>
      </c>
      <c r="F139" s="39" t="s">
        <v>69</v>
      </c>
      <c r="G139" s="39">
        <v>0</v>
      </c>
      <c r="H139" s="39">
        <v>0</v>
      </c>
    </row>
    <row r="140" spans="1:8" ht="18" thickBot="1">
      <c r="A140" s="49" t="s">
        <v>90</v>
      </c>
      <c r="B140" s="41" t="s">
        <v>95</v>
      </c>
      <c r="C140" s="41" t="s">
        <v>96</v>
      </c>
      <c r="D140" s="41" t="s">
        <v>92</v>
      </c>
      <c r="E140" s="41" t="s">
        <v>95</v>
      </c>
      <c r="F140" s="41" t="s">
        <v>91</v>
      </c>
      <c r="G140" s="41" t="s">
        <v>92</v>
      </c>
      <c r="H140" s="41" t="s">
        <v>93</v>
      </c>
    </row>
    <row r="141" spans="1:8" ht="18" thickTop="1">
      <c r="A141" s="50" t="s">
        <v>83</v>
      </c>
      <c r="B141" s="43" t="s">
        <v>24</v>
      </c>
      <c r="C141" s="43" t="s">
        <v>23</v>
      </c>
      <c r="D141" s="43" t="s">
        <v>94</v>
      </c>
      <c r="E141" s="43" t="s">
        <v>23</v>
      </c>
      <c r="F141" s="43" t="s">
        <v>22</v>
      </c>
      <c r="G141" s="43" t="s">
        <v>94</v>
      </c>
      <c r="H141" s="43" t="s">
        <v>94</v>
      </c>
    </row>
    <row r="142" spans="1:8" ht="18" thickBot="1">
      <c r="A142" s="51" t="s">
        <v>84</v>
      </c>
      <c r="B142" s="43" t="s">
        <v>25</v>
      </c>
      <c r="C142" s="43" t="s">
        <v>24</v>
      </c>
      <c r="D142" s="43" t="s">
        <v>94</v>
      </c>
      <c r="E142" s="43" t="s">
        <v>24</v>
      </c>
      <c r="F142" s="43" t="s">
        <v>23</v>
      </c>
      <c r="G142" s="43" t="s">
        <v>94</v>
      </c>
      <c r="H142" s="43" t="s">
        <v>94</v>
      </c>
    </row>
    <row r="143" spans="1:8">
      <c r="A143" s="50" t="s">
        <v>85</v>
      </c>
      <c r="B143" s="44" t="s">
        <v>22</v>
      </c>
      <c r="C143" s="44" t="s">
        <v>25</v>
      </c>
      <c r="D143" s="44" t="s">
        <v>94</v>
      </c>
      <c r="E143" s="44" t="s">
        <v>25</v>
      </c>
      <c r="F143" s="44" t="s">
        <v>24</v>
      </c>
      <c r="G143" s="44" t="s">
        <v>94</v>
      </c>
      <c r="H143" s="44" t="s">
        <v>94</v>
      </c>
    </row>
    <row r="144" spans="1:8" ht="18" thickBot="1">
      <c r="A144" s="52" t="s">
        <v>86</v>
      </c>
      <c r="B144" s="39" t="s">
        <v>23</v>
      </c>
      <c r="C144" s="39" t="s">
        <v>22</v>
      </c>
      <c r="D144" s="39" t="s">
        <v>94</v>
      </c>
      <c r="E144" s="39" t="s">
        <v>22</v>
      </c>
      <c r="F144" s="39" t="s">
        <v>25</v>
      </c>
      <c r="G144" s="39" t="s">
        <v>94</v>
      </c>
      <c r="H144" s="39" t="s">
        <v>94</v>
      </c>
    </row>
    <row r="145" spans="1:8" ht="18.600000000000001" thickTop="1" thickBot="1">
      <c r="A145" s="46" t="s">
        <v>87</v>
      </c>
      <c r="B145" s="34">
        <v>46146</v>
      </c>
      <c r="C145" s="34">
        <v>46147</v>
      </c>
      <c r="D145" s="34">
        <v>46148</v>
      </c>
      <c r="E145" s="34">
        <v>46149</v>
      </c>
      <c r="F145" s="34">
        <v>46150</v>
      </c>
      <c r="G145" s="34">
        <v>46151</v>
      </c>
      <c r="H145" s="34">
        <v>46152</v>
      </c>
    </row>
    <row r="146" spans="1:8" ht="18.600000000000001" thickTop="1" thickBot="1">
      <c r="A146" s="47" t="s">
        <v>88</v>
      </c>
      <c r="B146" s="37">
        <v>2</v>
      </c>
      <c r="C146" s="37">
        <v>3</v>
      </c>
      <c r="D146" s="37">
        <v>4</v>
      </c>
      <c r="E146" s="37">
        <v>5</v>
      </c>
      <c r="F146" s="37">
        <v>6</v>
      </c>
      <c r="G146" s="37">
        <v>7</v>
      </c>
      <c r="H146" s="37">
        <v>1</v>
      </c>
    </row>
    <row r="147" spans="1:8" ht="18.600000000000001" thickTop="1" thickBot="1">
      <c r="A147" s="48" t="s">
        <v>89</v>
      </c>
      <c r="B147" s="39">
        <v>0</v>
      </c>
      <c r="C147" s="39" t="s">
        <v>70</v>
      </c>
      <c r="D147" s="39">
        <v>0</v>
      </c>
      <c r="E147" s="39">
        <v>0</v>
      </c>
      <c r="F147" s="39">
        <v>0</v>
      </c>
      <c r="G147" s="39">
        <v>0</v>
      </c>
      <c r="H147" s="39">
        <v>0</v>
      </c>
    </row>
    <row r="148" spans="1:8" ht="18" thickBot="1">
      <c r="A148" s="49" t="s">
        <v>90</v>
      </c>
      <c r="B148" s="41" t="s">
        <v>96</v>
      </c>
      <c r="C148" s="41" t="s">
        <v>92</v>
      </c>
      <c r="D148" s="41" t="s">
        <v>95</v>
      </c>
      <c r="E148" s="41" t="s">
        <v>96</v>
      </c>
      <c r="F148" s="41" t="s">
        <v>92</v>
      </c>
      <c r="G148" s="41" t="s">
        <v>93</v>
      </c>
      <c r="H148" s="41" t="s">
        <v>91</v>
      </c>
    </row>
    <row r="149" spans="1:8" ht="18" thickTop="1">
      <c r="A149" s="50" t="s">
        <v>83</v>
      </c>
      <c r="B149" s="43" t="s">
        <v>25</v>
      </c>
      <c r="C149" s="43" t="s">
        <v>94</v>
      </c>
      <c r="D149" s="43" t="s">
        <v>22</v>
      </c>
      <c r="E149" s="43" t="s">
        <v>24</v>
      </c>
      <c r="F149" s="43" t="s">
        <v>94</v>
      </c>
      <c r="G149" s="43" t="s">
        <v>94</v>
      </c>
      <c r="H149" s="43" t="s">
        <v>23</v>
      </c>
    </row>
    <row r="150" spans="1:8" ht="18" thickBot="1">
      <c r="A150" s="51" t="s">
        <v>84</v>
      </c>
      <c r="B150" s="43" t="s">
        <v>22</v>
      </c>
      <c r="C150" s="43" t="s">
        <v>94</v>
      </c>
      <c r="D150" s="43" t="s">
        <v>23</v>
      </c>
      <c r="E150" s="43" t="s">
        <v>25</v>
      </c>
      <c r="F150" s="43" t="s">
        <v>94</v>
      </c>
      <c r="G150" s="43" t="s">
        <v>94</v>
      </c>
      <c r="H150" s="43" t="s">
        <v>24</v>
      </c>
    </row>
    <row r="151" spans="1:8">
      <c r="A151" s="50" t="s">
        <v>85</v>
      </c>
      <c r="B151" s="44" t="s">
        <v>23</v>
      </c>
      <c r="C151" s="44" t="s">
        <v>94</v>
      </c>
      <c r="D151" s="44" t="s">
        <v>24</v>
      </c>
      <c r="E151" s="44" t="s">
        <v>22</v>
      </c>
      <c r="F151" s="44" t="s">
        <v>94</v>
      </c>
      <c r="G151" s="44" t="s">
        <v>94</v>
      </c>
      <c r="H151" s="44" t="s">
        <v>25</v>
      </c>
    </row>
    <row r="152" spans="1:8" ht="18" thickBot="1">
      <c r="A152" s="52" t="s">
        <v>86</v>
      </c>
      <c r="B152" s="39" t="s">
        <v>24</v>
      </c>
      <c r="C152" s="39" t="s">
        <v>94</v>
      </c>
      <c r="D152" s="39" t="s">
        <v>25</v>
      </c>
      <c r="E152" s="39" t="s">
        <v>23</v>
      </c>
      <c r="F152" s="39" t="s">
        <v>94</v>
      </c>
      <c r="G152" s="39" t="s">
        <v>94</v>
      </c>
      <c r="H152" s="39" t="s">
        <v>22</v>
      </c>
    </row>
    <row r="153" spans="1:8" ht="18.600000000000001" thickTop="1" thickBot="1">
      <c r="A153" s="46" t="s">
        <v>87</v>
      </c>
      <c r="B153" s="34">
        <v>46153</v>
      </c>
      <c r="C153" s="34">
        <v>46154</v>
      </c>
      <c r="D153" s="34">
        <v>46155</v>
      </c>
      <c r="E153" s="34">
        <v>46156</v>
      </c>
      <c r="F153" s="34">
        <v>46157</v>
      </c>
      <c r="G153" s="34">
        <v>46158</v>
      </c>
      <c r="H153" s="34">
        <v>46159</v>
      </c>
    </row>
    <row r="154" spans="1:8" ht="18.600000000000001" thickTop="1" thickBot="1">
      <c r="A154" s="47" t="s">
        <v>88</v>
      </c>
      <c r="B154" s="37">
        <v>2</v>
      </c>
      <c r="C154" s="37">
        <v>3</v>
      </c>
      <c r="D154" s="37">
        <v>4</v>
      </c>
      <c r="E154" s="37">
        <v>5</v>
      </c>
      <c r="F154" s="37">
        <v>6</v>
      </c>
      <c r="G154" s="37">
        <v>7</v>
      </c>
      <c r="H154" s="37">
        <v>1</v>
      </c>
    </row>
    <row r="155" spans="1:8" ht="18.600000000000001" thickTop="1" thickBot="1">
      <c r="A155" s="48" t="s">
        <v>89</v>
      </c>
      <c r="B155" s="39">
        <v>0</v>
      </c>
      <c r="C155" s="39">
        <v>0</v>
      </c>
      <c r="D155" s="39">
        <v>0</v>
      </c>
      <c r="E155" s="39">
        <v>0</v>
      </c>
      <c r="F155" s="39">
        <v>0</v>
      </c>
      <c r="G155" s="39">
        <v>0</v>
      </c>
      <c r="H155" s="39">
        <v>0</v>
      </c>
    </row>
    <row r="156" spans="1:8" ht="18" thickBot="1">
      <c r="A156" s="49" t="s">
        <v>90</v>
      </c>
      <c r="B156" s="41" t="s">
        <v>92</v>
      </c>
      <c r="C156" s="41" t="s">
        <v>95</v>
      </c>
      <c r="D156" s="41" t="s">
        <v>96</v>
      </c>
      <c r="E156" s="41" t="s">
        <v>92</v>
      </c>
      <c r="F156" s="41" t="s">
        <v>95</v>
      </c>
      <c r="G156" s="41" t="s">
        <v>91</v>
      </c>
      <c r="H156" s="41" t="s">
        <v>92</v>
      </c>
    </row>
    <row r="157" spans="1:8" ht="18" thickTop="1">
      <c r="A157" s="50" t="s">
        <v>83</v>
      </c>
      <c r="B157" s="43" t="s">
        <v>94</v>
      </c>
      <c r="C157" s="43" t="s">
        <v>25</v>
      </c>
      <c r="D157" s="43" t="s">
        <v>22</v>
      </c>
      <c r="E157" s="43" t="s">
        <v>94</v>
      </c>
      <c r="F157" s="43" t="s">
        <v>24</v>
      </c>
      <c r="G157" s="43" t="s">
        <v>25</v>
      </c>
      <c r="H157" s="43" t="s">
        <v>94</v>
      </c>
    </row>
    <row r="158" spans="1:8" ht="18" thickBot="1">
      <c r="A158" s="51" t="s">
        <v>84</v>
      </c>
      <c r="B158" s="43" t="s">
        <v>94</v>
      </c>
      <c r="C158" s="43" t="s">
        <v>22</v>
      </c>
      <c r="D158" s="43" t="s">
        <v>23</v>
      </c>
      <c r="E158" s="43" t="s">
        <v>94</v>
      </c>
      <c r="F158" s="43" t="s">
        <v>25</v>
      </c>
      <c r="G158" s="43" t="s">
        <v>22</v>
      </c>
      <c r="H158" s="43" t="s">
        <v>94</v>
      </c>
    </row>
    <row r="159" spans="1:8">
      <c r="A159" s="50" t="s">
        <v>85</v>
      </c>
      <c r="B159" s="44" t="s">
        <v>94</v>
      </c>
      <c r="C159" s="44" t="s">
        <v>23</v>
      </c>
      <c r="D159" s="44" t="s">
        <v>24</v>
      </c>
      <c r="E159" s="44" t="s">
        <v>94</v>
      </c>
      <c r="F159" s="44" t="s">
        <v>22</v>
      </c>
      <c r="G159" s="44" t="s">
        <v>23</v>
      </c>
      <c r="H159" s="44" t="s">
        <v>94</v>
      </c>
    </row>
    <row r="160" spans="1:8" ht="18" thickBot="1">
      <c r="A160" s="52" t="s">
        <v>86</v>
      </c>
      <c r="B160" s="39" t="s">
        <v>94</v>
      </c>
      <c r="C160" s="39" t="s">
        <v>24</v>
      </c>
      <c r="D160" s="39" t="s">
        <v>25</v>
      </c>
      <c r="E160" s="39" t="s">
        <v>94</v>
      </c>
      <c r="F160" s="39" t="s">
        <v>23</v>
      </c>
      <c r="G160" s="39" t="s">
        <v>24</v>
      </c>
      <c r="H160" s="39" t="s">
        <v>94</v>
      </c>
    </row>
    <row r="161" spans="1:8" ht="18.600000000000001" thickTop="1" thickBot="1">
      <c r="A161" s="46" t="s">
        <v>87</v>
      </c>
      <c r="B161" s="34">
        <v>46160</v>
      </c>
      <c r="C161" s="34">
        <v>46161</v>
      </c>
      <c r="D161" s="34">
        <v>46162</v>
      </c>
      <c r="E161" s="34">
        <v>46163</v>
      </c>
      <c r="F161" s="34">
        <v>46164</v>
      </c>
      <c r="G161" s="34">
        <v>46165</v>
      </c>
      <c r="H161" s="34">
        <v>46166</v>
      </c>
    </row>
    <row r="162" spans="1:8" ht="18.600000000000001" thickTop="1" thickBot="1">
      <c r="A162" s="47" t="s">
        <v>88</v>
      </c>
      <c r="B162" s="37">
        <v>2</v>
      </c>
      <c r="C162" s="37">
        <v>3</v>
      </c>
      <c r="D162" s="37">
        <v>4</v>
      </c>
      <c r="E162" s="37">
        <v>5</v>
      </c>
      <c r="F162" s="37">
        <v>6</v>
      </c>
      <c r="G162" s="37">
        <v>7</v>
      </c>
      <c r="H162" s="37">
        <v>1</v>
      </c>
    </row>
    <row r="163" spans="1:8" ht="18.600000000000001" thickTop="1" thickBot="1">
      <c r="A163" s="48" t="s">
        <v>89</v>
      </c>
      <c r="B163" s="39">
        <v>0</v>
      </c>
      <c r="C163" s="39">
        <v>0</v>
      </c>
      <c r="D163" s="39">
        <v>0</v>
      </c>
      <c r="E163" s="39">
        <v>0</v>
      </c>
      <c r="F163" s="39">
        <v>0</v>
      </c>
      <c r="G163" s="39">
        <v>0</v>
      </c>
      <c r="H163" s="39">
        <v>0</v>
      </c>
    </row>
    <row r="164" spans="1:8" ht="18" thickBot="1">
      <c r="A164" s="49" t="s">
        <v>90</v>
      </c>
      <c r="B164" s="41" t="s">
        <v>95</v>
      </c>
      <c r="C164" s="41" t="s">
        <v>96</v>
      </c>
      <c r="D164" s="41" t="s">
        <v>92</v>
      </c>
      <c r="E164" s="41" t="s">
        <v>95</v>
      </c>
      <c r="F164" s="41" t="s">
        <v>96</v>
      </c>
      <c r="G164" s="41" t="s">
        <v>92</v>
      </c>
      <c r="H164" s="41" t="s">
        <v>93</v>
      </c>
    </row>
    <row r="165" spans="1:8" ht="18" thickTop="1">
      <c r="A165" s="50" t="s">
        <v>83</v>
      </c>
      <c r="B165" s="43" t="s">
        <v>23</v>
      </c>
      <c r="C165" s="43" t="s">
        <v>24</v>
      </c>
      <c r="D165" s="43" t="s">
        <v>94</v>
      </c>
      <c r="E165" s="43" t="s">
        <v>22</v>
      </c>
      <c r="F165" s="43" t="s">
        <v>23</v>
      </c>
      <c r="G165" s="43" t="s">
        <v>94</v>
      </c>
      <c r="H165" s="43" t="s">
        <v>94</v>
      </c>
    </row>
    <row r="166" spans="1:8" ht="18" thickBot="1">
      <c r="A166" s="51" t="s">
        <v>84</v>
      </c>
      <c r="B166" s="43" t="s">
        <v>24</v>
      </c>
      <c r="C166" s="43" t="s">
        <v>25</v>
      </c>
      <c r="D166" s="43" t="s">
        <v>94</v>
      </c>
      <c r="E166" s="43" t="s">
        <v>23</v>
      </c>
      <c r="F166" s="43" t="s">
        <v>24</v>
      </c>
      <c r="G166" s="43" t="s">
        <v>94</v>
      </c>
      <c r="H166" s="43" t="s">
        <v>94</v>
      </c>
    </row>
    <row r="167" spans="1:8">
      <c r="A167" s="50" t="s">
        <v>85</v>
      </c>
      <c r="B167" s="44" t="s">
        <v>25</v>
      </c>
      <c r="C167" s="44" t="s">
        <v>22</v>
      </c>
      <c r="D167" s="44" t="s">
        <v>94</v>
      </c>
      <c r="E167" s="44" t="s">
        <v>24</v>
      </c>
      <c r="F167" s="44" t="s">
        <v>25</v>
      </c>
      <c r="G167" s="44" t="s">
        <v>94</v>
      </c>
      <c r="H167" s="44" t="s">
        <v>94</v>
      </c>
    </row>
    <row r="168" spans="1:8" ht="18" thickBot="1">
      <c r="A168" s="52" t="s">
        <v>86</v>
      </c>
      <c r="B168" s="39" t="s">
        <v>22</v>
      </c>
      <c r="C168" s="39" t="s">
        <v>23</v>
      </c>
      <c r="D168" s="39" t="s">
        <v>94</v>
      </c>
      <c r="E168" s="39" t="s">
        <v>25</v>
      </c>
      <c r="F168" s="39" t="s">
        <v>22</v>
      </c>
      <c r="G168" s="39" t="s">
        <v>94</v>
      </c>
      <c r="H168" s="39" t="s">
        <v>94</v>
      </c>
    </row>
    <row r="169" spans="1:8" ht="18.600000000000001" thickTop="1" thickBot="1">
      <c r="A169" s="46" t="s">
        <v>87</v>
      </c>
      <c r="B169" s="34">
        <v>46167</v>
      </c>
      <c r="C169" s="34">
        <v>46168</v>
      </c>
      <c r="D169" s="34">
        <v>46169</v>
      </c>
      <c r="E169" s="34">
        <v>46170</v>
      </c>
      <c r="F169" s="34">
        <v>46171</v>
      </c>
      <c r="G169" s="34">
        <v>46172</v>
      </c>
      <c r="H169" s="34">
        <v>46173</v>
      </c>
    </row>
    <row r="170" spans="1:8" ht="18.600000000000001" thickTop="1" thickBot="1">
      <c r="A170" s="47" t="s">
        <v>88</v>
      </c>
      <c r="B170" s="37">
        <v>2</v>
      </c>
      <c r="C170" s="37">
        <v>3</v>
      </c>
      <c r="D170" s="37">
        <v>4</v>
      </c>
      <c r="E170" s="37">
        <v>5</v>
      </c>
      <c r="F170" s="37">
        <v>6</v>
      </c>
      <c r="G170" s="37">
        <v>7</v>
      </c>
      <c r="H170" s="37">
        <v>1</v>
      </c>
    </row>
    <row r="171" spans="1:8" ht="18.600000000000001" thickTop="1" thickBot="1">
      <c r="A171" s="48" t="s">
        <v>89</v>
      </c>
      <c r="B171" s="39" t="s">
        <v>71</v>
      </c>
      <c r="C171" s="39">
        <v>0</v>
      </c>
      <c r="D171" s="39">
        <v>0</v>
      </c>
      <c r="E171" s="39">
        <v>0</v>
      </c>
      <c r="F171" s="39">
        <v>0</v>
      </c>
      <c r="G171" s="39">
        <v>0</v>
      </c>
      <c r="H171" s="39">
        <v>0</v>
      </c>
    </row>
    <row r="172" spans="1:8" ht="18" thickBot="1">
      <c r="A172" s="49" t="s">
        <v>90</v>
      </c>
      <c r="B172" s="41" t="s">
        <v>91</v>
      </c>
      <c r="C172" s="41" t="s">
        <v>92</v>
      </c>
      <c r="D172" s="41" t="s">
        <v>95</v>
      </c>
      <c r="E172" s="41" t="s">
        <v>96</v>
      </c>
      <c r="F172" s="41" t="s">
        <v>92</v>
      </c>
      <c r="G172" s="41" t="s">
        <v>93</v>
      </c>
      <c r="H172" s="41" t="s">
        <v>91</v>
      </c>
    </row>
    <row r="173" spans="1:8" ht="18" thickTop="1">
      <c r="A173" s="50" t="s">
        <v>83</v>
      </c>
      <c r="B173" s="43" t="s">
        <v>22</v>
      </c>
      <c r="C173" s="43" t="s">
        <v>94</v>
      </c>
      <c r="D173" s="43" t="s">
        <v>25</v>
      </c>
      <c r="E173" s="43" t="s">
        <v>25</v>
      </c>
      <c r="F173" s="43" t="s">
        <v>94</v>
      </c>
      <c r="G173" s="43" t="s">
        <v>94</v>
      </c>
      <c r="H173" s="43" t="s">
        <v>24</v>
      </c>
    </row>
    <row r="174" spans="1:8" ht="18" thickBot="1">
      <c r="A174" s="51" t="s">
        <v>84</v>
      </c>
      <c r="B174" s="43" t="s">
        <v>23</v>
      </c>
      <c r="C174" s="43" t="s">
        <v>94</v>
      </c>
      <c r="D174" s="43" t="s">
        <v>22</v>
      </c>
      <c r="E174" s="43" t="s">
        <v>22</v>
      </c>
      <c r="F174" s="43" t="s">
        <v>94</v>
      </c>
      <c r="G174" s="43" t="s">
        <v>94</v>
      </c>
      <c r="H174" s="43" t="s">
        <v>25</v>
      </c>
    </row>
    <row r="175" spans="1:8">
      <c r="A175" s="50" t="s">
        <v>85</v>
      </c>
      <c r="B175" s="44" t="s">
        <v>24</v>
      </c>
      <c r="C175" s="44" t="s">
        <v>94</v>
      </c>
      <c r="D175" s="44" t="s">
        <v>23</v>
      </c>
      <c r="E175" s="44" t="s">
        <v>23</v>
      </c>
      <c r="F175" s="44" t="s">
        <v>94</v>
      </c>
      <c r="G175" s="44" t="s">
        <v>94</v>
      </c>
      <c r="H175" s="44" t="s">
        <v>22</v>
      </c>
    </row>
    <row r="176" spans="1:8" ht="18" thickBot="1">
      <c r="A176" s="52" t="s">
        <v>86</v>
      </c>
      <c r="B176" s="39" t="s">
        <v>25</v>
      </c>
      <c r="C176" s="39" t="s">
        <v>94</v>
      </c>
      <c r="D176" s="39" t="s">
        <v>24</v>
      </c>
      <c r="E176" s="39" t="s">
        <v>24</v>
      </c>
      <c r="F176" s="39" t="s">
        <v>94</v>
      </c>
      <c r="G176" s="39" t="s">
        <v>94</v>
      </c>
      <c r="H176" s="39" t="s">
        <v>23</v>
      </c>
    </row>
    <row r="177" spans="1:8" ht="18.600000000000001" thickTop="1" thickBot="1">
      <c r="A177" s="46" t="s">
        <v>87</v>
      </c>
      <c r="B177" s="34">
        <v>46174</v>
      </c>
      <c r="C177" s="34">
        <v>46175</v>
      </c>
      <c r="D177" s="34">
        <v>46176</v>
      </c>
      <c r="E177" s="34">
        <v>46177</v>
      </c>
      <c r="F177" s="34">
        <v>46178</v>
      </c>
      <c r="G177" s="34">
        <v>46179</v>
      </c>
      <c r="H177" s="34">
        <v>46180</v>
      </c>
    </row>
    <row r="178" spans="1:8" ht="18.600000000000001" thickTop="1" thickBot="1">
      <c r="A178" s="47" t="s">
        <v>88</v>
      </c>
      <c r="B178" s="37">
        <v>2</v>
      </c>
      <c r="C178" s="37">
        <v>3</v>
      </c>
      <c r="D178" s="37">
        <v>4</v>
      </c>
      <c r="E178" s="37">
        <v>5</v>
      </c>
      <c r="F178" s="37">
        <v>6</v>
      </c>
      <c r="G178" s="37">
        <v>7</v>
      </c>
      <c r="H178" s="37">
        <v>1</v>
      </c>
    </row>
    <row r="179" spans="1:8" ht="18.600000000000001" thickTop="1" thickBot="1">
      <c r="A179" s="48" t="s">
        <v>89</v>
      </c>
      <c r="B179" s="39">
        <v>0</v>
      </c>
      <c r="C179" s="39">
        <v>0</v>
      </c>
      <c r="D179" s="39" t="s">
        <v>99</v>
      </c>
      <c r="E179" s="39">
        <v>0</v>
      </c>
      <c r="F179" s="39">
        <v>0</v>
      </c>
      <c r="G179" s="39" t="s">
        <v>100</v>
      </c>
      <c r="H179" s="39">
        <v>0</v>
      </c>
    </row>
    <row r="180" spans="1:8" ht="18" thickBot="1">
      <c r="A180" s="49" t="s">
        <v>90</v>
      </c>
      <c r="B180" s="41" t="s">
        <v>92</v>
      </c>
      <c r="C180" s="41" t="s">
        <v>95</v>
      </c>
      <c r="D180" s="41" t="s">
        <v>91</v>
      </c>
      <c r="E180" s="41" t="s">
        <v>92</v>
      </c>
      <c r="F180" s="41" t="s">
        <v>95</v>
      </c>
      <c r="G180" s="41" t="s">
        <v>91</v>
      </c>
      <c r="H180" s="41" t="s">
        <v>92</v>
      </c>
    </row>
    <row r="181" spans="1:8" ht="18" thickTop="1">
      <c r="A181" s="50" t="s">
        <v>83</v>
      </c>
      <c r="B181" s="43" t="s">
        <v>94</v>
      </c>
      <c r="C181" s="43" t="s">
        <v>24</v>
      </c>
      <c r="D181" s="43" t="s">
        <v>23</v>
      </c>
      <c r="E181" s="43" t="s">
        <v>94</v>
      </c>
      <c r="F181" s="43" t="s">
        <v>23</v>
      </c>
      <c r="G181" s="43" t="s">
        <v>22</v>
      </c>
      <c r="H181" s="43" t="s">
        <v>94</v>
      </c>
    </row>
    <row r="182" spans="1:8" ht="18" thickBot="1">
      <c r="A182" s="51" t="s">
        <v>84</v>
      </c>
      <c r="B182" s="43" t="s">
        <v>94</v>
      </c>
      <c r="C182" s="43" t="s">
        <v>25</v>
      </c>
      <c r="D182" s="43" t="s">
        <v>24</v>
      </c>
      <c r="E182" s="43" t="s">
        <v>94</v>
      </c>
      <c r="F182" s="43" t="s">
        <v>24</v>
      </c>
      <c r="G182" s="43" t="s">
        <v>23</v>
      </c>
      <c r="H182" s="43" t="s">
        <v>94</v>
      </c>
    </row>
    <row r="183" spans="1:8">
      <c r="A183" s="50" t="s">
        <v>85</v>
      </c>
      <c r="B183" s="44" t="s">
        <v>94</v>
      </c>
      <c r="C183" s="44" t="s">
        <v>22</v>
      </c>
      <c r="D183" s="44" t="s">
        <v>25</v>
      </c>
      <c r="E183" s="44" t="s">
        <v>94</v>
      </c>
      <c r="F183" s="44" t="s">
        <v>25</v>
      </c>
      <c r="G183" s="44" t="s">
        <v>24</v>
      </c>
      <c r="H183" s="44" t="s">
        <v>94</v>
      </c>
    </row>
    <row r="184" spans="1:8" ht="18" thickBot="1">
      <c r="A184" s="52" t="s">
        <v>86</v>
      </c>
      <c r="B184" s="39" t="s">
        <v>94</v>
      </c>
      <c r="C184" s="39" t="s">
        <v>23</v>
      </c>
      <c r="D184" s="39" t="s">
        <v>22</v>
      </c>
      <c r="E184" s="39" t="s">
        <v>94</v>
      </c>
      <c r="F184" s="39" t="s">
        <v>22</v>
      </c>
      <c r="G184" s="39" t="s">
        <v>25</v>
      </c>
      <c r="H184" s="39" t="s">
        <v>94</v>
      </c>
    </row>
    <row r="185" spans="1:8" ht="18.600000000000001" thickTop="1" thickBot="1">
      <c r="A185" s="46" t="s">
        <v>87</v>
      </c>
      <c r="B185" s="34">
        <v>46181</v>
      </c>
      <c r="C185" s="34">
        <v>46182</v>
      </c>
      <c r="D185" s="34">
        <v>46183</v>
      </c>
      <c r="E185" s="34">
        <v>46184</v>
      </c>
      <c r="F185" s="34">
        <v>46185</v>
      </c>
      <c r="G185" s="34">
        <v>46186</v>
      </c>
      <c r="H185" s="34">
        <v>46187</v>
      </c>
    </row>
    <row r="186" spans="1:8" ht="18.600000000000001" thickTop="1" thickBot="1">
      <c r="A186" s="47" t="s">
        <v>88</v>
      </c>
      <c r="B186" s="37">
        <v>2</v>
      </c>
      <c r="C186" s="37">
        <v>3</v>
      </c>
      <c r="D186" s="37">
        <v>4</v>
      </c>
      <c r="E186" s="37">
        <v>5</v>
      </c>
      <c r="F186" s="37">
        <v>6</v>
      </c>
      <c r="G186" s="37">
        <v>7</v>
      </c>
      <c r="H186" s="37">
        <v>1</v>
      </c>
    </row>
    <row r="187" spans="1:8" ht="18.600000000000001" thickTop="1" thickBot="1">
      <c r="A187" s="48" t="s">
        <v>89</v>
      </c>
      <c r="B187" s="39">
        <v>0</v>
      </c>
      <c r="C187" s="39">
        <v>0</v>
      </c>
      <c r="D187" s="39">
        <v>0</v>
      </c>
      <c r="E187" s="39">
        <v>0</v>
      </c>
      <c r="F187" s="39">
        <v>0</v>
      </c>
      <c r="G187" s="39">
        <v>0</v>
      </c>
      <c r="H187" s="39">
        <v>0</v>
      </c>
    </row>
    <row r="188" spans="1:8" ht="18" thickBot="1">
      <c r="A188" s="49" t="s">
        <v>90</v>
      </c>
      <c r="B188" s="41" t="s">
        <v>95</v>
      </c>
      <c r="C188" s="41" t="s">
        <v>96</v>
      </c>
      <c r="D188" s="41" t="s">
        <v>92</v>
      </c>
      <c r="E188" s="41" t="s">
        <v>95</v>
      </c>
      <c r="F188" s="41" t="s">
        <v>96</v>
      </c>
      <c r="G188" s="41" t="s">
        <v>92</v>
      </c>
      <c r="H188" s="41" t="s">
        <v>93</v>
      </c>
    </row>
    <row r="189" spans="1:8" ht="18" thickTop="1">
      <c r="A189" s="50" t="s">
        <v>83</v>
      </c>
      <c r="B189" s="43" t="s">
        <v>22</v>
      </c>
      <c r="C189" s="43" t="s">
        <v>25</v>
      </c>
      <c r="D189" s="43" t="s">
        <v>94</v>
      </c>
      <c r="E189" s="43" t="s">
        <v>25</v>
      </c>
      <c r="F189" s="43" t="s">
        <v>24</v>
      </c>
      <c r="G189" s="43" t="s">
        <v>94</v>
      </c>
      <c r="H189" s="43" t="s">
        <v>94</v>
      </c>
    </row>
    <row r="190" spans="1:8" ht="18" thickBot="1">
      <c r="A190" s="51" t="s">
        <v>84</v>
      </c>
      <c r="B190" s="43" t="s">
        <v>23</v>
      </c>
      <c r="C190" s="43" t="s">
        <v>22</v>
      </c>
      <c r="D190" s="43" t="s">
        <v>94</v>
      </c>
      <c r="E190" s="43" t="s">
        <v>22</v>
      </c>
      <c r="F190" s="43" t="s">
        <v>25</v>
      </c>
      <c r="G190" s="43" t="s">
        <v>94</v>
      </c>
      <c r="H190" s="43" t="s">
        <v>94</v>
      </c>
    </row>
    <row r="191" spans="1:8">
      <c r="A191" s="50" t="s">
        <v>85</v>
      </c>
      <c r="B191" s="44" t="s">
        <v>24</v>
      </c>
      <c r="C191" s="44" t="s">
        <v>23</v>
      </c>
      <c r="D191" s="44" t="s">
        <v>94</v>
      </c>
      <c r="E191" s="44" t="s">
        <v>23</v>
      </c>
      <c r="F191" s="44" t="s">
        <v>22</v>
      </c>
      <c r="G191" s="44" t="s">
        <v>94</v>
      </c>
      <c r="H191" s="44" t="s">
        <v>94</v>
      </c>
    </row>
    <row r="192" spans="1:8" ht="18" thickBot="1">
      <c r="A192" s="52" t="s">
        <v>86</v>
      </c>
      <c r="B192" s="39" t="s">
        <v>25</v>
      </c>
      <c r="C192" s="39" t="s">
        <v>24</v>
      </c>
      <c r="D192" s="39" t="s">
        <v>94</v>
      </c>
      <c r="E192" s="39" t="s">
        <v>24</v>
      </c>
      <c r="F192" s="39" t="s">
        <v>23</v>
      </c>
      <c r="G192" s="39" t="s">
        <v>94</v>
      </c>
      <c r="H192" s="39" t="s">
        <v>94</v>
      </c>
    </row>
    <row r="193" spans="1:8" ht="18.600000000000001" thickTop="1" thickBot="1">
      <c r="A193" s="46" t="s">
        <v>87</v>
      </c>
      <c r="B193" s="34">
        <v>46188</v>
      </c>
      <c r="C193" s="34">
        <v>46189</v>
      </c>
      <c r="D193" s="34">
        <v>46190</v>
      </c>
      <c r="E193" s="34">
        <v>46191</v>
      </c>
      <c r="F193" s="34">
        <v>46192</v>
      </c>
      <c r="G193" s="34">
        <v>46193</v>
      </c>
      <c r="H193" s="34">
        <v>46194</v>
      </c>
    </row>
    <row r="194" spans="1:8" ht="18.600000000000001" thickTop="1" thickBot="1">
      <c r="A194" s="47" t="s">
        <v>88</v>
      </c>
      <c r="B194" s="37">
        <v>2</v>
      </c>
      <c r="C194" s="37">
        <v>3</v>
      </c>
      <c r="D194" s="37">
        <v>4</v>
      </c>
      <c r="E194" s="37">
        <v>5</v>
      </c>
      <c r="F194" s="37">
        <v>6</v>
      </c>
      <c r="G194" s="37">
        <v>7</v>
      </c>
      <c r="H194" s="37">
        <v>1</v>
      </c>
    </row>
    <row r="195" spans="1:8" ht="18.600000000000001" thickTop="1" thickBot="1">
      <c r="A195" s="48" t="s">
        <v>89</v>
      </c>
      <c r="B195" s="39">
        <v>0</v>
      </c>
      <c r="C195" s="39">
        <v>0</v>
      </c>
      <c r="D195" s="39">
        <v>0</v>
      </c>
      <c r="E195" s="39">
        <v>0</v>
      </c>
      <c r="F195" s="39">
        <v>0</v>
      </c>
      <c r="G195" s="39">
        <v>0</v>
      </c>
      <c r="H195" s="39">
        <v>0</v>
      </c>
    </row>
    <row r="196" spans="1:8" ht="18" thickBot="1">
      <c r="A196" s="49" t="s">
        <v>90</v>
      </c>
      <c r="B196" s="41" t="s">
        <v>96</v>
      </c>
      <c r="C196" s="41" t="s">
        <v>92</v>
      </c>
      <c r="D196" s="41" t="s">
        <v>95</v>
      </c>
      <c r="E196" s="41" t="s">
        <v>96</v>
      </c>
      <c r="F196" s="41" t="s">
        <v>92</v>
      </c>
      <c r="G196" s="41" t="s">
        <v>93</v>
      </c>
      <c r="H196" s="41" t="s">
        <v>91</v>
      </c>
    </row>
    <row r="197" spans="1:8" ht="18" thickTop="1">
      <c r="A197" s="50" t="s">
        <v>83</v>
      </c>
      <c r="B197" s="43" t="s">
        <v>23</v>
      </c>
      <c r="C197" s="43" t="s">
        <v>94</v>
      </c>
      <c r="D197" s="43" t="s">
        <v>24</v>
      </c>
      <c r="E197" s="43" t="s">
        <v>22</v>
      </c>
      <c r="F197" s="43" t="s">
        <v>94</v>
      </c>
      <c r="G197" s="43" t="s">
        <v>94</v>
      </c>
      <c r="H197" s="43" t="s">
        <v>25</v>
      </c>
    </row>
    <row r="198" spans="1:8" ht="18" thickBot="1">
      <c r="A198" s="51" t="s">
        <v>84</v>
      </c>
      <c r="B198" s="43" t="s">
        <v>24</v>
      </c>
      <c r="C198" s="43" t="s">
        <v>94</v>
      </c>
      <c r="D198" s="43" t="s">
        <v>25</v>
      </c>
      <c r="E198" s="43" t="s">
        <v>23</v>
      </c>
      <c r="F198" s="43" t="s">
        <v>94</v>
      </c>
      <c r="G198" s="43" t="s">
        <v>94</v>
      </c>
      <c r="H198" s="43" t="s">
        <v>22</v>
      </c>
    </row>
    <row r="199" spans="1:8">
      <c r="A199" s="50" t="s">
        <v>85</v>
      </c>
      <c r="B199" s="44" t="s">
        <v>25</v>
      </c>
      <c r="C199" s="44" t="s">
        <v>94</v>
      </c>
      <c r="D199" s="44" t="s">
        <v>22</v>
      </c>
      <c r="E199" s="44" t="s">
        <v>24</v>
      </c>
      <c r="F199" s="44" t="s">
        <v>94</v>
      </c>
      <c r="G199" s="44" t="s">
        <v>94</v>
      </c>
      <c r="H199" s="44" t="s">
        <v>23</v>
      </c>
    </row>
    <row r="200" spans="1:8" ht="18" thickBot="1">
      <c r="A200" s="52" t="s">
        <v>86</v>
      </c>
      <c r="B200" s="39" t="s">
        <v>22</v>
      </c>
      <c r="C200" s="39" t="s">
        <v>94</v>
      </c>
      <c r="D200" s="39" t="s">
        <v>23</v>
      </c>
      <c r="E200" s="39" t="s">
        <v>25</v>
      </c>
      <c r="F200" s="39" t="s">
        <v>94</v>
      </c>
      <c r="G200" s="39" t="s">
        <v>94</v>
      </c>
      <c r="H200" s="39" t="s">
        <v>24</v>
      </c>
    </row>
    <row r="201" spans="1:8" ht="18.600000000000001" thickTop="1" thickBot="1">
      <c r="A201" s="46" t="s">
        <v>87</v>
      </c>
      <c r="B201" s="34">
        <v>46195</v>
      </c>
      <c r="C201" s="34">
        <v>46196</v>
      </c>
      <c r="D201" s="34">
        <v>46197</v>
      </c>
      <c r="E201" s="34">
        <v>46198</v>
      </c>
      <c r="F201" s="34">
        <v>46199</v>
      </c>
      <c r="G201" s="34">
        <v>46200</v>
      </c>
      <c r="H201" s="34">
        <v>46201</v>
      </c>
    </row>
    <row r="202" spans="1:8" ht="18.600000000000001" thickTop="1" thickBot="1">
      <c r="A202" s="47" t="s">
        <v>88</v>
      </c>
      <c r="B202" s="37">
        <v>2</v>
      </c>
      <c r="C202" s="37">
        <v>3</v>
      </c>
      <c r="D202" s="37">
        <v>4</v>
      </c>
      <c r="E202" s="37">
        <v>5</v>
      </c>
      <c r="F202" s="37">
        <v>6</v>
      </c>
      <c r="G202" s="37">
        <v>7</v>
      </c>
      <c r="H202" s="37">
        <v>1</v>
      </c>
    </row>
    <row r="203" spans="1:8" ht="18.600000000000001" thickTop="1" thickBot="1">
      <c r="A203" s="48" t="s">
        <v>89</v>
      </c>
      <c r="B203" s="39">
        <v>0</v>
      </c>
      <c r="C203" s="39">
        <v>0</v>
      </c>
      <c r="D203" s="39">
        <v>0</v>
      </c>
      <c r="E203" s="39">
        <v>0</v>
      </c>
      <c r="F203" s="39">
        <v>0</v>
      </c>
      <c r="G203" s="39">
        <v>0</v>
      </c>
      <c r="H203" s="39">
        <v>0</v>
      </c>
    </row>
    <row r="204" spans="1:8" ht="18" thickBot="1">
      <c r="A204" s="49" t="s">
        <v>90</v>
      </c>
      <c r="B204" s="41" t="s">
        <v>92</v>
      </c>
      <c r="C204" s="41" t="s">
        <v>95</v>
      </c>
      <c r="D204" s="41" t="s">
        <v>96</v>
      </c>
      <c r="E204" s="41" t="s">
        <v>92</v>
      </c>
      <c r="F204" s="41" t="s">
        <v>95</v>
      </c>
      <c r="G204" s="41" t="s">
        <v>91</v>
      </c>
      <c r="H204" s="41" t="s">
        <v>92</v>
      </c>
    </row>
    <row r="205" spans="1:8" ht="18" thickTop="1">
      <c r="A205" s="50" t="s">
        <v>83</v>
      </c>
      <c r="B205" s="43" t="s">
        <v>94</v>
      </c>
      <c r="C205" s="43" t="s">
        <v>23</v>
      </c>
      <c r="D205" s="43" t="s">
        <v>24</v>
      </c>
      <c r="E205" s="43" t="s">
        <v>94</v>
      </c>
      <c r="F205" s="43" t="s">
        <v>22</v>
      </c>
      <c r="G205" s="43" t="s">
        <v>23</v>
      </c>
      <c r="H205" s="43" t="s">
        <v>94</v>
      </c>
    </row>
    <row r="206" spans="1:8" ht="18" thickBot="1">
      <c r="A206" s="51" t="s">
        <v>84</v>
      </c>
      <c r="B206" s="43" t="s">
        <v>94</v>
      </c>
      <c r="C206" s="43" t="s">
        <v>24</v>
      </c>
      <c r="D206" s="43" t="s">
        <v>25</v>
      </c>
      <c r="E206" s="43" t="s">
        <v>94</v>
      </c>
      <c r="F206" s="43" t="s">
        <v>23</v>
      </c>
      <c r="G206" s="43" t="s">
        <v>24</v>
      </c>
      <c r="H206" s="43" t="s">
        <v>94</v>
      </c>
    </row>
    <row r="207" spans="1:8">
      <c r="A207" s="50" t="s">
        <v>85</v>
      </c>
      <c r="B207" s="44" t="s">
        <v>94</v>
      </c>
      <c r="C207" s="44" t="s">
        <v>25</v>
      </c>
      <c r="D207" s="44" t="s">
        <v>22</v>
      </c>
      <c r="E207" s="44" t="s">
        <v>94</v>
      </c>
      <c r="F207" s="44" t="s">
        <v>24</v>
      </c>
      <c r="G207" s="44" t="s">
        <v>25</v>
      </c>
      <c r="H207" s="44" t="s">
        <v>94</v>
      </c>
    </row>
    <row r="208" spans="1:8" ht="18" thickBot="1">
      <c r="A208" s="52" t="s">
        <v>86</v>
      </c>
      <c r="B208" s="39" t="s">
        <v>94</v>
      </c>
      <c r="C208" s="39" t="s">
        <v>22</v>
      </c>
      <c r="D208" s="39" t="s">
        <v>23</v>
      </c>
      <c r="E208" s="39" t="s">
        <v>94</v>
      </c>
      <c r="F208" s="39" t="s">
        <v>25</v>
      </c>
      <c r="G208" s="39" t="s">
        <v>22</v>
      </c>
      <c r="H208" s="39" t="s">
        <v>94</v>
      </c>
    </row>
    <row r="209" spans="1:8" ht="18.600000000000001" thickTop="1" thickBot="1">
      <c r="A209" s="46" t="s">
        <v>87</v>
      </c>
      <c r="B209" s="34">
        <v>46202</v>
      </c>
      <c r="C209" s="34">
        <v>46203</v>
      </c>
      <c r="D209" s="34">
        <v>46204</v>
      </c>
      <c r="E209" s="34">
        <v>46205</v>
      </c>
      <c r="F209" s="34">
        <v>46206</v>
      </c>
      <c r="G209" s="34">
        <v>46207</v>
      </c>
      <c r="H209" s="34">
        <v>46208</v>
      </c>
    </row>
    <row r="210" spans="1:8" ht="18.600000000000001" thickTop="1" thickBot="1">
      <c r="A210" s="47" t="s">
        <v>88</v>
      </c>
      <c r="B210" s="37">
        <v>2</v>
      </c>
      <c r="C210" s="37">
        <v>3</v>
      </c>
      <c r="D210" s="37">
        <v>4</v>
      </c>
      <c r="E210" s="37">
        <v>5</v>
      </c>
      <c r="F210" s="37">
        <v>6</v>
      </c>
      <c r="G210" s="37">
        <v>7</v>
      </c>
      <c r="H210" s="37">
        <v>1</v>
      </c>
    </row>
    <row r="211" spans="1:8" ht="18.600000000000001" thickTop="1" thickBot="1">
      <c r="A211" s="48" t="s">
        <v>89</v>
      </c>
      <c r="B211" s="39">
        <v>0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</row>
    <row r="212" spans="1:8" ht="18" thickBot="1">
      <c r="A212" s="49" t="s">
        <v>90</v>
      </c>
      <c r="B212" s="41" t="s">
        <v>95</v>
      </c>
      <c r="C212" s="41" t="s">
        <v>96</v>
      </c>
      <c r="D212" s="41" t="s">
        <v>92</v>
      </c>
      <c r="E212" s="41" t="s">
        <v>95</v>
      </c>
      <c r="F212" s="41" t="s">
        <v>96</v>
      </c>
      <c r="G212" s="41" t="s">
        <v>92</v>
      </c>
      <c r="H212" s="41" t="s">
        <v>93</v>
      </c>
    </row>
    <row r="213" spans="1:8" ht="18" thickTop="1">
      <c r="A213" s="50" t="s">
        <v>83</v>
      </c>
      <c r="B213" s="43" t="s">
        <v>25</v>
      </c>
      <c r="C213" s="43" t="s">
        <v>22</v>
      </c>
      <c r="D213" s="43" t="s">
        <v>94</v>
      </c>
      <c r="E213" s="43" t="s">
        <v>24</v>
      </c>
      <c r="F213" s="43" t="s">
        <v>25</v>
      </c>
      <c r="G213" s="43" t="s">
        <v>94</v>
      </c>
      <c r="H213" s="43" t="s">
        <v>94</v>
      </c>
    </row>
    <row r="214" spans="1:8" ht="18" thickBot="1">
      <c r="A214" s="51" t="s">
        <v>84</v>
      </c>
      <c r="B214" s="43" t="s">
        <v>22</v>
      </c>
      <c r="C214" s="43" t="s">
        <v>23</v>
      </c>
      <c r="D214" s="43" t="s">
        <v>94</v>
      </c>
      <c r="E214" s="43" t="s">
        <v>25</v>
      </c>
      <c r="F214" s="43" t="s">
        <v>22</v>
      </c>
      <c r="G214" s="43" t="s">
        <v>94</v>
      </c>
      <c r="H214" s="43" t="s">
        <v>94</v>
      </c>
    </row>
    <row r="215" spans="1:8">
      <c r="A215" s="50" t="s">
        <v>85</v>
      </c>
      <c r="B215" s="44" t="s">
        <v>23</v>
      </c>
      <c r="C215" s="44" t="s">
        <v>24</v>
      </c>
      <c r="D215" s="44" t="s">
        <v>94</v>
      </c>
      <c r="E215" s="44" t="s">
        <v>22</v>
      </c>
      <c r="F215" s="44" t="s">
        <v>23</v>
      </c>
      <c r="G215" s="44" t="s">
        <v>94</v>
      </c>
      <c r="H215" s="44" t="s">
        <v>94</v>
      </c>
    </row>
    <row r="216" spans="1:8" ht="18" thickBot="1">
      <c r="A216" s="52" t="s">
        <v>86</v>
      </c>
      <c r="B216" s="39" t="s">
        <v>24</v>
      </c>
      <c r="C216" s="39" t="s">
        <v>25</v>
      </c>
      <c r="D216" s="39" t="s">
        <v>94</v>
      </c>
      <c r="E216" s="39" t="s">
        <v>23</v>
      </c>
      <c r="F216" s="39" t="s">
        <v>24</v>
      </c>
      <c r="G216" s="39" t="s">
        <v>94</v>
      </c>
      <c r="H216" s="39" t="s">
        <v>94</v>
      </c>
    </row>
    <row r="217" spans="1:8" ht="18.600000000000001" thickTop="1" thickBot="1">
      <c r="A217" s="46" t="s">
        <v>87</v>
      </c>
      <c r="B217" s="34">
        <v>46209</v>
      </c>
      <c r="C217" s="34">
        <v>46210</v>
      </c>
      <c r="D217" s="34">
        <v>46211</v>
      </c>
      <c r="E217" s="34">
        <v>46212</v>
      </c>
      <c r="F217" s="34">
        <v>46213</v>
      </c>
      <c r="G217" s="34">
        <v>46214</v>
      </c>
      <c r="H217" s="34">
        <v>46215</v>
      </c>
    </row>
    <row r="218" spans="1:8" ht="18.600000000000001" thickTop="1" thickBot="1">
      <c r="A218" s="47" t="s">
        <v>88</v>
      </c>
      <c r="B218" s="37">
        <v>2</v>
      </c>
      <c r="C218" s="37">
        <v>3</v>
      </c>
      <c r="D218" s="37">
        <v>4</v>
      </c>
      <c r="E218" s="37">
        <v>5</v>
      </c>
      <c r="F218" s="37">
        <v>6</v>
      </c>
      <c r="G218" s="37">
        <v>7</v>
      </c>
      <c r="H218" s="37">
        <v>1</v>
      </c>
    </row>
    <row r="219" spans="1:8" ht="18.600000000000001" thickTop="1" thickBot="1">
      <c r="A219" s="48" t="s">
        <v>89</v>
      </c>
      <c r="B219" s="39">
        <v>0</v>
      </c>
      <c r="C219" s="39">
        <v>0</v>
      </c>
      <c r="D219" s="39">
        <v>0</v>
      </c>
      <c r="E219" s="39">
        <v>0</v>
      </c>
      <c r="F219" s="39">
        <v>0</v>
      </c>
      <c r="G219" s="39">
        <v>0</v>
      </c>
      <c r="H219" s="39">
        <v>0</v>
      </c>
    </row>
    <row r="220" spans="1:8" ht="18" thickBot="1">
      <c r="A220" s="49" t="s">
        <v>90</v>
      </c>
      <c r="B220" s="41" t="s">
        <v>96</v>
      </c>
      <c r="C220" s="41" t="s">
        <v>92</v>
      </c>
      <c r="D220" s="41" t="s">
        <v>95</v>
      </c>
      <c r="E220" s="41" t="s">
        <v>96</v>
      </c>
      <c r="F220" s="41" t="s">
        <v>92</v>
      </c>
      <c r="G220" s="41" t="s">
        <v>93</v>
      </c>
      <c r="H220" s="41" t="s">
        <v>91</v>
      </c>
    </row>
    <row r="221" spans="1:8" ht="18" thickTop="1">
      <c r="A221" s="50" t="s">
        <v>83</v>
      </c>
      <c r="B221" s="43" t="s">
        <v>24</v>
      </c>
      <c r="C221" s="43" t="s">
        <v>94</v>
      </c>
      <c r="D221" s="43" t="s">
        <v>23</v>
      </c>
      <c r="E221" s="43" t="s">
        <v>23</v>
      </c>
      <c r="F221" s="43" t="s">
        <v>94</v>
      </c>
      <c r="G221" s="43" t="s">
        <v>94</v>
      </c>
      <c r="H221" s="43" t="s">
        <v>22</v>
      </c>
    </row>
    <row r="222" spans="1:8" ht="18" thickBot="1">
      <c r="A222" s="51" t="s">
        <v>84</v>
      </c>
      <c r="B222" s="43" t="s">
        <v>25</v>
      </c>
      <c r="C222" s="43" t="s">
        <v>94</v>
      </c>
      <c r="D222" s="43" t="s">
        <v>24</v>
      </c>
      <c r="E222" s="43" t="s">
        <v>24</v>
      </c>
      <c r="F222" s="43" t="s">
        <v>94</v>
      </c>
      <c r="G222" s="43" t="s">
        <v>94</v>
      </c>
      <c r="H222" s="43" t="s">
        <v>23</v>
      </c>
    </row>
    <row r="223" spans="1:8">
      <c r="A223" s="50" t="s">
        <v>85</v>
      </c>
      <c r="B223" s="44" t="s">
        <v>22</v>
      </c>
      <c r="C223" s="44" t="s">
        <v>94</v>
      </c>
      <c r="D223" s="44" t="s">
        <v>25</v>
      </c>
      <c r="E223" s="44" t="s">
        <v>25</v>
      </c>
      <c r="F223" s="44" t="s">
        <v>94</v>
      </c>
      <c r="G223" s="44" t="s">
        <v>94</v>
      </c>
      <c r="H223" s="44" t="s">
        <v>24</v>
      </c>
    </row>
    <row r="224" spans="1:8" ht="18" thickBot="1">
      <c r="A224" s="52" t="s">
        <v>86</v>
      </c>
      <c r="B224" s="39" t="s">
        <v>23</v>
      </c>
      <c r="C224" s="39" t="s">
        <v>94</v>
      </c>
      <c r="D224" s="39" t="s">
        <v>22</v>
      </c>
      <c r="E224" s="39" t="s">
        <v>22</v>
      </c>
      <c r="F224" s="39" t="s">
        <v>94</v>
      </c>
      <c r="G224" s="39" t="s">
        <v>94</v>
      </c>
      <c r="H224" s="39" t="s">
        <v>25</v>
      </c>
    </row>
    <row r="225" spans="1:8" ht="18.600000000000001" thickTop="1" thickBot="1">
      <c r="A225" s="46" t="s">
        <v>87</v>
      </c>
      <c r="B225" s="34">
        <v>46216</v>
      </c>
      <c r="C225" s="34">
        <v>46217</v>
      </c>
      <c r="D225" s="34">
        <v>46218</v>
      </c>
      <c r="E225" s="34">
        <v>46219</v>
      </c>
      <c r="F225" s="34">
        <v>46220</v>
      </c>
      <c r="G225" s="34">
        <v>46221</v>
      </c>
      <c r="H225" s="34">
        <v>46222</v>
      </c>
    </row>
    <row r="226" spans="1:8" ht="18.600000000000001" thickTop="1" thickBot="1">
      <c r="A226" s="47" t="s">
        <v>88</v>
      </c>
      <c r="B226" s="37">
        <v>2</v>
      </c>
      <c r="C226" s="37">
        <v>3</v>
      </c>
      <c r="D226" s="37">
        <v>4</v>
      </c>
      <c r="E226" s="37">
        <v>5</v>
      </c>
      <c r="F226" s="37">
        <v>6</v>
      </c>
      <c r="G226" s="37">
        <v>7</v>
      </c>
      <c r="H226" s="37">
        <v>1</v>
      </c>
    </row>
    <row r="227" spans="1:8" ht="18.600000000000001" thickTop="1" thickBot="1">
      <c r="A227" s="48" t="s">
        <v>89</v>
      </c>
      <c r="B227" s="39">
        <v>0</v>
      </c>
      <c r="C227" s="39">
        <v>0</v>
      </c>
      <c r="D227" s="39">
        <v>0</v>
      </c>
      <c r="E227" s="39">
        <v>0</v>
      </c>
      <c r="F227" s="39" t="s">
        <v>101</v>
      </c>
      <c r="G227" s="39">
        <v>0</v>
      </c>
      <c r="H227" s="39">
        <v>0</v>
      </c>
    </row>
    <row r="228" spans="1:8" ht="18" thickBot="1">
      <c r="A228" s="49" t="s">
        <v>90</v>
      </c>
      <c r="B228" s="41" t="s">
        <v>92</v>
      </c>
      <c r="C228" s="41" t="s">
        <v>95</v>
      </c>
      <c r="D228" s="41" t="s">
        <v>96</v>
      </c>
      <c r="E228" s="41" t="s">
        <v>92</v>
      </c>
      <c r="F228" s="41" t="s">
        <v>93</v>
      </c>
      <c r="G228" s="41" t="s">
        <v>91</v>
      </c>
      <c r="H228" s="41" t="s">
        <v>92</v>
      </c>
    </row>
    <row r="229" spans="1:8" ht="18" thickTop="1">
      <c r="A229" s="50" t="s">
        <v>83</v>
      </c>
      <c r="B229" s="43" t="s">
        <v>94</v>
      </c>
      <c r="C229" s="43" t="s">
        <v>22</v>
      </c>
      <c r="D229" s="43" t="s">
        <v>25</v>
      </c>
      <c r="E229" s="43" t="s">
        <v>94</v>
      </c>
      <c r="F229" s="43" t="s">
        <v>94</v>
      </c>
      <c r="G229" s="43" t="s">
        <v>24</v>
      </c>
      <c r="H229" s="43" t="s">
        <v>94</v>
      </c>
    </row>
    <row r="230" spans="1:8" ht="18" thickBot="1">
      <c r="A230" s="51" t="s">
        <v>84</v>
      </c>
      <c r="B230" s="43" t="s">
        <v>94</v>
      </c>
      <c r="C230" s="43" t="s">
        <v>23</v>
      </c>
      <c r="D230" s="43" t="s">
        <v>22</v>
      </c>
      <c r="E230" s="43" t="s">
        <v>94</v>
      </c>
      <c r="F230" s="43" t="s">
        <v>94</v>
      </c>
      <c r="G230" s="43" t="s">
        <v>25</v>
      </c>
      <c r="H230" s="43" t="s">
        <v>94</v>
      </c>
    </row>
    <row r="231" spans="1:8">
      <c r="A231" s="50" t="s">
        <v>85</v>
      </c>
      <c r="B231" s="44" t="s">
        <v>94</v>
      </c>
      <c r="C231" s="44" t="s">
        <v>24</v>
      </c>
      <c r="D231" s="44" t="s">
        <v>23</v>
      </c>
      <c r="E231" s="44" t="s">
        <v>94</v>
      </c>
      <c r="F231" s="44" t="s">
        <v>94</v>
      </c>
      <c r="G231" s="44" t="s">
        <v>22</v>
      </c>
      <c r="H231" s="44" t="s">
        <v>94</v>
      </c>
    </row>
    <row r="232" spans="1:8" ht="18" thickBot="1">
      <c r="A232" s="52" t="s">
        <v>86</v>
      </c>
      <c r="B232" s="39" t="s">
        <v>94</v>
      </c>
      <c r="C232" s="39" t="s">
        <v>25</v>
      </c>
      <c r="D232" s="39" t="s">
        <v>24</v>
      </c>
      <c r="E232" s="39" t="s">
        <v>94</v>
      </c>
      <c r="F232" s="39" t="s">
        <v>94</v>
      </c>
      <c r="G232" s="39" t="s">
        <v>23</v>
      </c>
      <c r="H232" s="39" t="s">
        <v>94</v>
      </c>
    </row>
    <row r="233" spans="1:8" ht="18.600000000000001" thickTop="1" thickBot="1">
      <c r="A233" s="46" t="s">
        <v>87</v>
      </c>
      <c r="B233" s="34">
        <v>46223</v>
      </c>
      <c r="C233" s="34">
        <v>46224</v>
      </c>
      <c r="D233" s="34">
        <v>46225</v>
      </c>
      <c r="E233" s="34">
        <v>46226</v>
      </c>
      <c r="F233" s="34">
        <v>46227</v>
      </c>
      <c r="G233" s="34">
        <v>46228</v>
      </c>
      <c r="H233" s="34">
        <v>46229</v>
      </c>
    </row>
    <row r="234" spans="1:8" ht="18.600000000000001" thickTop="1" thickBot="1">
      <c r="A234" s="47" t="s">
        <v>88</v>
      </c>
      <c r="B234" s="37">
        <v>2</v>
      </c>
      <c r="C234" s="37">
        <v>3</v>
      </c>
      <c r="D234" s="37">
        <v>4</v>
      </c>
      <c r="E234" s="37">
        <v>5</v>
      </c>
      <c r="F234" s="37">
        <v>6</v>
      </c>
      <c r="G234" s="37">
        <v>7</v>
      </c>
      <c r="H234" s="37">
        <v>1</v>
      </c>
    </row>
    <row r="235" spans="1:8" ht="18.600000000000001" thickTop="1" thickBot="1">
      <c r="A235" s="48" t="s">
        <v>89</v>
      </c>
      <c r="B235" s="39">
        <v>0</v>
      </c>
      <c r="C235" s="39">
        <v>0</v>
      </c>
      <c r="D235" s="39">
        <v>0</v>
      </c>
      <c r="E235" s="39">
        <v>0</v>
      </c>
      <c r="F235" s="39">
        <v>0</v>
      </c>
      <c r="G235" s="39">
        <v>0</v>
      </c>
      <c r="H235" s="39">
        <v>0</v>
      </c>
    </row>
    <row r="236" spans="1:8" ht="18" thickBot="1">
      <c r="A236" s="49" t="s">
        <v>90</v>
      </c>
      <c r="B236" s="41" t="s">
        <v>95</v>
      </c>
      <c r="C236" s="41" t="s">
        <v>96</v>
      </c>
      <c r="D236" s="41" t="s">
        <v>92</v>
      </c>
      <c r="E236" s="41" t="s">
        <v>95</v>
      </c>
      <c r="F236" s="41" t="s">
        <v>96</v>
      </c>
      <c r="G236" s="41" t="s">
        <v>92</v>
      </c>
      <c r="H236" s="41" t="s">
        <v>93</v>
      </c>
    </row>
    <row r="237" spans="1:8" ht="18" thickTop="1">
      <c r="A237" s="50" t="s">
        <v>83</v>
      </c>
      <c r="B237" s="43" t="s">
        <v>25</v>
      </c>
      <c r="C237" s="43" t="s">
        <v>23</v>
      </c>
      <c r="D237" s="43" t="s">
        <v>94</v>
      </c>
      <c r="E237" s="43" t="s">
        <v>24</v>
      </c>
      <c r="F237" s="43" t="s">
        <v>22</v>
      </c>
      <c r="G237" s="43" t="s">
        <v>94</v>
      </c>
      <c r="H237" s="43" t="s">
        <v>94</v>
      </c>
    </row>
    <row r="238" spans="1:8" ht="18" thickBot="1">
      <c r="A238" s="51" t="s">
        <v>84</v>
      </c>
      <c r="B238" s="43" t="s">
        <v>22</v>
      </c>
      <c r="C238" s="43" t="s">
        <v>24</v>
      </c>
      <c r="D238" s="43" t="s">
        <v>94</v>
      </c>
      <c r="E238" s="43" t="s">
        <v>25</v>
      </c>
      <c r="F238" s="43" t="s">
        <v>23</v>
      </c>
      <c r="G238" s="43" t="s">
        <v>94</v>
      </c>
      <c r="H238" s="43" t="s">
        <v>94</v>
      </c>
    </row>
    <row r="239" spans="1:8">
      <c r="A239" s="50" t="s">
        <v>85</v>
      </c>
      <c r="B239" s="44" t="s">
        <v>23</v>
      </c>
      <c r="C239" s="44" t="s">
        <v>25</v>
      </c>
      <c r="D239" s="44" t="s">
        <v>94</v>
      </c>
      <c r="E239" s="44" t="s">
        <v>22</v>
      </c>
      <c r="F239" s="44" t="s">
        <v>24</v>
      </c>
      <c r="G239" s="44" t="s">
        <v>94</v>
      </c>
      <c r="H239" s="44" t="s">
        <v>94</v>
      </c>
    </row>
    <row r="240" spans="1:8" ht="18" thickBot="1">
      <c r="A240" s="52" t="s">
        <v>86</v>
      </c>
      <c r="B240" s="39" t="s">
        <v>24</v>
      </c>
      <c r="C240" s="39" t="s">
        <v>22</v>
      </c>
      <c r="D240" s="39" t="s">
        <v>94</v>
      </c>
      <c r="E240" s="39" t="s">
        <v>23</v>
      </c>
      <c r="F240" s="39" t="s">
        <v>25</v>
      </c>
      <c r="G240" s="39" t="s">
        <v>94</v>
      </c>
      <c r="H240" s="39" t="s">
        <v>94</v>
      </c>
    </row>
    <row r="241" spans="1:8" ht="18.600000000000001" thickTop="1" thickBot="1">
      <c r="A241" s="46" t="s">
        <v>87</v>
      </c>
      <c r="B241" s="34">
        <v>46230</v>
      </c>
      <c r="C241" s="34">
        <v>46231</v>
      </c>
      <c r="D241" s="34">
        <v>46232</v>
      </c>
      <c r="E241" s="34">
        <v>46233</v>
      </c>
      <c r="F241" s="34">
        <v>46234</v>
      </c>
      <c r="G241" s="34">
        <v>46235</v>
      </c>
      <c r="H241" s="34">
        <v>46236</v>
      </c>
    </row>
    <row r="242" spans="1:8" ht="18.600000000000001" thickTop="1" thickBot="1">
      <c r="A242" s="47" t="s">
        <v>88</v>
      </c>
      <c r="B242" s="37">
        <v>2</v>
      </c>
      <c r="C242" s="37">
        <v>3</v>
      </c>
      <c r="D242" s="37">
        <v>4</v>
      </c>
      <c r="E242" s="37">
        <v>5</v>
      </c>
      <c r="F242" s="37">
        <v>6</v>
      </c>
      <c r="G242" s="37">
        <v>7</v>
      </c>
      <c r="H242" s="37">
        <v>1</v>
      </c>
    </row>
    <row r="243" spans="1:8" ht="18.600000000000001" thickTop="1" thickBot="1">
      <c r="A243" s="48" t="s">
        <v>89</v>
      </c>
      <c r="B243" s="39">
        <v>0</v>
      </c>
      <c r="C243" s="39">
        <v>0</v>
      </c>
      <c r="D243" s="39">
        <v>0</v>
      </c>
      <c r="E243" s="39">
        <v>0</v>
      </c>
      <c r="F243" s="39">
        <v>0</v>
      </c>
      <c r="G243" s="39">
        <v>0</v>
      </c>
      <c r="H243" s="39">
        <v>0</v>
      </c>
    </row>
    <row r="244" spans="1:8" ht="18" thickBot="1">
      <c r="A244" s="49" t="s">
        <v>90</v>
      </c>
      <c r="B244" s="41" t="s">
        <v>96</v>
      </c>
      <c r="C244" s="41" t="s">
        <v>92</v>
      </c>
      <c r="D244" s="41" t="s">
        <v>95</v>
      </c>
      <c r="E244" s="41" t="s">
        <v>96</v>
      </c>
      <c r="F244" s="41" t="s">
        <v>92</v>
      </c>
      <c r="G244" s="41" t="s">
        <v>93</v>
      </c>
      <c r="H244" s="41" t="s">
        <v>91</v>
      </c>
    </row>
    <row r="245" spans="1:8" ht="18" thickTop="1">
      <c r="A245" s="50" t="s">
        <v>83</v>
      </c>
      <c r="B245" s="43" t="s">
        <v>25</v>
      </c>
      <c r="C245" s="43" t="s">
        <v>94</v>
      </c>
      <c r="D245" s="43" t="s">
        <v>23</v>
      </c>
      <c r="E245" s="43" t="s">
        <v>24</v>
      </c>
      <c r="F245" s="43" t="s">
        <v>94</v>
      </c>
      <c r="G245" s="43" t="s">
        <v>94</v>
      </c>
      <c r="H245" s="43" t="s">
        <v>23</v>
      </c>
    </row>
    <row r="246" spans="1:8" ht="18" thickBot="1">
      <c r="A246" s="51" t="s">
        <v>84</v>
      </c>
      <c r="B246" s="43" t="s">
        <v>22</v>
      </c>
      <c r="C246" s="43" t="s">
        <v>94</v>
      </c>
      <c r="D246" s="43" t="s">
        <v>24</v>
      </c>
      <c r="E246" s="43" t="s">
        <v>25</v>
      </c>
      <c r="F246" s="43" t="s">
        <v>94</v>
      </c>
      <c r="G246" s="43" t="s">
        <v>94</v>
      </c>
      <c r="H246" s="43" t="s">
        <v>24</v>
      </c>
    </row>
    <row r="247" spans="1:8">
      <c r="A247" s="50" t="s">
        <v>85</v>
      </c>
      <c r="B247" s="44" t="s">
        <v>23</v>
      </c>
      <c r="C247" s="44" t="s">
        <v>94</v>
      </c>
      <c r="D247" s="44" t="s">
        <v>25</v>
      </c>
      <c r="E247" s="44" t="s">
        <v>22</v>
      </c>
      <c r="F247" s="44" t="s">
        <v>94</v>
      </c>
      <c r="G247" s="44" t="s">
        <v>94</v>
      </c>
      <c r="H247" s="44" t="s">
        <v>25</v>
      </c>
    </row>
    <row r="248" spans="1:8" ht="18" thickBot="1">
      <c r="A248" s="52" t="s">
        <v>86</v>
      </c>
      <c r="B248" s="39" t="s">
        <v>24</v>
      </c>
      <c r="C248" s="39" t="s">
        <v>94</v>
      </c>
      <c r="D248" s="39" t="s">
        <v>22</v>
      </c>
      <c r="E248" s="39" t="s">
        <v>23</v>
      </c>
      <c r="F248" s="39" t="s">
        <v>94</v>
      </c>
      <c r="G248" s="39" t="s">
        <v>94</v>
      </c>
      <c r="H248" s="39" t="s">
        <v>22</v>
      </c>
    </row>
    <row r="249" spans="1:8" ht="18.600000000000001" thickTop="1" thickBot="1">
      <c r="A249" s="46" t="s">
        <v>87</v>
      </c>
      <c r="B249" s="34">
        <v>46237</v>
      </c>
      <c r="C249" s="34">
        <v>46238</v>
      </c>
      <c r="D249" s="34">
        <v>46239</v>
      </c>
      <c r="E249" s="34">
        <v>46240</v>
      </c>
      <c r="F249" s="34">
        <v>46241</v>
      </c>
      <c r="G249" s="34">
        <v>46242</v>
      </c>
      <c r="H249" s="34">
        <v>46243</v>
      </c>
    </row>
    <row r="250" spans="1:8" ht="18.600000000000001" thickTop="1" thickBot="1">
      <c r="A250" s="47" t="s">
        <v>88</v>
      </c>
      <c r="B250" s="37">
        <v>2</v>
      </c>
      <c r="C250" s="37">
        <v>3</v>
      </c>
      <c r="D250" s="37">
        <v>4</v>
      </c>
      <c r="E250" s="37">
        <v>5</v>
      </c>
      <c r="F250" s="37">
        <v>6</v>
      </c>
      <c r="G250" s="37">
        <v>7</v>
      </c>
      <c r="H250" s="37">
        <v>1</v>
      </c>
    </row>
    <row r="251" spans="1:8" ht="18.600000000000001" thickTop="1" thickBot="1">
      <c r="A251" s="48" t="s">
        <v>89</v>
      </c>
      <c r="B251" s="39">
        <v>0</v>
      </c>
      <c r="C251" s="39">
        <v>0</v>
      </c>
      <c r="D251" s="39">
        <v>0</v>
      </c>
      <c r="E251" s="39">
        <v>0</v>
      </c>
      <c r="F251" s="39">
        <v>0</v>
      </c>
      <c r="G251" s="39">
        <v>0</v>
      </c>
      <c r="H251" s="39">
        <v>0</v>
      </c>
    </row>
    <row r="252" spans="1:8" ht="18" thickBot="1">
      <c r="A252" s="49" t="s">
        <v>90</v>
      </c>
      <c r="B252" s="41" t="s">
        <v>92</v>
      </c>
      <c r="C252" s="41" t="s">
        <v>95</v>
      </c>
      <c r="D252" s="41" t="s">
        <v>96</v>
      </c>
      <c r="E252" s="41" t="s">
        <v>92</v>
      </c>
      <c r="F252" s="41" t="s">
        <v>95</v>
      </c>
      <c r="G252" s="41" t="s">
        <v>91</v>
      </c>
      <c r="H252" s="41" t="s">
        <v>92</v>
      </c>
    </row>
    <row r="253" spans="1:8" ht="18" thickTop="1">
      <c r="A253" s="50" t="s">
        <v>83</v>
      </c>
      <c r="B253" s="43" t="s">
        <v>94</v>
      </c>
      <c r="C253" s="43" t="s">
        <v>22</v>
      </c>
      <c r="D253" s="43" t="s">
        <v>22</v>
      </c>
      <c r="E253" s="43" t="s">
        <v>94</v>
      </c>
      <c r="F253" s="43" t="s">
        <v>25</v>
      </c>
      <c r="G253" s="43" t="s">
        <v>25</v>
      </c>
      <c r="H253" s="43" t="s">
        <v>94</v>
      </c>
    </row>
    <row r="254" spans="1:8" ht="18" thickBot="1">
      <c r="A254" s="51" t="s">
        <v>84</v>
      </c>
      <c r="B254" s="43" t="s">
        <v>94</v>
      </c>
      <c r="C254" s="43" t="s">
        <v>23</v>
      </c>
      <c r="D254" s="43" t="s">
        <v>23</v>
      </c>
      <c r="E254" s="43" t="s">
        <v>94</v>
      </c>
      <c r="F254" s="43" t="s">
        <v>22</v>
      </c>
      <c r="G254" s="43" t="s">
        <v>22</v>
      </c>
      <c r="H254" s="43" t="s">
        <v>94</v>
      </c>
    </row>
    <row r="255" spans="1:8">
      <c r="A255" s="50" t="s">
        <v>85</v>
      </c>
      <c r="B255" s="44" t="s">
        <v>94</v>
      </c>
      <c r="C255" s="44" t="s">
        <v>24</v>
      </c>
      <c r="D255" s="44" t="s">
        <v>24</v>
      </c>
      <c r="E255" s="44" t="s">
        <v>94</v>
      </c>
      <c r="F255" s="44" t="s">
        <v>23</v>
      </c>
      <c r="G255" s="44" t="s">
        <v>23</v>
      </c>
      <c r="H255" s="44" t="s">
        <v>94</v>
      </c>
    </row>
    <row r="256" spans="1:8" ht="18" thickBot="1">
      <c r="A256" s="52" t="s">
        <v>86</v>
      </c>
      <c r="B256" s="39" t="s">
        <v>94</v>
      </c>
      <c r="C256" s="39" t="s">
        <v>25</v>
      </c>
      <c r="D256" s="39" t="s">
        <v>25</v>
      </c>
      <c r="E256" s="39" t="s">
        <v>94</v>
      </c>
      <c r="F256" s="39" t="s">
        <v>24</v>
      </c>
      <c r="G256" s="39" t="s">
        <v>24</v>
      </c>
      <c r="H256" s="39" t="s">
        <v>94</v>
      </c>
    </row>
    <row r="257" spans="1:8" ht="18.600000000000001" thickTop="1" thickBot="1">
      <c r="A257" s="46" t="s">
        <v>87</v>
      </c>
      <c r="B257" s="34">
        <v>46244</v>
      </c>
      <c r="C257" s="34">
        <v>46245</v>
      </c>
      <c r="D257" s="34">
        <v>46246</v>
      </c>
      <c r="E257" s="34">
        <v>46247</v>
      </c>
      <c r="F257" s="34">
        <v>46248</v>
      </c>
      <c r="G257" s="34">
        <v>46249</v>
      </c>
      <c r="H257" s="34">
        <v>46250</v>
      </c>
    </row>
    <row r="258" spans="1:8" ht="18.600000000000001" thickTop="1" thickBot="1">
      <c r="A258" s="47" t="s">
        <v>88</v>
      </c>
      <c r="B258" s="37">
        <v>2</v>
      </c>
      <c r="C258" s="37">
        <v>3</v>
      </c>
      <c r="D258" s="37">
        <v>4</v>
      </c>
      <c r="E258" s="37">
        <v>5</v>
      </c>
      <c r="F258" s="37">
        <v>6</v>
      </c>
      <c r="G258" s="37">
        <v>7</v>
      </c>
      <c r="H258" s="37">
        <v>1</v>
      </c>
    </row>
    <row r="259" spans="1:8" ht="18.600000000000001" thickTop="1" thickBot="1">
      <c r="A259" s="48" t="s">
        <v>89</v>
      </c>
      <c r="B259" s="39">
        <v>0</v>
      </c>
      <c r="C259" s="39">
        <v>0</v>
      </c>
      <c r="D259" s="39">
        <v>0</v>
      </c>
      <c r="E259" s="39">
        <v>0</v>
      </c>
      <c r="F259" s="39">
        <v>0</v>
      </c>
      <c r="G259" s="39" t="s">
        <v>75</v>
      </c>
      <c r="H259" s="39">
        <v>0</v>
      </c>
    </row>
    <row r="260" spans="1:8" ht="18" thickBot="1">
      <c r="A260" s="49" t="s">
        <v>90</v>
      </c>
      <c r="B260" s="41" t="s">
        <v>95</v>
      </c>
      <c r="C260" s="41" t="s">
        <v>96</v>
      </c>
      <c r="D260" s="41" t="s">
        <v>92</v>
      </c>
      <c r="E260" s="41" t="s">
        <v>95</v>
      </c>
      <c r="F260" s="41" t="s">
        <v>96</v>
      </c>
      <c r="G260" s="41" t="s">
        <v>92</v>
      </c>
      <c r="H260" s="41" t="s">
        <v>93</v>
      </c>
    </row>
    <row r="261" spans="1:8" ht="18" thickTop="1">
      <c r="A261" s="50" t="s">
        <v>83</v>
      </c>
      <c r="B261" s="43" t="s">
        <v>24</v>
      </c>
      <c r="C261" s="43" t="s">
        <v>24</v>
      </c>
      <c r="D261" s="43" t="s">
        <v>94</v>
      </c>
      <c r="E261" s="43" t="s">
        <v>23</v>
      </c>
      <c r="F261" s="43" t="s">
        <v>23</v>
      </c>
      <c r="G261" s="43" t="s">
        <v>94</v>
      </c>
      <c r="H261" s="43" t="s">
        <v>94</v>
      </c>
    </row>
    <row r="262" spans="1:8" ht="18" thickBot="1">
      <c r="A262" s="51" t="s">
        <v>84</v>
      </c>
      <c r="B262" s="43" t="s">
        <v>25</v>
      </c>
      <c r="C262" s="43" t="s">
        <v>25</v>
      </c>
      <c r="D262" s="43" t="s">
        <v>94</v>
      </c>
      <c r="E262" s="43" t="s">
        <v>24</v>
      </c>
      <c r="F262" s="43" t="s">
        <v>24</v>
      </c>
      <c r="G262" s="43" t="s">
        <v>94</v>
      </c>
      <c r="H262" s="43" t="s">
        <v>94</v>
      </c>
    </row>
    <row r="263" spans="1:8">
      <c r="A263" s="50" t="s">
        <v>85</v>
      </c>
      <c r="B263" s="44" t="s">
        <v>22</v>
      </c>
      <c r="C263" s="44" t="s">
        <v>22</v>
      </c>
      <c r="D263" s="44" t="s">
        <v>94</v>
      </c>
      <c r="E263" s="44" t="s">
        <v>25</v>
      </c>
      <c r="F263" s="44" t="s">
        <v>25</v>
      </c>
      <c r="G263" s="44" t="s">
        <v>94</v>
      </c>
      <c r="H263" s="44" t="s">
        <v>94</v>
      </c>
    </row>
    <row r="264" spans="1:8" ht="18" thickBot="1">
      <c r="A264" s="52" t="s">
        <v>86</v>
      </c>
      <c r="B264" s="39" t="s">
        <v>23</v>
      </c>
      <c r="C264" s="39" t="s">
        <v>23</v>
      </c>
      <c r="D264" s="39" t="s">
        <v>94</v>
      </c>
      <c r="E264" s="39" t="s">
        <v>22</v>
      </c>
      <c r="F264" s="39" t="s">
        <v>22</v>
      </c>
      <c r="G264" s="39" t="s">
        <v>94</v>
      </c>
      <c r="H264" s="39" t="s">
        <v>94</v>
      </c>
    </row>
    <row r="265" spans="1:8" ht="18.600000000000001" thickTop="1" thickBot="1">
      <c r="A265" s="46" t="s">
        <v>87</v>
      </c>
      <c r="B265" s="34">
        <v>46251</v>
      </c>
      <c r="C265" s="34">
        <v>46252</v>
      </c>
      <c r="D265" s="34">
        <v>46253</v>
      </c>
      <c r="E265" s="34">
        <v>46254</v>
      </c>
      <c r="F265" s="34">
        <v>46255</v>
      </c>
      <c r="G265" s="34">
        <v>46256</v>
      </c>
      <c r="H265" s="34">
        <v>46257</v>
      </c>
    </row>
    <row r="266" spans="1:8" ht="18.600000000000001" thickTop="1" thickBot="1">
      <c r="A266" s="47" t="s">
        <v>88</v>
      </c>
      <c r="B266" s="37">
        <v>2</v>
      </c>
      <c r="C266" s="37">
        <v>3</v>
      </c>
      <c r="D266" s="37">
        <v>4</v>
      </c>
      <c r="E266" s="37">
        <v>5</v>
      </c>
      <c r="F266" s="37">
        <v>6</v>
      </c>
      <c r="G266" s="37">
        <v>7</v>
      </c>
      <c r="H266" s="37">
        <v>1</v>
      </c>
    </row>
    <row r="267" spans="1:8" ht="18.600000000000001" thickTop="1" thickBot="1">
      <c r="A267" s="48" t="s">
        <v>89</v>
      </c>
      <c r="B267" s="39" t="s">
        <v>102</v>
      </c>
      <c r="C267" s="39">
        <v>0</v>
      </c>
      <c r="D267" s="39">
        <v>0</v>
      </c>
      <c r="E267" s="39">
        <v>0</v>
      </c>
      <c r="F267" s="39">
        <v>0</v>
      </c>
      <c r="G267" s="39">
        <v>0</v>
      </c>
      <c r="H267" s="39">
        <v>0</v>
      </c>
    </row>
    <row r="268" spans="1:8" ht="18" thickBot="1">
      <c r="A268" s="49" t="s">
        <v>90</v>
      </c>
      <c r="B268" s="41" t="s">
        <v>91</v>
      </c>
      <c r="C268" s="41" t="s">
        <v>92</v>
      </c>
      <c r="D268" s="41" t="s">
        <v>95</v>
      </c>
      <c r="E268" s="41" t="s">
        <v>96</v>
      </c>
      <c r="F268" s="41" t="s">
        <v>92</v>
      </c>
      <c r="G268" s="41" t="s">
        <v>93</v>
      </c>
      <c r="H268" s="41" t="s">
        <v>91</v>
      </c>
    </row>
    <row r="269" spans="1:8" ht="18" thickTop="1">
      <c r="A269" s="50" t="s">
        <v>83</v>
      </c>
      <c r="B269" s="43" t="s">
        <v>22</v>
      </c>
      <c r="C269" s="43" t="s">
        <v>94</v>
      </c>
      <c r="D269" s="43" t="s">
        <v>22</v>
      </c>
      <c r="E269" s="43" t="s">
        <v>25</v>
      </c>
      <c r="F269" s="43" t="s">
        <v>94</v>
      </c>
      <c r="G269" s="43" t="s">
        <v>94</v>
      </c>
      <c r="H269" s="43" t="s">
        <v>24</v>
      </c>
    </row>
    <row r="270" spans="1:8" ht="18" thickBot="1">
      <c r="A270" s="51" t="s">
        <v>84</v>
      </c>
      <c r="B270" s="43" t="s">
        <v>23</v>
      </c>
      <c r="C270" s="43" t="s">
        <v>94</v>
      </c>
      <c r="D270" s="43" t="s">
        <v>23</v>
      </c>
      <c r="E270" s="43" t="s">
        <v>22</v>
      </c>
      <c r="F270" s="43" t="s">
        <v>94</v>
      </c>
      <c r="G270" s="43" t="s">
        <v>94</v>
      </c>
      <c r="H270" s="43" t="s">
        <v>25</v>
      </c>
    </row>
    <row r="271" spans="1:8">
      <c r="A271" s="50" t="s">
        <v>85</v>
      </c>
      <c r="B271" s="44" t="s">
        <v>24</v>
      </c>
      <c r="C271" s="44" t="s">
        <v>94</v>
      </c>
      <c r="D271" s="44" t="s">
        <v>24</v>
      </c>
      <c r="E271" s="44" t="s">
        <v>23</v>
      </c>
      <c r="F271" s="44" t="s">
        <v>94</v>
      </c>
      <c r="G271" s="44" t="s">
        <v>94</v>
      </c>
      <c r="H271" s="44" t="s">
        <v>22</v>
      </c>
    </row>
    <row r="272" spans="1:8" ht="18" thickBot="1">
      <c r="A272" s="52" t="s">
        <v>86</v>
      </c>
      <c r="B272" s="39" t="s">
        <v>25</v>
      </c>
      <c r="C272" s="39" t="s">
        <v>94</v>
      </c>
      <c r="D272" s="39" t="s">
        <v>25</v>
      </c>
      <c r="E272" s="39" t="s">
        <v>24</v>
      </c>
      <c r="F272" s="39" t="s">
        <v>94</v>
      </c>
      <c r="G272" s="39" t="s">
        <v>94</v>
      </c>
      <c r="H272" s="39" t="s">
        <v>23</v>
      </c>
    </row>
    <row r="273" spans="1:8" ht="18.600000000000001" thickTop="1" thickBot="1">
      <c r="A273" s="46" t="s">
        <v>87</v>
      </c>
      <c r="B273" s="34">
        <v>46258</v>
      </c>
      <c r="C273" s="34">
        <v>46259</v>
      </c>
      <c r="D273" s="34">
        <v>46260</v>
      </c>
      <c r="E273" s="34">
        <v>46261</v>
      </c>
      <c r="F273" s="34">
        <v>46262</v>
      </c>
      <c r="G273" s="34">
        <v>46263</v>
      </c>
      <c r="H273" s="34">
        <v>46264</v>
      </c>
    </row>
    <row r="274" spans="1:8" ht="18.600000000000001" thickTop="1" thickBot="1">
      <c r="A274" s="47" t="s">
        <v>88</v>
      </c>
      <c r="B274" s="37">
        <v>2</v>
      </c>
      <c r="C274" s="37">
        <v>3</v>
      </c>
      <c r="D274" s="37">
        <v>4</v>
      </c>
      <c r="E274" s="37">
        <v>5</v>
      </c>
      <c r="F274" s="37">
        <v>6</v>
      </c>
      <c r="G274" s="37">
        <v>7</v>
      </c>
      <c r="H274" s="37">
        <v>1</v>
      </c>
    </row>
    <row r="275" spans="1:8" ht="18.600000000000001" thickTop="1" thickBot="1">
      <c r="A275" s="48" t="s">
        <v>89</v>
      </c>
      <c r="B275" s="39">
        <v>0</v>
      </c>
      <c r="C275" s="39">
        <v>0</v>
      </c>
      <c r="D275" s="39">
        <v>0</v>
      </c>
      <c r="E275" s="39">
        <v>0</v>
      </c>
      <c r="F275" s="39">
        <v>0</v>
      </c>
      <c r="G275" s="39">
        <v>0</v>
      </c>
      <c r="H275" s="39">
        <v>0</v>
      </c>
    </row>
    <row r="276" spans="1:8" ht="18" thickBot="1">
      <c r="A276" s="49" t="s">
        <v>90</v>
      </c>
      <c r="B276" s="41" t="s">
        <v>92</v>
      </c>
      <c r="C276" s="41" t="s">
        <v>95</v>
      </c>
      <c r="D276" s="41" t="s">
        <v>96</v>
      </c>
      <c r="E276" s="41" t="s">
        <v>92</v>
      </c>
      <c r="F276" s="41" t="s">
        <v>95</v>
      </c>
      <c r="G276" s="41" t="s">
        <v>91</v>
      </c>
      <c r="H276" s="41" t="s">
        <v>92</v>
      </c>
    </row>
    <row r="277" spans="1:8" ht="18" thickTop="1">
      <c r="A277" s="50" t="s">
        <v>83</v>
      </c>
      <c r="B277" s="43" t="s">
        <v>94</v>
      </c>
      <c r="C277" s="43" t="s">
        <v>25</v>
      </c>
      <c r="D277" s="43" t="s">
        <v>23</v>
      </c>
      <c r="E277" s="43" t="s">
        <v>94</v>
      </c>
      <c r="F277" s="43" t="s">
        <v>24</v>
      </c>
      <c r="G277" s="43" t="s">
        <v>22</v>
      </c>
      <c r="H277" s="43" t="s">
        <v>94</v>
      </c>
    </row>
    <row r="278" spans="1:8" ht="18" thickBot="1">
      <c r="A278" s="51" t="s">
        <v>84</v>
      </c>
      <c r="B278" s="43" t="s">
        <v>94</v>
      </c>
      <c r="C278" s="43" t="s">
        <v>22</v>
      </c>
      <c r="D278" s="43" t="s">
        <v>24</v>
      </c>
      <c r="E278" s="43" t="s">
        <v>94</v>
      </c>
      <c r="F278" s="43" t="s">
        <v>25</v>
      </c>
      <c r="G278" s="43" t="s">
        <v>23</v>
      </c>
      <c r="H278" s="43" t="s">
        <v>94</v>
      </c>
    </row>
    <row r="279" spans="1:8">
      <c r="A279" s="50" t="s">
        <v>85</v>
      </c>
      <c r="B279" s="44" t="s">
        <v>94</v>
      </c>
      <c r="C279" s="44" t="s">
        <v>23</v>
      </c>
      <c r="D279" s="44" t="s">
        <v>25</v>
      </c>
      <c r="E279" s="44" t="s">
        <v>94</v>
      </c>
      <c r="F279" s="44" t="s">
        <v>22</v>
      </c>
      <c r="G279" s="44" t="s">
        <v>24</v>
      </c>
      <c r="H279" s="44" t="s">
        <v>94</v>
      </c>
    </row>
    <row r="280" spans="1:8" ht="18" thickBot="1">
      <c r="A280" s="52" t="s">
        <v>86</v>
      </c>
      <c r="B280" s="39" t="s">
        <v>94</v>
      </c>
      <c r="C280" s="39" t="s">
        <v>24</v>
      </c>
      <c r="D280" s="39" t="s">
        <v>22</v>
      </c>
      <c r="E280" s="39" t="s">
        <v>94</v>
      </c>
      <c r="F280" s="39" t="s">
        <v>23</v>
      </c>
      <c r="G280" s="39" t="s">
        <v>25</v>
      </c>
      <c r="H280" s="39" t="s">
        <v>94</v>
      </c>
    </row>
    <row r="281" spans="1:8" ht="18.600000000000001" thickTop="1" thickBot="1">
      <c r="A281" s="46" t="s">
        <v>87</v>
      </c>
      <c r="B281" s="34">
        <v>46265</v>
      </c>
      <c r="C281" s="34">
        <v>46266</v>
      </c>
      <c r="D281" s="34">
        <v>46267</v>
      </c>
      <c r="E281" s="34">
        <v>46268</v>
      </c>
      <c r="F281" s="34">
        <v>46269</v>
      </c>
      <c r="G281" s="34">
        <v>46270</v>
      </c>
      <c r="H281" s="34">
        <v>46271</v>
      </c>
    </row>
    <row r="282" spans="1:8" ht="18.600000000000001" thickTop="1" thickBot="1">
      <c r="A282" s="47" t="s">
        <v>88</v>
      </c>
      <c r="B282" s="37">
        <v>2</v>
      </c>
      <c r="C282" s="37">
        <v>3</v>
      </c>
      <c r="D282" s="37">
        <v>4</v>
      </c>
      <c r="E282" s="37">
        <v>5</v>
      </c>
      <c r="F282" s="37">
        <v>6</v>
      </c>
      <c r="G282" s="37">
        <v>7</v>
      </c>
      <c r="H282" s="37">
        <v>1</v>
      </c>
    </row>
    <row r="283" spans="1:8" ht="18.600000000000001" thickTop="1" thickBot="1">
      <c r="A283" s="48" t="s">
        <v>89</v>
      </c>
      <c r="B283" s="39">
        <v>0</v>
      </c>
      <c r="C283" s="39">
        <v>0</v>
      </c>
      <c r="D283" s="39">
        <v>0</v>
      </c>
      <c r="E283" s="39">
        <v>0</v>
      </c>
      <c r="F283" s="39">
        <v>0</v>
      </c>
      <c r="G283" s="39">
        <v>0</v>
      </c>
      <c r="H283" s="39">
        <v>0</v>
      </c>
    </row>
    <row r="284" spans="1:8" ht="18" thickBot="1">
      <c r="A284" s="49" t="s">
        <v>90</v>
      </c>
      <c r="B284" s="41" t="s">
        <v>95</v>
      </c>
      <c r="C284" s="41" t="s">
        <v>96</v>
      </c>
      <c r="D284" s="41" t="s">
        <v>92</v>
      </c>
      <c r="E284" s="41" t="s">
        <v>95</v>
      </c>
      <c r="F284" s="41" t="s">
        <v>96</v>
      </c>
      <c r="G284" s="41" t="s">
        <v>92</v>
      </c>
      <c r="H284" s="41" t="s">
        <v>93</v>
      </c>
    </row>
    <row r="285" spans="1:8" ht="18" thickTop="1">
      <c r="A285" s="50" t="s">
        <v>83</v>
      </c>
      <c r="B285" s="43" t="s">
        <v>23</v>
      </c>
      <c r="C285" s="43" t="s">
        <v>25</v>
      </c>
      <c r="D285" s="43" t="s">
        <v>94</v>
      </c>
      <c r="E285" s="43" t="s">
        <v>22</v>
      </c>
      <c r="F285" s="43" t="s">
        <v>24</v>
      </c>
      <c r="G285" s="43" t="s">
        <v>94</v>
      </c>
      <c r="H285" s="43" t="s">
        <v>94</v>
      </c>
    </row>
    <row r="286" spans="1:8" ht="18" thickBot="1">
      <c r="A286" s="51" t="s">
        <v>84</v>
      </c>
      <c r="B286" s="43" t="s">
        <v>24</v>
      </c>
      <c r="C286" s="43" t="s">
        <v>22</v>
      </c>
      <c r="D286" s="43" t="s">
        <v>94</v>
      </c>
      <c r="E286" s="43" t="s">
        <v>23</v>
      </c>
      <c r="F286" s="43" t="s">
        <v>25</v>
      </c>
      <c r="G286" s="43" t="s">
        <v>94</v>
      </c>
      <c r="H286" s="43" t="s">
        <v>94</v>
      </c>
    </row>
    <row r="287" spans="1:8">
      <c r="A287" s="50" t="s">
        <v>85</v>
      </c>
      <c r="B287" s="44" t="s">
        <v>25</v>
      </c>
      <c r="C287" s="44" t="s">
        <v>23</v>
      </c>
      <c r="D287" s="44" t="s">
        <v>94</v>
      </c>
      <c r="E287" s="44" t="s">
        <v>24</v>
      </c>
      <c r="F287" s="44" t="s">
        <v>22</v>
      </c>
      <c r="G287" s="44" t="s">
        <v>94</v>
      </c>
      <c r="H287" s="44" t="s">
        <v>94</v>
      </c>
    </row>
    <row r="288" spans="1:8" ht="18" thickBot="1">
      <c r="A288" s="52" t="s">
        <v>86</v>
      </c>
      <c r="B288" s="39" t="s">
        <v>22</v>
      </c>
      <c r="C288" s="39" t="s">
        <v>24</v>
      </c>
      <c r="D288" s="39" t="s">
        <v>94</v>
      </c>
      <c r="E288" s="39" t="s">
        <v>25</v>
      </c>
      <c r="F288" s="39" t="s">
        <v>23</v>
      </c>
      <c r="G288" s="39" t="s">
        <v>94</v>
      </c>
      <c r="H288" s="39" t="s">
        <v>94</v>
      </c>
    </row>
    <row r="289" spans="1:8" ht="18.600000000000001" thickTop="1" thickBot="1">
      <c r="A289" s="46" t="s">
        <v>87</v>
      </c>
      <c r="B289" s="34">
        <v>46272</v>
      </c>
      <c r="C289" s="34">
        <v>46273</v>
      </c>
      <c r="D289" s="34">
        <v>46274</v>
      </c>
      <c r="E289" s="34">
        <v>46275</v>
      </c>
      <c r="F289" s="34">
        <v>46276</v>
      </c>
      <c r="G289" s="34">
        <v>46277</v>
      </c>
      <c r="H289" s="34">
        <v>46278</v>
      </c>
    </row>
    <row r="290" spans="1:8" ht="18.600000000000001" thickTop="1" thickBot="1">
      <c r="A290" s="47" t="s">
        <v>88</v>
      </c>
      <c r="B290" s="37">
        <v>2</v>
      </c>
      <c r="C290" s="37">
        <v>3</v>
      </c>
      <c r="D290" s="37">
        <v>4</v>
      </c>
      <c r="E290" s="37">
        <v>5</v>
      </c>
      <c r="F290" s="37">
        <v>6</v>
      </c>
      <c r="G290" s="37">
        <v>7</v>
      </c>
      <c r="H290" s="37">
        <v>1</v>
      </c>
    </row>
    <row r="291" spans="1:8" ht="18.600000000000001" thickTop="1" thickBot="1">
      <c r="A291" s="48" t="s">
        <v>89</v>
      </c>
      <c r="B291" s="39">
        <v>0</v>
      </c>
      <c r="C291" s="39">
        <v>0</v>
      </c>
      <c r="D291" s="39">
        <v>0</v>
      </c>
      <c r="E291" s="39">
        <v>0</v>
      </c>
      <c r="F291" s="39">
        <v>0</v>
      </c>
      <c r="G291" s="39">
        <v>0</v>
      </c>
      <c r="H291" s="39">
        <v>0</v>
      </c>
    </row>
    <row r="292" spans="1:8" ht="18" thickBot="1">
      <c r="A292" s="49" t="s">
        <v>90</v>
      </c>
      <c r="B292" s="41" t="s">
        <v>96</v>
      </c>
      <c r="C292" s="41" t="s">
        <v>92</v>
      </c>
      <c r="D292" s="41" t="s">
        <v>95</v>
      </c>
      <c r="E292" s="41" t="s">
        <v>96</v>
      </c>
      <c r="F292" s="41" t="s">
        <v>92</v>
      </c>
      <c r="G292" s="41" t="s">
        <v>93</v>
      </c>
      <c r="H292" s="41" t="s">
        <v>91</v>
      </c>
    </row>
    <row r="293" spans="1:8" ht="18" thickTop="1">
      <c r="A293" s="50" t="s">
        <v>83</v>
      </c>
      <c r="B293" s="43" t="s">
        <v>23</v>
      </c>
      <c r="C293" s="43" t="s">
        <v>94</v>
      </c>
      <c r="D293" s="43" t="s">
        <v>25</v>
      </c>
      <c r="E293" s="43" t="s">
        <v>22</v>
      </c>
      <c r="F293" s="43" t="s">
        <v>94</v>
      </c>
      <c r="G293" s="43" t="s">
        <v>94</v>
      </c>
      <c r="H293" s="43" t="s">
        <v>25</v>
      </c>
    </row>
    <row r="294" spans="1:8" ht="18" thickBot="1">
      <c r="A294" s="51" t="s">
        <v>84</v>
      </c>
      <c r="B294" s="43" t="s">
        <v>24</v>
      </c>
      <c r="C294" s="43" t="s">
        <v>94</v>
      </c>
      <c r="D294" s="43" t="s">
        <v>22</v>
      </c>
      <c r="E294" s="43" t="s">
        <v>23</v>
      </c>
      <c r="F294" s="43" t="s">
        <v>94</v>
      </c>
      <c r="G294" s="43" t="s">
        <v>94</v>
      </c>
      <c r="H294" s="43" t="s">
        <v>22</v>
      </c>
    </row>
    <row r="295" spans="1:8">
      <c r="A295" s="50" t="s">
        <v>85</v>
      </c>
      <c r="B295" s="44" t="s">
        <v>25</v>
      </c>
      <c r="C295" s="44" t="s">
        <v>94</v>
      </c>
      <c r="D295" s="44" t="s">
        <v>23</v>
      </c>
      <c r="E295" s="44" t="s">
        <v>24</v>
      </c>
      <c r="F295" s="44" t="s">
        <v>94</v>
      </c>
      <c r="G295" s="44" t="s">
        <v>94</v>
      </c>
      <c r="H295" s="44" t="s">
        <v>23</v>
      </c>
    </row>
    <row r="296" spans="1:8" ht="18" thickBot="1">
      <c r="A296" s="52" t="s">
        <v>86</v>
      </c>
      <c r="B296" s="39" t="s">
        <v>22</v>
      </c>
      <c r="C296" s="39" t="s">
        <v>94</v>
      </c>
      <c r="D296" s="39" t="s">
        <v>24</v>
      </c>
      <c r="E296" s="39" t="s">
        <v>25</v>
      </c>
      <c r="F296" s="39" t="s">
        <v>94</v>
      </c>
      <c r="G296" s="39" t="s">
        <v>94</v>
      </c>
      <c r="H296" s="39" t="s">
        <v>24</v>
      </c>
    </row>
    <row r="297" spans="1:8" ht="18.600000000000001" thickTop="1" thickBot="1">
      <c r="A297" s="46" t="s">
        <v>87</v>
      </c>
      <c r="B297" s="34">
        <v>46279</v>
      </c>
      <c r="C297" s="34">
        <v>46280</v>
      </c>
      <c r="D297" s="34">
        <v>46281</v>
      </c>
      <c r="E297" s="34">
        <v>46282</v>
      </c>
      <c r="F297" s="34">
        <v>46283</v>
      </c>
      <c r="G297" s="34">
        <v>46284</v>
      </c>
      <c r="H297" s="34">
        <v>46285</v>
      </c>
    </row>
    <row r="298" spans="1:8" ht="18.600000000000001" thickTop="1" thickBot="1">
      <c r="A298" s="47" t="s">
        <v>88</v>
      </c>
      <c r="B298" s="37">
        <v>2</v>
      </c>
      <c r="C298" s="37">
        <v>3</v>
      </c>
      <c r="D298" s="37">
        <v>4</v>
      </c>
      <c r="E298" s="37">
        <v>5</v>
      </c>
      <c r="F298" s="37">
        <v>6</v>
      </c>
      <c r="G298" s="37">
        <v>7</v>
      </c>
      <c r="H298" s="37">
        <v>1</v>
      </c>
    </row>
    <row r="299" spans="1:8" ht="18.600000000000001" thickTop="1" thickBot="1">
      <c r="A299" s="48" t="s">
        <v>89</v>
      </c>
      <c r="B299" s="39">
        <v>0</v>
      </c>
      <c r="C299" s="39">
        <v>0</v>
      </c>
      <c r="D299" s="39">
        <v>0</v>
      </c>
      <c r="E299" s="39">
        <v>0</v>
      </c>
      <c r="F299" s="39">
        <v>0</v>
      </c>
      <c r="G299" s="39">
        <v>0</v>
      </c>
      <c r="H299" s="39">
        <v>0</v>
      </c>
    </row>
    <row r="300" spans="1:8" ht="18" thickBot="1">
      <c r="A300" s="49" t="s">
        <v>90</v>
      </c>
      <c r="B300" s="41" t="s">
        <v>92</v>
      </c>
      <c r="C300" s="41" t="s">
        <v>95</v>
      </c>
      <c r="D300" s="41" t="s">
        <v>96</v>
      </c>
      <c r="E300" s="41" t="s">
        <v>92</v>
      </c>
      <c r="F300" s="41" t="s">
        <v>95</v>
      </c>
      <c r="G300" s="41" t="s">
        <v>91</v>
      </c>
      <c r="H300" s="41" t="s">
        <v>92</v>
      </c>
    </row>
    <row r="301" spans="1:8" ht="18" thickTop="1">
      <c r="A301" s="50" t="s">
        <v>83</v>
      </c>
      <c r="B301" s="43" t="s">
        <v>94</v>
      </c>
      <c r="C301" s="43" t="s">
        <v>24</v>
      </c>
      <c r="D301" s="43" t="s">
        <v>24</v>
      </c>
      <c r="E301" s="43" t="s">
        <v>94</v>
      </c>
      <c r="F301" s="43" t="s">
        <v>23</v>
      </c>
      <c r="G301" s="43" t="s">
        <v>23</v>
      </c>
      <c r="H301" s="43" t="s">
        <v>94</v>
      </c>
    </row>
    <row r="302" spans="1:8" ht="18" thickBot="1">
      <c r="A302" s="51" t="s">
        <v>84</v>
      </c>
      <c r="B302" s="43" t="s">
        <v>94</v>
      </c>
      <c r="C302" s="43" t="s">
        <v>25</v>
      </c>
      <c r="D302" s="43" t="s">
        <v>25</v>
      </c>
      <c r="E302" s="43" t="s">
        <v>94</v>
      </c>
      <c r="F302" s="43" t="s">
        <v>24</v>
      </c>
      <c r="G302" s="43" t="s">
        <v>24</v>
      </c>
      <c r="H302" s="43" t="s">
        <v>94</v>
      </c>
    </row>
    <row r="303" spans="1:8">
      <c r="A303" s="50" t="s">
        <v>85</v>
      </c>
      <c r="B303" s="44" t="s">
        <v>94</v>
      </c>
      <c r="C303" s="44" t="s">
        <v>22</v>
      </c>
      <c r="D303" s="44" t="s">
        <v>22</v>
      </c>
      <c r="E303" s="44" t="s">
        <v>94</v>
      </c>
      <c r="F303" s="44" t="s">
        <v>25</v>
      </c>
      <c r="G303" s="44" t="s">
        <v>25</v>
      </c>
      <c r="H303" s="44" t="s">
        <v>94</v>
      </c>
    </row>
    <row r="304" spans="1:8" ht="18" thickBot="1">
      <c r="A304" s="52" t="s">
        <v>86</v>
      </c>
      <c r="B304" s="39" t="s">
        <v>94</v>
      </c>
      <c r="C304" s="39" t="s">
        <v>23</v>
      </c>
      <c r="D304" s="39" t="s">
        <v>23</v>
      </c>
      <c r="E304" s="39" t="s">
        <v>94</v>
      </c>
      <c r="F304" s="39" t="s">
        <v>22</v>
      </c>
      <c r="G304" s="39" t="s">
        <v>22</v>
      </c>
      <c r="H304" s="39" t="s">
        <v>94</v>
      </c>
    </row>
    <row r="305" spans="1:8" ht="18.600000000000001" thickTop="1" thickBot="1">
      <c r="A305" s="46" t="s">
        <v>87</v>
      </c>
      <c r="B305" s="34">
        <v>46286</v>
      </c>
      <c r="C305" s="34">
        <v>46287</v>
      </c>
      <c r="D305" s="34">
        <v>46288</v>
      </c>
      <c r="E305" s="34">
        <v>46289</v>
      </c>
      <c r="F305" s="34">
        <v>46290</v>
      </c>
      <c r="G305" s="34">
        <v>46291</v>
      </c>
      <c r="H305" s="34">
        <v>46292</v>
      </c>
    </row>
    <row r="306" spans="1:8" ht="18.600000000000001" thickTop="1" thickBot="1">
      <c r="A306" s="47" t="s">
        <v>88</v>
      </c>
      <c r="B306" s="37">
        <v>2</v>
      </c>
      <c r="C306" s="37">
        <v>3</v>
      </c>
      <c r="D306" s="37">
        <v>4</v>
      </c>
      <c r="E306" s="37">
        <v>5</v>
      </c>
      <c r="F306" s="37">
        <v>6</v>
      </c>
      <c r="G306" s="37">
        <v>7</v>
      </c>
      <c r="H306" s="37">
        <v>1</v>
      </c>
    </row>
    <row r="307" spans="1:8" ht="18.600000000000001" thickTop="1" thickBot="1">
      <c r="A307" s="48" t="s">
        <v>89</v>
      </c>
      <c r="B307" s="39">
        <v>0</v>
      </c>
      <c r="C307" s="39">
        <v>0</v>
      </c>
      <c r="D307" s="39">
        <v>0</v>
      </c>
      <c r="E307" s="39" t="s">
        <v>103</v>
      </c>
      <c r="F307" s="39" t="s">
        <v>104</v>
      </c>
      <c r="G307" s="39">
        <v>0</v>
      </c>
      <c r="H307" s="39">
        <v>0</v>
      </c>
    </row>
    <row r="308" spans="1:8" ht="18" thickBot="1">
      <c r="A308" s="49" t="s">
        <v>90</v>
      </c>
      <c r="B308" s="41" t="s">
        <v>95</v>
      </c>
      <c r="C308" s="41" t="s">
        <v>96</v>
      </c>
      <c r="D308" s="41" t="s">
        <v>92</v>
      </c>
      <c r="E308" s="41" t="s">
        <v>93</v>
      </c>
      <c r="F308" s="41" t="s">
        <v>91</v>
      </c>
      <c r="G308" s="41" t="s">
        <v>92</v>
      </c>
      <c r="H308" s="41" t="s">
        <v>93</v>
      </c>
    </row>
    <row r="309" spans="1:8" ht="18" thickTop="1">
      <c r="A309" s="50" t="s">
        <v>83</v>
      </c>
      <c r="B309" s="43" t="s">
        <v>22</v>
      </c>
      <c r="C309" s="43" t="s">
        <v>22</v>
      </c>
      <c r="D309" s="43" t="s">
        <v>94</v>
      </c>
      <c r="E309" s="43" t="s">
        <v>94</v>
      </c>
      <c r="F309" s="43" t="s">
        <v>25</v>
      </c>
      <c r="G309" s="43" t="s">
        <v>94</v>
      </c>
      <c r="H309" s="43" t="s">
        <v>94</v>
      </c>
    </row>
    <row r="310" spans="1:8" ht="18" thickBot="1">
      <c r="A310" s="51" t="s">
        <v>84</v>
      </c>
      <c r="B310" s="43" t="s">
        <v>23</v>
      </c>
      <c r="C310" s="43" t="s">
        <v>23</v>
      </c>
      <c r="D310" s="43" t="s">
        <v>94</v>
      </c>
      <c r="E310" s="43" t="s">
        <v>94</v>
      </c>
      <c r="F310" s="43" t="s">
        <v>22</v>
      </c>
      <c r="G310" s="43" t="s">
        <v>94</v>
      </c>
      <c r="H310" s="43" t="s">
        <v>94</v>
      </c>
    </row>
    <row r="311" spans="1:8">
      <c r="A311" s="50" t="s">
        <v>85</v>
      </c>
      <c r="B311" s="44" t="s">
        <v>24</v>
      </c>
      <c r="C311" s="44" t="s">
        <v>24</v>
      </c>
      <c r="D311" s="44" t="s">
        <v>94</v>
      </c>
      <c r="E311" s="44" t="s">
        <v>94</v>
      </c>
      <c r="F311" s="44" t="s">
        <v>23</v>
      </c>
      <c r="G311" s="44" t="s">
        <v>94</v>
      </c>
      <c r="H311" s="44" t="s">
        <v>94</v>
      </c>
    </row>
    <row r="312" spans="1:8" ht="18" thickBot="1">
      <c r="A312" s="52" t="s">
        <v>86</v>
      </c>
      <c r="B312" s="39" t="s">
        <v>25</v>
      </c>
      <c r="C312" s="39" t="s">
        <v>25</v>
      </c>
      <c r="D312" s="39" t="s">
        <v>94</v>
      </c>
      <c r="E312" s="39" t="s">
        <v>94</v>
      </c>
      <c r="F312" s="39" t="s">
        <v>24</v>
      </c>
      <c r="G312" s="39" t="s">
        <v>94</v>
      </c>
      <c r="H312" s="39" t="s">
        <v>94</v>
      </c>
    </row>
    <row r="313" spans="1:8" ht="18.600000000000001" thickTop="1" thickBot="1">
      <c r="A313" s="46" t="s">
        <v>87</v>
      </c>
      <c r="B313" s="34">
        <v>46293</v>
      </c>
      <c r="C313" s="34">
        <v>46294</v>
      </c>
      <c r="D313" s="34">
        <v>46295</v>
      </c>
      <c r="E313" s="34">
        <v>46296</v>
      </c>
      <c r="F313" s="34">
        <v>46297</v>
      </c>
      <c r="G313" s="34">
        <v>46298</v>
      </c>
      <c r="H313" s="34">
        <v>46299</v>
      </c>
    </row>
    <row r="314" spans="1:8" ht="18.600000000000001" thickTop="1" thickBot="1">
      <c r="A314" s="47" t="s">
        <v>88</v>
      </c>
      <c r="B314" s="37">
        <v>2</v>
      </c>
      <c r="C314" s="37">
        <v>3</v>
      </c>
      <c r="D314" s="37">
        <v>4</v>
      </c>
      <c r="E314" s="37">
        <v>5</v>
      </c>
      <c r="F314" s="37">
        <v>6</v>
      </c>
      <c r="G314" s="37">
        <v>7</v>
      </c>
      <c r="H314" s="37">
        <v>1</v>
      </c>
    </row>
    <row r="315" spans="1:8" ht="18.600000000000001" thickTop="1" thickBot="1">
      <c r="A315" s="48" t="s">
        <v>89</v>
      </c>
      <c r="B315" s="39">
        <v>0</v>
      </c>
      <c r="C315" s="39">
        <v>0</v>
      </c>
      <c r="D315" s="39">
        <v>0</v>
      </c>
      <c r="E315" s="39">
        <v>0</v>
      </c>
      <c r="F315" s="39">
        <v>0</v>
      </c>
      <c r="G315" s="39" t="s">
        <v>79</v>
      </c>
      <c r="H315" s="39">
        <v>0</v>
      </c>
    </row>
    <row r="316" spans="1:8" ht="18" thickBot="1">
      <c r="A316" s="49" t="s">
        <v>90</v>
      </c>
      <c r="B316" s="41" t="s">
        <v>96</v>
      </c>
      <c r="C316" s="41" t="s">
        <v>92</v>
      </c>
      <c r="D316" s="41" t="s">
        <v>95</v>
      </c>
      <c r="E316" s="41" t="s">
        <v>96</v>
      </c>
      <c r="F316" s="41" t="s">
        <v>92</v>
      </c>
      <c r="G316" s="41" t="s">
        <v>93</v>
      </c>
      <c r="H316" s="41" t="s">
        <v>91</v>
      </c>
    </row>
    <row r="317" spans="1:8" ht="18" thickTop="1">
      <c r="A317" s="50" t="s">
        <v>83</v>
      </c>
      <c r="B317" s="43" t="s">
        <v>24</v>
      </c>
      <c r="C317" s="43" t="s">
        <v>94</v>
      </c>
      <c r="D317" s="43" t="s">
        <v>25</v>
      </c>
      <c r="E317" s="43" t="s">
        <v>23</v>
      </c>
      <c r="F317" s="43" t="s">
        <v>94</v>
      </c>
      <c r="G317" s="43" t="s">
        <v>94</v>
      </c>
      <c r="H317" s="43" t="s">
        <v>22</v>
      </c>
    </row>
    <row r="318" spans="1:8" ht="18" thickBot="1">
      <c r="A318" s="51" t="s">
        <v>84</v>
      </c>
      <c r="B318" s="43" t="s">
        <v>25</v>
      </c>
      <c r="C318" s="43" t="s">
        <v>94</v>
      </c>
      <c r="D318" s="43" t="s">
        <v>22</v>
      </c>
      <c r="E318" s="43" t="s">
        <v>24</v>
      </c>
      <c r="F318" s="43" t="s">
        <v>94</v>
      </c>
      <c r="G318" s="43" t="s">
        <v>94</v>
      </c>
      <c r="H318" s="43" t="s">
        <v>23</v>
      </c>
    </row>
    <row r="319" spans="1:8">
      <c r="A319" s="50" t="s">
        <v>85</v>
      </c>
      <c r="B319" s="44" t="s">
        <v>22</v>
      </c>
      <c r="C319" s="44" t="s">
        <v>94</v>
      </c>
      <c r="D319" s="44" t="s">
        <v>23</v>
      </c>
      <c r="E319" s="44" t="s">
        <v>25</v>
      </c>
      <c r="F319" s="44" t="s">
        <v>94</v>
      </c>
      <c r="G319" s="44" t="s">
        <v>94</v>
      </c>
      <c r="H319" s="44" t="s">
        <v>24</v>
      </c>
    </row>
    <row r="320" spans="1:8" ht="18" thickBot="1">
      <c r="A320" s="52" t="s">
        <v>86</v>
      </c>
      <c r="B320" s="39" t="s">
        <v>23</v>
      </c>
      <c r="C320" s="39" t="s">
        <v>94</v>
      </c>
      <c r="D320" s="39" t="s">
        <v>24</v>
      </c>
      <c r="E320" s="39" t="s">
        <v>22</v>
      </c>
      <c r="F320" s="39" t="s">
        <v>94</v>
      </c>
      <c r="G320" s="39" t="s">
        <v>94</v>
      </c>
      <c r="H320" s="39" t="s">
        <v>25</v>
      </c>
    </row>
    <row r="321" spans="1:8" ht="18.600000000000001" thickTop="1" thickBot="1">
      <c r="A321" s="46" t="s">
        <v>87</v>
      </c>
      <c r="B321" s="34">
        <v>46300</v>
      </c>
      <c r="C321" s="34">
        <v>46301</v>
      </c>
      <c r="D321" s="34">
        <v>46302</v>
      </c>
      <c r="E321" s="34">
        <v>46303</v>
      </c>
      <c r="F321" s="34">
        <v>46304</v>
      </c>
      <c r="G321" s="34">
        <v>46305</v>
      </c>
      <c r="H321" s="34">
        <v>46306</v>
      </c>
    </row>
    <row r="322" spans="1:8" ht="18.600000000000001" thickTop="1" thickBot="1">
      <c r="A322" s="47" t="s">
        <v>88</v>
      </c>
      <c r="B322" s="37">
        <v>2</v>
      </c>
      <c r="C322" s="37">
        <v>3</v>
      </c>
      <c r="D322" s="37">
        <v>4</v>
      </c>
      <c r="E322" s="37">
        <v>5</v>
      </c>
      <c r="F322" s="37">
        <v>6</v>
      </c>
      <c r="G322" s="37">
        <v>7</v>
      </c>
      <c r="H322" s="37">
        <v>1</v>
      </c>
    </row>
    <row r="323" spans="1:8" ht="18.600000000000001" thickTop="1" thickBot="1">
      <c r="A323" s="48" t="s">
        <v>89</v>
      </c>
      <c r="B323" s="39" t="s">
        <v>105</v>
      </c>
      <c r="C323" s="39">
        <v>0</v>
      </c>
      <c r="D323" s="39">
        <v>0</v>
      </c>
      <c r="E323" s="39">
        <v>0</v>
      </c>
      <c r="F323" s="39" t="s">
        <v>106</v>
      </c>
      <c r="G323" s="39">
        <v>0</v>
      </c>
      <c r="H323" s="39">
        <v>0</v>
      </c>
    </row>
    <row r="324" spans="1:8" ht="18" thickBot="1">
      <c r="A324" s="49" t="s">
        <v>90</v>
      </c>
      <c r="B324" s="41" t="s">
        <v>92</v>
      </c>
      <c r="C324" s="41" t="s">
        <v>95</v>
      </c>
      <c r="D324" s="41" t="s">
        <v>96</v>
      </c>
      <c r="E324" s="41" t="s">
        <v>92</v>
      </c>
      <c r="F324" s="41" t="s">
        <v>93</v>
      </c>
      <c r="G324" s="41" t="s">
        <v>91</v>
      </c>
      <c r="H324" s="41" t="s">
        <v>92</v>
      </c>
    </row>
    <row r="325" spans="1:8" ht="18" thickTop="1">
      <c r="A325" s="50" t="s">
        <v>83</v>
      </c>
      <c r="B325" s="43" t="s">
        <v>94</v>
      </c>
      <c r="C325" s="43" t="s">
        <v>24</v>
      </c>
      <c r="D325" s="43" t="s">
        <v>25</v>
      </c>
      <c r="E325" s="43" t="s">
        <v>94</v>
      </c>
      <c r="F325" s="43" t="s">
        <v>94</v>
      </c>
      <c r="G325" s="43" t="s">
        <v>24</v>
      </c>
      <c r="H325" s="43" t="s">
        <v>94</v>
      </c>
    </row>
    <row r="326" spans="1:8" ht="18" thickBot="1">
      <c r="A326" s="51" t="s">
        <v>84</v>
      </c>
      <c r="B326" s="43" t="s">
        <v>94</v>
      </c>
      <c r="C326" s="43" t="s">
        <v>25</v>
      </c>
      <c r="D326" s="43" t="s">
        <v>22</v>
      </c>
      <c r="E326" s="43" t="s">
        <v>94</v>
      </c>
      <c r="F326" s="43" t="s">
        <v>94</v>
      </c>
      <c r="G326" s="43" t="s">
        <v>25</v>
      </c>
      <c r="H326" s="43" t="s">
        <v>94</v>
      </c>
    </row>
    <row r="327" spans="1:8">
      <c r="A327" s="50" t="s">
        <v>85</v>
      </c>
      <c r="B327" s="44" t="s">
        <v>94</v>
      </c>
      <c r="C327" s="44" t="s">
        <v>22</v>
      </c>
      <c r="D327" s="44" t="s">
        <v>23</v>
      </c>
      <c r="E327" s="44" t="s">
        <v>94</v>
      </c>
      <c r="F327" s="44" t="s">
        <v>94</v>
      </c>
      <c r="G327" s="44" t="s">
        <v>22</v>
      </c>
      <c r="H327" s="44" t="s">
        <v>94</v>
      </c>
    </row>
    <row r="328" spans="1:8" ht="18" thickBot="1">
      <c r="A328" s="52" t="s">
        <v>86</v>
      </c>
      <c r="B328" s="39" t="s">
        <v>94</v>
      </c>
      <c r="C328" s="39" t="s">
        <v>23</v>
      </c>
      <c r="D328" s="39" t="s">
        <v>24</v>
      </c>
      <c r="E328" s="39" t="s">
        <v>94</v>
      </c>
      <c r="F328" s="39" t="s">
        <v>94</v>
      </c>
      <c r="G328" s="39" t="s">
        <v>23</v>
      </c>
      <c r="H328" s="39" t="s">
        <v>94</v>
      </c>
    </row>
    <row r="329" spans="1:8" ht="18.600000000000001" thickTop="1" thickBot="1">
      <c r="A329" s="46" t="s">
        <v>87</v>
      </c>
      <c r="B329" s="34">
        <v>46307</v>
      </c>
      <c r="C329" s="34">
        <v>46308</v>
      </c>
      <c r="D329" s="34">
        <v>46309</v>
      </c>
      <c r="E329" s="34">
        <v>46310</v>
      </c>
      <c r="F329" s="34">
        <v>46311</v>
      </c>
      <c r="G329" s="34">
        <v>46312</v>
      </c>
      <c r="H329" s="34">
        <v>46313</v>
      </c>
    </row>
    <row r="330" spans="1:8" ht="18.600000000000001" thickTop="1" thickBot="1">
      <c r="A330" s="47" t="s">
        <v>88</v>
      </c>
      <c r="B330" s="37">
        <v>2</v>
      </c>
      <c r="C330" s="37">
        <v>3</v>
      </c>
      <c r="D330" s="37">
        <v>4</v>
      </c>
      <c r="E330" s="37">
        <v>5</v>
      </c>
      <c r="F330" s="37">
        <v>6</v>
      </c>
      <c r="G330" s="37">
        <v>7</v>
      </c>
      <c r="H330" s="37">
        <v>1</v>
      </c>
    </row>
    <row r="331" spans="1:8" ht="18.600000000000001" thickTop="1" thickBot="1">
      <c r="A331" s="48" t="s">
        <v>89</v>
      </c>
      <c r="B331" s="39">
        <v>0</v>
      </c>
      <c r="C331" s="39">
        <v>0</v>
      </c>
      <c r="D331" s="39">
        <v>0</v>
      </c>
      <c r="E331" s="39">
        <v>0</v>
      </c>
      <c r="F331" s="39">
        <v>0</v>
      </c>
      <c r="G331" s="39">
        <v>0</v>
      </c>
      <c r="H331" s="39">
        <v>0</v>
      </c>
    </row>
    <row r="332" spans="1:8" ht="18" thickBot="1">
      <c r="A332" s="49" t="s">
        <v>90</v>
      </c>
      <c r="B332" s="41" t="s">
        <v>95</v>
      </c>
      <c r="C332" s="41" t="s">
        <v>96</v>
      </c>
      <c r="D332" s="41" t="s">
        <v>92</v>
      </c>
      <c r="E332" s="41" t="s">
        <v>95</v>
      </c>
      <c r="F332" s="41" t="s">
        <v>96</v>
      </c>
      <c r="G332" s="41" t="s">
        <v>92</v>
      </c>
      <c r="H332" s="41" t="s">
        <v>93</v>
      </c>
    </row>
    <row r="333" spans="1:8" ht="18" thickTop="1">
      <c r="A333" s="50" t="s">
        <v>83</v>
      </c>
      <c r="B333" s="43" t="s">
        <v>23</v>
      </c>
      <c r="C333" s="43" t="s">
        <v>23</v>
      </c>
      <c r="D333" s="43" t="s">
        <v>94</v>
      </c>
      <c r="E333" s="43" t="s">
        <v>22</v>
      </c>
      <c r="F333" s="43" t="s">
        <v>22</v>
      </c>
      <c r="G333" s="43" t="s">
        <v>94</v>
      </c>
      <c r="H333" s="43" t="s">
        <v>94</v>
      </c>
    </row>
    <row r="334" spans="1:8" ht="18" thickBot="1">
      <c r="A334" s="51" t="s">
        <v>84</v>
      </c>
      <c r="B334" s="43" t="s">
        <v>24</v>
      </c>
      <c r="C334" s="43" t="s">
        <v>24</v>
      </c>
      <c r="D334" s="43" t="s">
        <v>94</v>
      </c>
      <c r="E334" s="43" t="s">
        <v>23</v>
      </c>
      <c r="F334" s="43" t="s">
        <v>23</v>
      </c>
      <c r="G334" s="43" t="s">
        <v>94</v>
      </c>
      <c r="H334" s="43" t="s">
        <v>94</v>
      </c>
    </row>
    <row r="335" spans="1:8">
      <c r="A335" s="50" t="s">
        <v>85</v>
      </c>
      <c r="B335" s="44" t="s">
        <v>25</v>
      </c>
      <c r="C335" s="44" t="s">
        <v>25</v>
      </c>
      <c r="D335" s="44" t="s">
        <v>94</v>
      </c>
      <c r="E335" s="44" t="s">
        <v>24</v>
      </c>
      <c r="F335" s="44" t="s">
        <v>24</v>
      </c>
      <c r="G335" s="44" t="s">
        <v>94</v>
      </c>
      <c r="H335" s="44" t="s">
        <v>94</v>
      </c>
    </row>
    <row r="336" spans="1:8" ht="18" thickBot="1">
      <c r="A336" s="52" t="s">
        <v>86</v>
      </c>
      <c r="B336" s="39" t="s">
        <v>22</v>
      </c>
      <c r="C336" s="39" t="s">
        <v>22</v>
      </c>
      <c r="D336" s="39" t="s">
        <v>94</v>
      </c>
      <c r="E336" s="39" t="s">
        <v>25</v>
      </c>
      <c r="F336" s="39" t="s">
        <v>25</v>
      </c>
      <c r="G336" s="39" t="s">
        <v>94</v>
      </c>
      <c r="H336" s="39" t="s">
        <v>94</v>
      </c>
    </row>
    <row r="337" spans="1:8" ht="18.600000000000001" thickTop="1" thickBot="1">
      <c r="A337" s="46" t="s">
        <v>87</v>
      </c>
      <c r="B337" s="34">
        <v>46314</v>
      </c>
      <c r="C337" s="34">
        <v>46315</v>
      </c>
      <c r="D337" s="34">
        <v>46316</v>
      </c>
      <c r="E337" s="34">
        <v>46317</v>
      </c>
      <c r="F337" s="34">
        <v>46318</v>
      </c>
      <c r="G337" s="34">
        <v>46319</v>
      </c>
      <c r="H337" s="34">
        <v>46320</v>
      </c>
    </row>
    <row r="338" spans="1:8" ht="18.600000000000001" thickTop="1" thickBot="1">
      <c r="A338" s="47" t="s">
        <v>88</v>
      </c>
      <c r="B338" s="37">
        <v>2</v>
      </c>
      <c r="C338" s="37">
        <v>3</v>
      </c>
      <c r="D338" s="37">
        <v>4</v>
      </c>
      <c r="E338" s="37">
        <v>5</v>
      </c>
      <c r="F338" s="37">
        <v>6</v>
      </c>
      <c r="G338" s="37">
        <v>7</v>
      </c>
      <c r="H338" s="37">
        <v>1</v>
      </c>
    </row>
    <row r="339" spans="1:8" ht="18.600000000000001" thickTop="1" thickBot="1">
      <c r="A339" s="48" t="s">
        <v>89</v>
      </c>
      <c r="B339" s="39">
        <v>0</v>
      </c>
      <c r="C339" s="39">
        <v>0</v>
      </c>
      <c r="D339" s="39">
        <v>0</v>
      </c>
      <c r="E339" s="39">
        <v>0</v>
      </c>
      <c r="F339" s="39">
        <v>0</v>
      </c>
      <c r="G339" s="39">
        <v>0</v>
      </c>
      <c r="H339" s="39">
        <v>0</v>
      </c>
    </row>
    <row r="340" spans="1:8" ht="18" thickBot="1">
      <c r="A340" s="49" t="s">
        <v>90</v>
      </c>
      <c r="B340" s="41" t="s">
        <v>96</v>
      </c>
      <c r="C340" s="41" t="s">
        <v>92</v>
      </c>
      <c r="D340" s="41" t="s">
        <v>95</v>
      </c>
      <c r="E340" s="41" t="s">
        <v>96</v>
      </c>
      <c r="F340" s="41" t="s">
        <v>92</v>
      </c>
      <c r="G340" s="41" t="s">
        <v>93</v>
      </c>
      <c r="H340" s="41" t="s">
        <v>91</v>
      </c>
    </row>
    <row r="341" spans="1:8" ht="18" thickTop="1">
      <c r="A341" s="50" t="s">
        <v>83</v>
      </c>
      <c r="B341" s="43" t="s">
        <v>25</v>
      </c>
      <c r="C341" s="43" t="s">
        <v>94</v>
      </c>
      <c r="D341" s="43" t="s">
        <v>25</v>
      </c>
      <c r="E341" s="43" t="s">
        <v>24</v>
      </c>
      <c r="F341" s="43" t="s">
        <v>94</v>
      </c>
      <c r="G341" s="43" t="s">
        <v>94</v>
      </c>
      <c r="H341" s="43" t="s">
        <v>23</v>
      </c>
    </row>
    <row r="342" spans="1:8" ht="18" thickBot="1">
      <c r="A342" s="51" t="s">
        <v>84</v>
      </c>
      <c r="B342" s="43" t="s">
        <v>22</v>
      </c>
      <c r="C342" s="43" t="s">
        <v>94</v>
      </c>
      <c r="D342" s="43" t="s">
        <v>22</v>
      </c>
      <c r="E342" s="43" t="s">
        <v>25</v>
      </c>
      <c r="F342" s="43" t="s">
        <v>94</v>
      </c>
      <c r="G342" s="43" t="s">
        <v>94</v>
      </c>
      <c r="H342" s="43" t="s">
        <v>24</v>
      </c>
    </row>
    <row r="343" spans="1:8">
      <c r="A343" s="50" t="s">
        <v>85</v>
      </c>
      <c r="B343" s="44" t="s">
        <v>23</v>
      </c>
      <c r="C343" s="44" t="s">
        <v>94</v>
      </c>
      <c r="D343" s="44" t="s">
        <v>23</v>
      </c>
      <c r="E343" s="44" t="s">
        <v>22</v>
      </c>
      <c r="F343" s="44" t="s">
        <v>94</v>
      </c>
      <c r="G343" s="44" t="s">
        <v>94</v>
      </c>
      <c r="H343" s="44" t="s">
        <v>25</v>
      </c>
    </row>
    <row r="344" spans="1:8" ht="18" thickBot="1">
      <c r="A344" s="52" t="s">
        <v>86</v>
      </c>
      <c r="B344" s="39" t="s">
        <v>24</v>
      </c>
      <c r="C344" s="39" t="s">
        <v>94</v>
      </c>
      <c r="D344" s="39" t="s">
        <v>24</v>
      </c>
      <c r="E344" s="39" t="s">
        <v>23</v>
      </c>
      <c r="F344" s="39" t="s">
        <v>94</v>
      </c>
      <c r="G344" s="39" t="s">
        <v>94</v>
      </c>
      <c r="H344" s="39" t="s">
        <v>22</v>
      </c>
    </row>
    <row r="345" spans="1:8" ht="18.600000000000001" thickTop="1" thickBot="1">
      <c r="A345" s="46" t="s">
        <v>87</v>
      </c>
      <c r="B345" s="34">
        <v>46321</v>
      </c>
      <c r="C345" s="34">
        <v>46322</v>
      </c>
      <c r="D345" s="34">
        <v>46323</v>
      </c>
      <c r="E345" s="34">
        <v>46324</v>
      </c>
      <c r="F345" s="34">
        <v>46325</v>
      </c>
      <c r="G345" s="34">
        <v>46326</v>
      </c>
      <c r="H345" s="34">
        <v>46327</v>
      </c>
    </row>
    <row r="346" spans="1:8" ht="18.600000000000001" thickTop="1" thickBot="1">
      <c r="A346" s="47" t="s">
        <v>88</v>
      </c>
      <c r="B346" s="37">
        <v>2</v>
      </c>
      <c r="C346" s="37">
        <v>3</v>
      </c>
      <c r="D346" s="37">
        <v>4</v>
      </c>
      <c r="E346" s="37">
        <v>5</v>
      </c>
      <c r="F346" s="37">
        <v>6</v>
      </c>
      <c r="G346" s="37">
        <v>7</v>
      </c>
      <c r="H346" s="37">
        <v>1</v>
      </c>
    </row>
    <row r="347" spans="1:8" ht="18.600000000000001" thickTop="1" thickBot="1">
      <c r="A347" s="48" t="s">
        <v>89</v>
      </c>
      <c r="B347" s="39">
        <v>0</v>
      </c>
      <c r="C347" s="39">
        <v>0</v>
      </c>
      <c r="D347" s="39">
        <v>0</v>
      </c>
      <c r="E347" s="39">
        <v>0</v>
      </c>
      <c r="F347" s="39">
        <v>0</v>
      </c>
      <c r="G347" s="39">
        <v>0</v>
      </c>
      <c r="H347" s="39">
        <v>0</v>
      </c>
    </row>
    <row r="348" spans="1:8" ht="18" thickBot="1">
      <c r="A348" s="49" t="s">
        <v>90</v>
      </c>
      <c r="B348" s="41" t="s">
        <v>92</v>
      </c>
      <c r="C348" s="41" t="s">
        <v>95</v>
      </c>
      <c r="D348" s="41" t="s">
        <v>96</v>
      </c>
      <c r="E348" s="41" t="s">
        <v>92</v>
      </c>
      <c r="F348" s="41" t="s">
        <v>95</v>
      </c>
      <c r="G348" s="41" t="s">
        <v>91</v>
      </c>
      <c r="H348" s="41" t="s">
        <v>92</v>
      </c>
    </row>
    <row r="349" spans="1:8" ht="18" thickTop="1">
      <c r="A349" s="50" t="s">
        <v>83</v>
      </c>
      <c r="B349" s="43" t="s">
        <v>94</v>
      </c>
      <c r="C349" s="43" t="s">
        <v>24</v>
      </c>
      <c r="D349" s="43" t="s">
        <v>22</v>
      </c>
      <c r="E349" s="43" t="s">
        <v>94</v>
      </c>
      <c r="F349" s="43" t="s">
        <v>23</v>
      </c>
      <c r="G349" s="43" t="s">
        <v>25</v>
      </c>
      <c r="H349" s="43" t="s">
        <v>94</v>
      </c>
    </row>
    <row r="350" spans="1:8" ht="18" thickBot="1">
      <c r="A350" s="51" t="s">
        <v>84</v>
      </c>
      <c r="B350" s="43" t="s">
        <v>94</v>
      </c>
      <c r="C350" s="43" t="s">
        <v>25</v>
      </c>
      <c r="D350" s="43" t="s">
        <v>23</v>
      </c>
      <c r="E350" s="43" t="s">
        <v>94</v>
      </c>
      <c r="F350" s="43" t="s">
        <v>24</v>
      </c>
      <c r="G350" s="43" t="s">
        <v>22</v>
      </c>
      <c r="H350" s="43" t="s">
        <v>94</v>
      </c>
    </row>
    <row r="351" spans="1:8">
      <c r="A351" s="50" t="s">
        <v>85</v>
      </c>
      <c r="B351" s="44" t="s">
        <v>94</v>
      </c>
      <c r="C351" s="44" t="s">
        <v>22</v>
      </c>
      <c r="D351" s="44" t="s">
        <v>24</v>
      </c>
      <c r="E351" s="44" t="s">
        <v>94</v>
      </c>
      <c r="F351" s="44" t="s">
        <v>25</v>
      </c>
      <c r="G351" s="44" t="s">
        <v>23</v>
      </c>
      <c r="H351" s="44" t="s">
        <v>94</v>
      </c>
    </row>
    <row r="352" spans="1:8" ht="18" thickBot="1">
      <c r="A352" s="52" t="s">
        <v>86</v>
      </c>
      <c r="B352" s="39" t="s">
        <v>94</v>
      </c>
      <c r="C352" s="39" t="s">
        <v>23</v>
      </c>
      <c r="D352" s="39" t="s">
        <v>25</v>
      </c>
      <c r="E352" s="39" t="s">
        <v>94</v>
      </c>
      <c r="F352" s="39" t="s">
        <v>22</v>
      </c>
      <c r="G352" s="39" t="s">
        <v>24</v>
      </c>
      <c r="H352" s="39" t="s">
        <v>94</v>
      </c>
    </row>
    <row r="353" spans="1:8" ht="18.600000000000001" thickTop="1" thickBot="1">
      <c r="A353" s="46" t="s">
        <v>87</v>
      </c>
      <c r="B353" s="34">
        <v>46328</v>
      </c>
      <c r="C353" s="34">
        <v>46329</v>
      </c>
      <c r="D353" s="34">
        <v>46330</v>
      </c>
      <c r="E353" s="34">
        <v>46331</v>
      </c>
      <c r="F353" s="34">
        <v>46332</v>
      </c>
      <c r="G353" s="34">
        <v>46333</v>
      </c>
      <c r="H353" s="34">
        <v>46334</v>
      </c>
    </row>
    <row r="354" spans="1:8" ht="18.600000000000001" thickTop="1" thickBot="1">
      <c r="A354" s="47" t="s">
        <v>88</v>
      </c>
      <c r="B354" s="37">
        <v>2</v>
      </c>
      <c r="C354" s="37">
        <v>3</v>
      </c>
      <c r="D354" s="37">
        <v>4</v>
      </c>
      <c r="E354" s="37">
        <v>5</v>
      </c>
      <c r="F354" s="37">
        <v>6</v>
      </c>
      <c r="G354" s="37">
        <v>7</v>
      </c>
      <c r="H354" s="37">
        <v>1</v>
      </c>
    </row>
    <row r="355" spans="1:8" ht="18.600000000000001" thickTop="1" thickBot="1">
      <c r="A355" s="48" t="s">
        <v>89</v>
      </c>
      <c r="B355" s="39">
        <v>0</v>
      </c>
      <c r="C355" s="39">
        <v>0</v>
      </c>
      <c r="D355" s="39">
        <v>0</v>
      </c>
      <c r="E355" s="39">
        <v>0</v>
      </c>
      <c r="F355" s="39">
        <v>0</v>
      </c>
      <c r="G355" s="39">
        <v>0</v>
      </c>
      <c r="H355" s="39">
        <v>0</v>
      </c>
    </row>
    <row r="356" spans="1:8" ht="18" thickBot="1">
      <c r="A356" s="49" t="s">
        <v>90</v>
      </c>
      <c r="B356" s="41" t="s">
        <v>95</v>
      </c>
      <c r="C356" s="41" t="s">
        <v>96</v>
      </c>
      <c r="D356" s="41" t="s">
        <v>92</v>
      </c>
      <c r="E356" s="41" t="s">
        <v>95</v>
      </c>
      <c r="F356" s="41" t="s">
        <v>96</v>
      </c>
      <c r="G356" s="41" t="s">
        <v>92</v>
      </c>
      <c r="H356" s="41" t="s">
        <v>93</v>
      </c>
    </row>
    <row r="357" spans="1:8" ht="18" thickTop="1">
      <c r="A357" s="50" t="s">
        <v>83</v>
      </c>
      <c r="B357" s="43" t="s">
        <v>22</v>
      </c>
      <c r="C357" s="43" t="s">
        <v>24</v>
      </c>
      <c r="D357" s="43" t="s">
        <v>94</v>
      </c>
      <c r="E357" s="43" t="s">
        <v>25</v>
      </c>
      <c r="F357" s="43" t="s">
        <v>23</v>
      </c>
      <c r="G357" s="43" t="s">
        <v>94</v>
      </c>
      <c r="H357" s="43" t="s">
        <v>94</v>
      </c>
    </row>
    <row r="358" spans="1:8" ht="18" thickBot="1">
      <c r="A358" s="51" t="s">
        <v>84</v>
      </c>
      <c r="B358" s="43" t="s">
        <v>23</v>
      </c>
      <c r="C358" s="43" t="s">
        <v>25</v>
      </c>
      <c r="D358" s="43" t="s">
        <v>94</v>
      </c>
      <c r="E358" s="43" t="s">
        <v>22</v>
      </c>
      <c r="F358" s="43" t="s">
        <v>24</v>
      </c>
      <c r="G358" s="43" t="s">
        <v>94</v>
      </c>
      <c r="H358" s="43" t="s">
        <v>94</v>
      </c>
    </row>
    <row r="359" spans="1:8">
      <c r="A359" s="50" t="s">
        <v>85</v>
      </c>
      <c r="B359" s="44" t="s">
        <v>24</v>
      </c>
      <c r="C359" s="44" t="s">
        <v>22</v>
      </c>
      <c r="D359" s="44" t="s">
        <v>94</v>
      </c>
      <c r="E359" s="44" t="s">
        <v>23</v>
      </c>
      <c r="F359" s="44" t="s">
        <v>25</v>
      </c>
      <c r="G359" s="44" t="s">
        <v>94</v>
      </c>
      <c r="H359" s="44" t="s">
        <v>94</v>
      </c>
    </row>
    <row r="360" spans="1:8" ht="18" thickBot="1">
      <c r="A360" s="52" t="s">
        <v>86</v>
      </c>
      <c r="B360" s="39" t="s">
        <v>25</v>
      </c>
      <c r="C360" s="39" t="s">
        <v>23</v>
      </c>
      <c r="D360" s="39" t="s">
        <v>94</v>
      </c>
      <c r="E360" s="39" t="s">
        <v>24</v>
      </c>
      <c r="F360" s="39" t="s">
        <v>22</v>
      </c>
      <c r="G360" s="39" t="s">
        <v>94</v>
      </c>
      <c r="H360" s="39" t="s">
        <v>94</v>
      </c>
    </row>
    <row r="361" spans="1:8" ht="18.600000000000001" thickTop="1" thickBot="1">
      <c r="A361" s="46" t="s">
        <v>87</v>
      </c>
      <c r="B361" s="34">
        <v>46335</v>
      </c>
      <c r="C361" s="34">
        <v>46336</v>
      </c>
      <c r="D361" s="34">
        <v>46337</v>
      </c>
      <c r="E361" s="34">
        <v>46338</v>
      </c>
      <c r="F361" s="34">
        <v>46339</v>
      </c>
      <c r="G361" s="34">
        <v>46340</v>
      </c>
      <c r="H361" s="34">
        <v>46341</v>
      </c>
    </row>
    <row r="362" spans="1:8" ht="18.600000000000001" thickTop="1" thickBot="1">
      <c r="A362" s="47" t="s">
        <v>88</v>
      </c>
      <c r="B362" s="37">
        <v>2</v>
      </c>
      <c r="C362" s="37">
        <v>3</v>
      </c>
      <c r="D362" s="37">
        <v>4</v>
      </c>
      <c r="E362" s="37">
        <v>5</v>
      </c>
      <c r="F362" s="37">
        <v>6</v>
      </c>
      <c r="G362" s="37">
        <v>7</v>
      </c>
      <c r="H362" s="37">
        <v>1</v>
      </c>
    </row>
    <row r="363" spans="1:8" ht="18.600000000000001" thickTop="1" thickBot="1">
      <c r="A363" s="48" t="s">
        <v>89</v>
      </c>
      <c r="B363" s="39">
        <v>0</v>
      </c>
      <c r="C363" s="39">
        <v>0</v>
      </c>
      <c r="D363" s="39">
        <v>0</v>
      </c>
      <c r="E363" s="39">
        <v>0</v>
      </c>
      <c r="F363" s="39">
        <v>0</v>
      </c>
      <c r="G363" s="39">
        <v>0</v>
      </c>
      <c r="H363" s="39">
        <v>0</v>
      </c>
    </row>
    <row r="364" spans="1:8" ht="18" thickBot="1">
      <c r="A364" s="49" t="s">
        <v>90</v>
      </c>
      <c r="B364" s="41" t="s">
        <v>96</v>
      </c>
      <c r="C364" s="41" t="s">
        <v>92</v>
      </c>
      <c r="D364" s="41" t="s">
        <v>95</v>
      </c>
      <c r="E364" s="41" t="s">
        <v>96</v>
      </c>
      <c r="F364" s="41" t="s">
        <v>92</v>
      </c>
      <c r="G364" s="41" t="s">
        <v>93</v>
      </c>
      <c r="H364" s="41" t="s">
        <v>91</v>
      </c>
    </row>
    <row r="365" spans="1:8" ht="18" thickTop="1">
      <c r="A365" s="50" t="s">
        <v>83</v>
      </c>
      <c r="B365" s="43" t="s">
        <v>22</v>
      </c>
      <c r="C365" s="43" t="s">
        <v>94</v>
      </c>
      <c r="D365" s="43" t="s">
        <v>24</v>
      </c>
      <c r="E365" s="43" t="s">
        <v>25</v>
      </c>
      <c r="F365" s="43" t="s">
        <v>94</v>
      </c>
      <c r="G365" s="43" t="s">
        <v>94</v>
      </c>
      <c r="H365" s="43" t="s">
        <v>24</v>
      </c>
    </row>
    <row r="366" spans="1:8" ht="18" thickBot="1">
      <c r="A366" s="51" t="s">
        <v>84</v>
      </c>
      <c r="B366" s="43" t="s">
        <v>23</v>
      </c>
      <c r="C366" s="43" t="s">
        <v>94</v>
      </c>
      <c r="D366" s="43" t="s">
        <v>25</v>
      </c>
      <c r="E366" s="43" t="s">
        <v>22</v>
      </c>
      <c r="F366" s="43" t="s">
        <v>94</v>
      </c>
      <c r="G366" s="43" t="s">
        <v>94</v>
      </c>
      <c r="H366" s="43" t="s">
        <v>25</v>
      </c>
    </row>
    <row r="367" spans="1:8">
      <c r="A367" s="50" t="s">
        <v>85</v>
      </c>
      <c r="B367" s="44" t="s">
        <v>24</v>
      </c>
      <c r="C367" s="44" t="s">
        <v>94</v>
      </c>
      <c r="D367" s="44" t="s">
        <v>22</v>
      </c>
      <c r="E367" s="44" t="s">
        <v>23</v>
      </c>
      <c r="F367" s="44" t="s">
        <v>94</v>
      </c>
      <c r="G367" s="44" t="s">
        <v>94</v>
      </c>
      <c r="H367" s="44" t="s">
        <v>22</v>
      </c>
    </row>
    <row r="368" spans="1:8" ht="18" thickBot="1">
      <c r="A368" s="52" t="s">
        <v>86</v>
      </c>
      <c r="B368" s="39" t="s">
        <v>25</v>
      </c>
      <c r="C368" s="39" t="s">
        <v>94</v>
      </c>
      <c r="D368" s="39" t="s">
        <v>23</v>
      </c>
      <c r="E368" s="39" t="s">
        <v>24</v>
      </c>
      <c r="F368" s="39" t="s">
        <v>94</v>
      </c>
      <c r="G368" s="39" t="s">
        <v>94</v>
      </c>
      <c r="H368" s="39" t="s">
        <v>23</v>
      </c>
    </row>
    <row r="369" spans="1:8" ht="18.600000000000001" thickTop="1" thickBot="1">
      <c r="A369" s="46" t="s">
        <v>87</v>
      </c>
      <c r="B369" s="34">
        <v>46342</v>
      </c>
      <c r="C369" s="34">
        <v>46343</v>
      </c>
      <c r="D369" s="34">
        <v>46344</v>
      </c>
      <c r="E369" s="34">
        <v>46345</v>
      </c>
      <c r="F369" s="34">
        <v>46346</v>
      </c>
      <c r="G369" s="34">
        <v>46347</v>
      </c>
      <c r="H369" s="34">
        <v>46348</v>
      </c>
    </row>
    <row r="370" spans="1:8" ht="18.600000000000001" thickTop="1" thickBot="1">
      <c r="A370" s="47" t="s">
        <v>88</v>
      </c>
      <c r="B370" s="37">
        <v>2</v>
      </c>
      <c r="C370" s="37">
        <v>3</v>
      </c>
      <c r="D370" s="37">
        <v>4</v>
      </c>
      <c r="E370" s="37">
        <v>5</v>
      </c>
      <c r="F370" s="37">
        <v>6</v>
      </c>
      <c r="G370" s="37">
        <v>7</v>
      </c>
      <c r="H370" s="37">
        <v>1</v>
      </c>
    </row>
    <row r="371" spans="1:8" ht="18.600000000000001" thickTop="1" thickBot="1">
      <c r="A371" s="48" t="s">
        <v>89</v>
      </c>
      <c r="B371" s="39">
        <v>0</v>
      </c>
      <c r="C371" s="39">
        <v>0</v>
      </c>
      <c r="D371" s="39">
        <v>0</v>
      </c>
      <c r="E371" s="39">
        <v>0</v>
      </c>
      <c r="F371" s="39">
        <v>0</v>
      </c>
      <c r="G371" s="39">
        <v>0</v>
      </c>
      <c r="H371" s="39">
        <v>0</v>
      </c>
    </row>
    <row r="372" spans="1:8" ht="18" thickBot="1">
      <c r="A372" s="49" t="s">
        <v>90</v>
      </c>
      <c r="B372" s="41" t="s">
        <v>92</v>
      </c>
      <c r="C372" s="41" t="s">
        <v>95</v>
      </c>
      <c r="D372" s="41" t="s">
        <v>96</v>
      </c>
      <c r="E372" s="41" t="s">
        <v>92</v>
      </c>
      <c r="F372" s="41" t="s">
        <v>95</v>
      </c>
      <c r="G372" s="41" t="s">
        <v>91</v>
      </c>
      <c r="H372" s="41" t="s">
        <v>92</v>
      </c>
    </row>
    <row r="373" spans="1:8" ht="18" thickTop="1">
      <c r="A373" s="50" t="s">
        <v>83</v>
      </c>
      <c r="B373" s="43" t="s">
        <v>94</v>
      </c>
      <c r="C373" s="43" t="s">
        <v>23</v>
      </c>
      <c r="D373" s="43" t="s">
        <v>23</v>
      </c>
      <c r="E373" s="43" t="s">
        <v>94</v>
      </c>
      <c r="F373" s="43" t="s">
        <v>22</v>
      </c>
      <c r="G373" s="43" t="s">
        <v>22</v>
      </c>
      <c r="H373" s="43" t="s">
        <v>94</v>
      </c>
    </row>
    <row r="374" spans="1:8" ht="18" thickBot="1">
      <c r="A374" s="51" t="s">
        <v>84</v>
      </c>
      <c r="B374" s="43" t="s">
        <v>94</v>
      </c>
      <c r="C374" s="43" t="s">
        <v>24</v>
      </c>
      <c r="D374" s="43" t="s">
        <v>24</v>
      </c>
      <c r="E374" s="43" t="s">
        <v>94</v>
      </c>
      <c r="F374" s="43" t="s">
        <v>23</v>
      </c>
      <c r="G374" s="43" t="s">
        <v>23</v>
      </c>
      <c r="H374" s="43" t="s">
        <v>94</v>
      </c>
    </row>
    <row r="375" spans="1:8">
      <c r="A375" s="50" t="s">
        <v>85</v>
      </c>
      <c r="B375" s="44" t="s">
        <v>94</v>
      </c>
      <c r="C375" s="44" t="s">
        <v>25</v>
      </c>
      <c r="D375" s="44" t="s">
        <v>25</v>
      </c>
      <c r="E375" s="44" t="s">
        <v>94</v>
      </c>
      <c r="F375" s="44" t="s">
        <v>24</v>
      </c>
      <c r="G375" s="44" t="s">
        <v>24</v>
      </c>
      <c r="H375" s="44" t="s">
        <v>94</v>
      </c>
    </row>
    <row r="376" spans="1:8" ht="18" thickBot="1">
      <c r="A376" s="52" t="s">
        <v>86</v>
      </c>
      <c r="B376" s="39" t="s">
        <v>94</v>
      </c>
      <c r="C376" s="39" t="s">
        <v>22</v>
      </c>
      <c r="D376" s="39" t="s">
        <v>22</v>
      </c>
      <c r="E376" s="39" t="s">
        <v>94</v>
      </c>
      <c r="F376" s="39" t="s">
        <v>25</v>
      </c>
      <c r="G376" s="39" t="s">
        <v>25</v>
      </c>
      <c r="H376" s="39" t="s">
        <v>94</v>
      </c>
    </row>
    <row r="377" spans="1:8" ht="18.600000000000001" thickTop="1" thickBot="1">
      <c r="A377" s="46" t="s">
        <v>87</v>
      </c>
      <c r="B377" s="34">
        <v>46349</v>
      </c>
      <c r="C377" s="34">
        <v>46350</v>
      </c>
      <c r="D377" s="34">
        <v>46351</v>
      </c>
      <c r="E377" s="34">
        <v>46352</v>
      </c>
      <c r="F377" s="34">
        <v>46353</v>
      </c>
      <c r="G377" s="34">
        <v>46354</v>
      </c>
      <c r="H377" s="34">
        <v>46355</v>
      </c>
    </row>
    <row r="378" spans="1:8" ht="18.600000000000001" thickTop="1" thickBot="1">
      <c r="A378" s="47" t="s">
        <v>88</v>
      </c>
      <c r="B378" s="37">
        <v>2</v>
      </c>
      <c r="C378" s="37">
        <v>3</v>
      </c>
      <c r="D378" s="37">
        <v>4</v>
      </c>
      <c r="E378" s="37">
        <v>5</v>
      </c>
      <c r="F378" s="37">
        <v>6</v>
      </c>
      <c r="G378" s="37">
        <v>7</v>
      </c>
      <c r="H378" s="37">
        <v>1</v>
      </c>
    </row>
    <row r="379" spans="1:8" ht="18.600000000000001" thickTop="1" thickBot="1">
      <c r="A379" s="48" t="s">
        <v>89</v>
      </c>
      <c r="B379" s="39">
        <v>0</v>
      </c>
      <c r="C379" s="39">
        <v>0</v>
      </c>
      <c r="D379" s="39">
        <v>0</v>
      </c>
      <c r="E379" s="39">
        <v>0</v>
      </c>
      <c r="F379" s="39">
        <v>0</v>
      </c>
      <c r="G379" s="39">
        <v>0</v>
      </c>
      <c r="H379" s="39">
        <v>0</v>
      </c>
    </row>
    <row r="380" spans="1:8" ht="18" thickBot="1">
      <c r="A380" s="49" t="s">
        <v>90</v>
      </c>
      <c r="B380" s="41" t="s">
        <v>95</v>
      </c>
      <c r="C380" s="41" t="s">
        <v>96</v>
      </c>
      <c r="D380" s="41" t="s">
        <v>92</v>
      </c>
      <c r="E380" s="41" t="s">
        <v>95</v>
      </c>
      <c r="F380" s="41" t="s">
        <v>96</v>
      </c>
      <c r="G380" s="41" t="s">
        <v>92</v>
      </c>
      <c r="H380" s="41" t="s">
        <v>93</v>
      </c>
    </row>
    <row r="381" spans="1:8" ht="18" thickTop="1">
      <c r="A381" s="50" t="s">
        <v>83</v>
      </c>
      <c r="B381" s="43" t="s">
        <v>25</v>
      </c>
      <c r="C381" s="43" t="s">
        <v>25</v>
      </c>
      <c r="D381" s="43" t="s">
        <v>94</v>
      </c>
      <c r="E381" s="43" t="s">
        <v>24</v>
      </c>
      <c r="F381" s="43" t="s">
        <v>24</v>
      </c>
      <c r="G381" s="43" t="s">
        <v>94</v>
      </c>
      <c r="H381" s="43" t="s">
        <v>94</v>
      </c>
    </row>
    <row r="382" spans="1:8" ht="18" thickBot="1">
      <c r="A382" s="51" t="s">
        <v>84</v>
      </c>
      <c r="B382" s="43" t="s">
        <v>22</v>
      </c>
      <c r="C382" s="43" t="s">
        <v>22</v>
      </c>
      <c r="D382" s="43" t="s">
        <v>94</v>
      </c>
      <c r="E382" s="43" t="s">
        <v>25</v>
      </c>
      <c r="F382" s="43" t="s">
        <v>25</v>
      </c>
      <c r="G382" s="43" t="s">
        <v>94</v>
      </c>
      <c r="H382" s="43" t="s">
        <v>94</v>
      </c>
    </row>
    <row r="383" spans="1:8">
      <c r="A383" s="50" t="s">
        <v>85</v>
      </c>
      <c r="B383" s="44" t="s">
        <v>23</v>
      </c>
      <c r="C383" s="44" t="s">
        <v>23</v>
      </c>
      <c r="D383" s="44" t="s">
        <v>94</v>
      </c>
      <c r="E383" s="44" t="s">
        <v>22</v>
      </c>
      <c r="F383" s="44" t="s">
        <v>22</v>
      </c>
      <c r="G383" s="44" t="s">
        <v>94</v>
      </c>
      <c r="H383" s="44" t="s">
        <v>94</v>
      </c>
    </row>
    <row r="384" spans="1:8" ht="18" thickBot="1">
      <c r="A384" s="52" t="s">
        <v>86</v>
      </c>
      <c r="B384" s="39" t="s">
        <v>24</v>
      </c>
      <c r="C384" s="39" t="s">
        <v>24</v>
      </c>
      <c r="D384" s="39" t="s">
        <v>94</v>
      </c>
      <c r="E384" s="39" t="s">
        <v>23</v>
      </c>
      <c r="F384" s="39" t="s">
        <v>23</v>
      </c>
      <c r="G384" s="39" t="s">
        <v>94</v>
      </c>
      <c r="H384" s="39" t="s">
        <v>94</v>
      </c>
    </row>
    <row r="385" spans="1:8" ht="18.600000000000001" thickTop="1" thickBot="1">
      <c r="A385" s="46" t="s">
        <v>87</v>
      </c>
      <c r="B385" s="34">
        <v>46356</v>
      </c>
      <c r="C385" s="34">
        <v>46357</v>
      </c>
      <c r="D385" s="34">
        <v>46358</v>
      </c>
      <c r="E385" s="34">
        <v>46359</v>
      </c>
      <c r="F385" s="34">
        <v>46360</v>
      </c>
      <c r="G385" s="34">
        <v>46361</v>
      </c>
      <c r="H385" s="34">
        <v>46362</v>
      </c>
    </row>
    <row r="386" spans="1:8" ht="18.600000000000001" thickTop="1" thickBot="1">
      <c r="A386" s="47" t="s">
        <v>88</v>
      </c>
      <c r="B386" s="37">
        <v>2</v>
      </c>
      <c r="C386" s="37">
        <v>3</v>
      </c>
      <c r="D386" s="37">
        <v>4</v>
      </c>
      <c r="E386" s="37">
        <v>5</v>
      </c>
      <c r="F386" s="37">
        <v>6</v>
      </c>
      <c r="G386" s="37">
        <v>7</v>
      </c>
      <c r="H386" s="37">
        <v>1</v>
      </c>
    </row>
    <row r="387" spans="1:8" ht="18.600000000000001" thickTop="1" thickBot="1">
      <c r="A387" s="48" t="s">
        <v>89</v>
      </c>
      <c r="B387" s="39">
        <v>0</v>
      </c>
      <c r="C387" s="39">
        <v>0</v>
      </c>
      <c r="D387" s="39">
        <v>0</v>
      </c>
      <c r="E387" s="39">
        <v>0</v>
      </c>
      <c r="F387" s="39">
        <v>0</v>
      </c>
      <c r="G387" s="39">
        <v>0</v>
      </c>
      <c r="H387" s="39">
        <v>0</v>
      </c>
    </row>
    <row r="388" spans="1:8" ht="18" thickBot="1">
      <c r="A388" s="49" t="s">
        <v>90</v>
      </c>
      <c r="B388" s="41" t="s">
        <v>96</v>
      </c>
      <c r="C388" s="41" t="s">
        <v>92</v>
      </c>
      <c r="D388" s="41" t="s">
        <v>95</v>
      </c>
      <c r="E388" s="41" t="s">
        <v>96</v>
      </c>
      <c r="F388" s="41" t="s">
        <v>92</v>
      </c>
      <c r="G388" s="41" t="s">
        <v>93</v>
      </c>
      <c r="H388" s="41" t="s">
        <v>91</v>
      </c>
    </row>
    <row r="389" spans="1:8" ht="18" thickTop="1">
      <c r="A389" s="50" t="s">
        <v>83</v>
      </c>
      <c r="B389" s="43" t="s">
        <v>23</v>
      </c>
      <c r="C389" s="43" t="s">
        <v>94</v>
      </c>
      <c r="D389" s="43" t="s">
        <v>23</v>
      </c>
      <c r="E389" s="43" t="s">
        <v>22</v>
      </c>
      <c r="F389" s="43" t="s">
        <v>94</v>
      </c>
      <c r="G389" s="43" t="s">
        <v>94</v>
      </c>
      <c r="H389" s="43" t="s">
        <v>25</v>
      </c>
    </row>
    <row r="390" spans="1:8" ht="18" thickBot="1">
      <c r="A390" s="51" t="s">
        <v>84</v>
      </c>
      <c r="B390" s="43" t="s">
        <v>24</v>
      </c>
      <c r="C390" s="43" t="s">
        <v>94</v>
      </c>
      <c r="D390" s="43" t="s">
        <v>24</v>
      </c>
      <c r="E390" s="43" t="s">
        <v>23</v>
      </c>
      <c r="F390" s="43" t="s">
        <v>94</v>
      </c>
      <c r="G390" s="43" t="s">
        <v>94</v>
      </c>
      <c r="H390" s="43" t="s">
        <v>22</v>
      </c>
    </row>
    <row r="391" spans="1:8">
      <c r="A391" s="50" t="s">
        <v>85</v>
      </c>
      <c r="B391" s="44" t="s">
        <v>25</v>
      </c>
      <c r="C391" s="44" t="s">
        <v>94</v>
      </c>
      <c r="D391" s="44" t="s">
        <v>25</v>
      </c>
      <c r="E391" s="44" t="s">
        <v>24</v>
      </c>
      <c r="F391" s="44" t="s">
        <v>94</v>
      </c>
      <c r="G391" s="44" t="s">
        <v>94</v>
      </c>
      <c r="H391" s="44" t="s">
        <v>23</v>
      </c>
    </row>
    <row r="392" spans="1:8" ht="18" thickBot="1">
      <c r="A392" s="52" t="s">
        <v>86</v>
      </c>
      <c r="B392" s="39" t="s">
        <v>22</v>
      </c>
      <c r="C392" s="39" t="s">
        <v>94</v>
      </c>
      <c r="D392" s="39" t="s">
        <v>22</v>
      </c>
      <c r="E392" s="39" t="s">
        <v>25</v>
      </c>
      <c r="F392" s="39" t="s">
        <v>94</v>
      </c>
      <c r="G392" s="39" t="s">
        <v>94</v>
      </c>
      <c r="H392" s="39" t="s">
        <v>24</v>
      </c>
    </row>
    <row r="393" spans="1:8" ht="18.600000000000001" thickTop="1" thickBot="1">
      <c r="A393" s="46" t="s">
        <v>87</v>
      </c>
      <c r="B393" s="34">
        <v>46363</v>
      </c>
      <c r="C393" s="34">
        <v>46364</v>
      </c>
      <c r="D393" s="34">
        <v>46365</v>
      </c>
      <c r="E393" s="34">
        <v>46366</v>
      </c>
      <c r="F393" s="34">
        <v>46367</v>
      </c>
      <c r="G393" s="34">
        <v>46368</v>
      </c>
      <c r="H393" s="34">
        <v>46369</v>
      </c>
    </row>
    <row r="394" spans="1:8" ht="18.600000000000001" thickTop="1" thickBot="1">
      <c r="A394" s="47" t="s">
        <v>88</v>
      </c>
      <c r="B394" s="37">
        <v>2</v>
      </c>
      <c r="C394" s="37">
        <v>3</v>
      </c>
      <c r="D394" s="37">
        <v>4</v>
      </c>
      <c r="E394" s="37">
        <v>5</v>
      </c>
      <c r="F394" s="37">
        <v>6</v>
      </c>
      <c r="G394" s="37">
        <v>7</v>
      </c>
      <c r="H394" s="37">
        <v>1</v>
      </c>
    </row>
    <row r="395" spans="1:8" ht="18.600000000000001" thickTop="1" thickBot="1">
      <c r="A395" s="48" t="s">
        <v>89</v>
      </c>
      <c r="B395" s="39">
        <v>0</v>
      </c>
      <c r="C395" s="39">
        <v>0</v>
      </c>
      <c r="D395" s="39">
        <v>0</v>
      </c>
      <c r="E395" s="39">
        <v>0</v>
      </c>
      <c r="F395" s="39">
        <v>0</v>
      </c>
      <c r="G395" s="39">
        <v>0</v>
      </c>
      <c r="H395" s="39">
        <v>0</v>
      </c>
    </row>
    <row r="396" spans="1:8" ht="18" thickBot="1">
      <c r="A396" s="49" t="s">
        <v>90</v>
      </c>
      <c r="B396" s="41" t="s">
        <v>92</v>
      </c>
      <c r="C396" s="41" t="s">
        <v>95</v>
      </c>
      <c r="D396" s="41" t="s">
        <v>96</v>
      </c>
      <c r="E396" s="41" t="s">
        <v>92</v>
      </c>
      <c r="F396" s="41" t="s">
        <v>95</v>
      </c>
      <c r="G396" s="41" t="s">
        <v>91</v>
      </c>
      <c r="H396" s="41" t="s">
        <v>92</v>
      </c>
    </row>
    <row r="397" spans="1:8" ht="18" thickTop="1">
      <c r="A397" s="50" t="s">
        <v>83</v>
      </c>
      <c r="B397" s="43" t="s">
        <v>94</v>
      </c>
      <c r="C397" s="43" t="s">
        <v>22</v>
      </c>
      <c r="D397" s="43" t="s">
        <v>24</v>
      </c>
      <c r="E397" s="43" t="s">
        <v>94</v>
      </c>
      <c r="F397" s="43" t="s">
        <v>25</v>
      </c>
      <c r="G397" s="43" t="s">
        <v>23</v>
      </c>
      <c r="H397" s="43" t="s">
        <v>94</v>
      </c>
    </row>
    <row r="398" spans="1:8" ht="18" thickBot="1">
      <c r="A398" s="51" t="s">
        <v>84</v>
      </c>
      <c r="B398" s="43" t="s">
        <v>94</v>
      </c>
      <c r="C398" s="43" t="s">
        <v>23</v>
      </c>
      <c r="D398" s="43" t="s">
        <v>25</v>
      </c>
      <c r="E398" s="43" t="s">
        <v>94</v>
      </c>
      <c r="F398" s="43" t="s">
        <v>22</v>
      </c>
      <c r="G398" s="43" t="s">
        <v>24</v>
      </c>
      <c r="H398" s="43" t="s">
        <v>94</v>
      </c>
    </row>
    <row r="399" spans="1:8">
      <c r="A399" s="50" t="s">
        <v>85</v>
      </c>
      <c r="B399" s="44" t="s">
        <v>94</v>
      </c>
      <c r="C399" s="44" t="s">
        <v>24</v>
      </c>
      <c r="D399" s="44" t="s">
        <v>22</v>
      </c>
      <c r="E399" s="44" t="s">
        <v>94</v>
      </c>
      <c r="F399" s="44" t="s">
        <v>23</v>
      </c>
      <c r="G399" s="44" t="s">
        <v>25</v>
      </c>
      <c r="H399" s="44" t="s">
        <v>94</v>
      </c>
    </row>
    <row r="400" spans="1:8" ht="18" thickBot="1">
      <c r="A400" s="52" t="s">
        <v>86</v>
      </c>
      <c r="B400" s="39" t="s">
        <v>94</v>
      </c>
      <c r="C400" s="39" t="s">
        <v>25</v>
      </c>
      <c r="D400" s="39" t="s">
        <v>23</v>
      </c>
      <c r="E400" s="39" t="s">
        <v>94</v>
      </c>
      <c r="F400" s="39" t="s">
        <v>24</v>
      </c>
      <c r="G400" s="39" t="s">
        <v>22</v>
      </c>
      <c r="H400" s="39" t="s">
        <v>94</v>
      </c>
    </row>
    <row r="401" spans="1:8" ht="18.600000000000001" thickTop="1" thickBot="1">
      <c r="A401" s="46" t="s">
        <v>87</v>
      </c>
      <c r="B401" s="34">
        <v>46370</v>
      </c>
      <c r="C401" s="34">
        <v>46371</v>
      </c>
      <c r="D401" s="34">
        <v>46372</v>
      </c>
      <c r="E401" s="34">
        <v>46373</v>
      </c>
      <c r="F401" s="34">
        <v>46374</v>
      </c>
      <c r="G401" s="34">
        <v>46375</v>
      </c>
      <c r="H401" s="34">
        <v>46376</v>
      </c>
    </row>
    <row r="402" spans="1:8" ht="18.600000000000001" thickTop="1" thickBot="1">
      <c r="A402" s="47" t="s">
        <v>88</v>
      </c>
      <c r="B402" s="37">
        <v>2</v>
      </c>
      <c r="C402" s="37">
        <v>3</v>
      </c>
      <c r="D402" s="37">
        <v>4</v>
      </c>
      <c r="E402" s="37">
        <v>5</v>
      </c>
      <c r="F402" s="37">
        <v>6</v>
      </c>
      <c r="G402" s="37">
        <v>7</v>
      </c>
      <c r="H402" s="37">
        <v>1</v>
      </c>
    </row>
    <row r="403" spans="1:8" ht="18.600000000000001" thickTop="1" thickBot="1">
      <c r="A403" s="48" t="s">
        <v>89</v>
      </c>
      <c r="B403" s="39">
        <v>0</v>
      </c>
      <c r="C403" s="39">
        <v>0</v>
      </c>
      <c r="D403" s="39">
        <v>0</v>
      </c>
      <c r="E403" s="39">
        <v>0</v>
      </c>
      <c r="F403" s="39">
        <v>0</v>
      </c>
      <c r="G403" s="39">
        <v>0</v>
      </c>
      <c r="H403" s="39">
        <v>0</v>
      </c>
    </row>
    <row r="404" spans="1:8" ht="18" thickBot="1">
      <c r="A404" s="49" t="s">
        <v>90</v>
      </c>
      <c r="B404" s="41" t="s">
        <v>95</v>
      </c>
      <c r="C404" s="41" t="s">
        <v>96</v>
      </c>
      <c r="D404" s="41" t="s">
        <v>92</v>
      </c>
      <c r="E404" s="41" t="s">
        <v>95</v>
      </c>
      <c r="F404" s="41" t="s">
        <v>96</v>
      </c>
      <c r="G404" s="41" t="s">
        <v>92</v>
      </c>
      <c r="H404" s="41" t="s">
        <v>93</v>
      </c>
    </row>
    <row r="405" spans="1:8" ht="18" thickTop="1">
      <c r="A405" s="50" t="s">
        <v>83</v>
      </c>
      <c r="B405" s="43" t="s">
        <v>24</v>
      </c>
      <c r="C405" s="43" t="s">
        <v>22</v>
      </c>
      <c r="D405" s="43" t="s">
        <v>94</v>
      </c>
      <c r="E405" s="43" t="s">
        <v>23</v>
      </c>
      <c r="F405" s="43" t="s">
        <v>25</v>
      </c>
      <c r="G405" s="43" t="s">
        <v>94</v>
      </c>
      <c r="H405" s="43" t="s">
        <v>94</v>
      </c>
    </row>
    <row r="406" spans="1:8" ht="18" thickBot="1">
      <c r="A406" s="51" t="s">
        <v>84</v>
      </c>
      <c r="B406" s="43" t="s">
        <v>25</v>
      </c>
      <c r="C406" s="43" t="s">
        <v>23</v>
      </c>
      <c r="D406" s="43" t="s">
        <v>94</v>
      </c>
      <c r="E406" s="43" t="s">
        <v>24</v>
      </c>
      <c r="F406" s="43" t="s">
        <v>22</v>
      </c>
      <c r="G406" s="43" t="s">
        <v>94</v>
      </c>
      <c r="H406" s="43" t="s">
        <v>94</v>
      </c>
    </row>
    <row r="407" spans="1:8">
      <c r="A407" s="50" t="s">
        <v>85</v>
      </c>
      <c r="B407" s="44" t="s">
        <v>22</v>
      </c>
      <c r="C407" s="44" t="s">
        <v>24</v>
      </c>
      <c r="D407" s="44" t="s">
        <v>94</v>
      </c>
      <c r="E407" s="44" t="s">
        <v>25</v>
      </c>
      <c r="F407" s="44" t="s">
        <v>23</v>
      </c>
      <c r="G407" s="44" t="s">
        <v>94</v>
      </c>
      <c r="H407" s="44" t="s">
        <v>94</v>
      </c>
    </row>
    <row r="408" spans="1:8" ht="18" thickBot="1">
      <c r="A408" s="52" t="s">
        <v>86</v>
      </c>
      <c r="B408" s="39" t="s">
        <v>23</v>
      </c>
      <c r="C408" s="39" t="s">
        <v>25</v>
      </c>
      <c r="D408" s="39" t="s">
        <v>94</v>
      </c>
      <c r="E408" s="39" t="s">
        <v>22</v>
      </c>
      <c r="F408" s="39" t="s">
        <v>24</v>
      </c>
      <c r="G408" s="39" t="s">
        <v>94</v>
      </c>
      <c r="H408" s="39" t="s">
        <v>94</v>
      </c>
    </row>
    <row r="409" spans="1:8" ht="18.600000000000001" thickTop="1" thickBot="1">
      <c r="A409" s="46" t="s">
        <v>87</v>
      </c>
      <c r="B409" s="34">
        <v>46377</v>
      </c>
      <c r="C409" s="34">
        <v>46378</v>
      </c>
      <c r="D409" s="34">
        <v>46379</v>
      </c>
      <c r="E409" s="34">
        <v>46380</v>
      </c>
      <c r="F409" s="34">
        <v>46381</v>
      </c>
      <c r="G409" s="34">
        <v>46382</v>
      </c>
      <c r="H409" s="34">
        <v>46383</v>
      </c>
    </row>
    <row r="410" spans="1:8" ht="18.600000000000001" thickTop="1" thickBot="1">
      <c r="A410" s="47" t="s">
        <v>88</v>
      </c>
      <c r="B410" s="37">
        <v>2</v>
      </c>
      <c r="C410" s="37">
        <v>3</v>
      </c>
      <c r="D410" s="37">
        <v>4</v>
      </c>
      <c r="E410" s="37">
        <v>5</v>
      </c>
      <c r="F410" s="37">
        <v>6</v>
      </c>
      <c r="G410" s="37">
        <v>7</v>
      </c>
      <c r="H410" s="37">
        <v>1</v>
      </c>
    </row>
    <row r="411" spans="1:8" ht="18.600000000000001" thickTop="1" thickBot="1">
      <c r="A411" s="48" t="s">
        <v>89</v>
      </c>
      <c r="B411" s="39">
        <v>0</v>
      </c>
      <c r="C411" s="39">
        <v>0</v>
      </c>
      <c r="D411" s="39">
        <v>0</v>
      </c>
      <c r="E411" s="39">
        <v>0</v>
      </c>
      <c r="F411" s="39" t="s">
        <v>82</v>
      </c>
      <c r="G411" s="39">
        <v>0</v>
      </c>
      <c r="H411" s="39">
        <v>0</v>
      </c>
    </row>
    <row r="412" spans="1:8" ht="18" thickBot="1">
      <c r="A412" s="49" t="s">
        <v>90</v>
      </c>
      <c r="B412" s="41" t="s">
        <v>96</v>
      </c>
      <c r="C412" s="41" t="s">
        <v>92</v>
      </c>
      <c r="D412" s="41" t="s">
        <v>95</v>
      </c>
      <c r="E412" s="41" t="s">
        <v>96</v>
      </c>
      <c r="F412" s="41" t="s">
        <v>92</v>
      </c>
      <c r="G412" s="41" t="s">
        <v>93</v>
      </c>
      <c r="H412" s="41" t="s">
        <v>91</v>
      </c>
    </row>
    <row r="413" spans="1:8" ht="18" thickTop="1">
      <c r="A413" s="50" t="s">
        <v>83</v>
      </c>
      <c r="B413" s="43" t="s">
        <v>24</v>
      </c>
      <c r="C413" s="43" t="s">
        <v>94</v>
      </c>
      <c r="D413" s="43" t="s">
        <v>22</v>
      </c>
      <c r="E413" s="43" t="s">
        <v>23</v>
      </c>
      <c r="F413" s="43" t="s">
        <v>94</v>
      </c>
      <c r="G413" s="43" t="s">
        <v>94</v>
      </c>
      <c r="H413" s="43" t="s">
        <v>22</v>
      </c>
    </row>
    <row r="414" spans="1:8" ht="18" thickBot="1">
      <c r="A414" s="51" t="s">
        <v>84</v>
      </c>
      <c r="B414" s="43" t="s">
        <v>25</v>
      </c>
      <c r="C414" s="43" t="s">
        <v>94</v>
      </c>
      <c r="D414" s="43" t="s">
        <v>23</v>
      </c>
      <c r="E414" s="43" t="s">
        <v>24</v>
      </c>
      <c r="F414" s="43" t="s">
        <v>94</v>
      </c>
      <c r="G414" s="43" t="s">
        <v>94</v>
      </c>
      <c r="H414" s="43" t="s">
        <v>23</v>
      </c>
    </row>
    <row r="415" spans="1:8">
      <c r="A415" s="50" t="s">
        <v>85</v>
      </c>
      <c r="B415" s="44" t="s">
        <v>22</v>
      </c>
      <c r="C415" s="44" t="s">
        <v>94</v>
      </c>
      <c r="D415" s="44" t="s">
        <v>24</v>
      </c>
      <c r="E415" s="44" t="s">
        <v>25</v>
      </c>
      <c r="F415" s="44" t="s">
        <v>94</v>
      </c>
      <c r="G415" s="44" t="s">
        <v>94</v>
      </c>
      <c r="H415" s="44" t="s">
        <v>24</v>
      </c>
    </row>
    <row r="416" spans="1:8" ht="18" thickBot="1">
      <c r="A416" s="52" t="s">
        <v>86</v>
      </c>
      <c r="B416" s="39" t="s">
        <v>23</v>
      </c>
      <c r="C416" s="39" t="s">
        <v>94</v>
      </c>
      <c r="D416" s="39" t="s">
        <v>25</v>
      </c>
      <c r="E416" s="39" t="s">
        <v>22</v>
      </c>
      <c r="F416" s="39" t="s">
        <v>94</v>
      </c>
      <c r="G416" s="39" t="s">
        <v>94</v>
      </c>
      <c r="H416" s="39" t="s">
        <v>25</v>
      </c>
    </row>
    <row r="417" spans="1:5" ht="18.600000000000001" thickTop="1" thickBot="1">
      <c r="A417" s="46" t="s">
        <v>87</v>
      </c>
      <c r="B417" s="34">
        <v>46384</v>
      </c>
      <c r="C417" s="34">
        <v>46385</v>
      </c>
      <c r="D417" s="34">
        <v>46386</v>
      </c>
      <c r="E417" s="34">
        <v>46387</v>
      </c>
    </row>
    <row r="418" spans="1:5" ht="18.600000000000001" thickTop="1" thickBot="1">
      <c r="A418" s="47" t="s">
        <v>88</v>
      </c>
      <c r="B418" s="37">
        <v>2</v>
      </c>
      <c r="C418" s="37">
        <v>3</v>
      </c>
      <c r="D418" s="37">
        <v>4</v>
      </c>
      <c r="E418" s="37">
        <v>5</v>
      </c>
    </row>
    <row r="419" spans="1:5" ht="18.600000000000001" thickTop="1" thickBot="1">
      <c r="A419" s="48" t="s">
        <v>89</v>
      </c>
      <c r="B419" s="39">
        <v>0</v>
      </c>
      <c r="C419" s="39">
        <v>0</v>
      </c>
      <c r="D419" s="39">
        <v>0</v>
      </c>
      <c r="E419" s="39">
        <v>0</v>
      </c>
    </row>
    <row r="420" spans="1:5" ht="18" thickBot="1">
      <c r="A420" s="49" t="s">
        <v>90</v>
      </c>
      <c r="B420" s="41" t="s">
        <v>92</v>
      </c>
      <c r="C420" s="41" t="s">
        <v>95</v>
      </c>
      <c r="D420" s="41" t="s">
        <v>96</v>
      </c>
      <c r="E420" s="41" t="s">
        <v>92</v>
      </c>
    </row>
    <row r="421" spans="1:5" ht="18" thickTop="1">
      <c r="A421" s="50" t="s">
        <v>83</v>
      </c>
      <c r="B421" s="43" t="s">
        <v>94</v>
      </c>
      <c r="C421" s="43" t="s">
        <v>25</v>
      </c>
      <c r="D421" s="43" t="s">
        <v>25</v>
      </c>
      <c r="E421" s="43" t="s">
        <v>94</v>
      </c>
    </row>
    <row r="422" spans="1:5" ht="18" thickBot="1">
      <c r="A422" s="51" t="s">
        <v>84</v>
      </c>
      <c r="B422" s="43" t="s">
        <v>94</v>
      </c>
      <c r="C422" s="43" t="s">
        <v>22</v>
      </c>
      <c r="D422" s="43" t="s">
        <v>22</v>
      </c>
      <c r="E422" s="43" t="s">
        <v>94</v>
      </c>
    </row>
    <row r="423" spans="1:5">
      <c r="A423" s="50" t="s">
        <v>85</v>
      </c>
      <c r="B423" s="44" t="s">
        <v>94</v>
      </c>
      <c r="C423" s="44" t="s">
        <v>23</v>
      </c>
      <c r="D423" s="44" t="s">
        <v>23</v>
      </c>
      <c r="E423" s="44" t="s">
        <v>94</v>
      </c>
    </row>
    <row r="424" spans="1:5" ht="18" thickBot="1">
      <c r="A424" s="52" t="s">
        <v>86</v>
      </c>
      <c r="B424" s="39" t="s">
        <v>94</v>
      </c>
      <c r="C424" s="39" t="s">
        <v>24</v>
      </c>
      <c r="D424" s="39" t="s">
        <v>24</v>
      </c>
      <c r="E424" s="39" t="s">
        <v>94</v>
      </c>
    </row>
    <row r="425" spans="1:5" ht="18.600000000000001" thickTop="1" thickBot="1">
      <c r="A425" s="46" t="s">
        <v>87</v>
      </c>
      <c r="B425" s="34">
        <v>46388</v>
      </c>
    </row>
    <row r="426" spans="1:5" ht="18.600000000000001" thickTop="1" thickBot="1">
      <c r="A426" s="47" t="s">
        <v>88</v>
      </c>
      <c r="B426" s="37">
        <v>6</v>
      </c>
    </row>
    <row r="427" spans="1:5" ht="18.600000000000001" thickTop="1" thickBot="1">
      <c r="A427" s="48" t="s">
        <v>89</v>
      </c>
      <c r="B427" s="39">
        <v>0</v>
      </c>
    </row>
    <row r="428" spans="1:5" ht="18" thickBot="1">
      <c r="A428" s="49" t="s">
        <v>90</v>
      </c>
      <c r="B428" s="41" t="s">
        <v>95</v>
      </c>
    </row>
    <row r="429" spans="1:5" ht="18" thickTop="1">
      <c r="A429" s="50" t="s">
        <v>83</v>
      </c>
      <c r="B429" s="43" t="s">
        <v>24</v>
      </c>
    </row>
    <row r="430" spans="1:5" ht="18" thickBot="1">
      <c r="A430" s="51" t="s">
        <v>84</v>
      </c>
      <c r="B430" s="43" t="s">
        <v>25</v>
      </c>
    </row>
    <row r="431" spans="1:5">
      <c r="A431" s="50" t="s">
        <v>85</v>
      </c>
      <c r="B431" s="44" t="s">
        <v>22</v>
      </c>
    </row>
    <row r="432" spans="1:5" ht="18" thickBot="1">
      <c r="A432" s="52" t="s">
        <v>86</v>
      </c>
      <c r="B432" s="39" t="s">
        <v>23</v>
      </c>
    </row>
    <row r="433" spans="1:1" ht="18.600000000000001" thickTop="1" thickBot="1">
      <c r="A433" s="46" t="s">
        <v>87</v>
      </c>
    </row>
    <row r="434" spans="1:1" ht="18.600000000000001" thickTop="1" thickBot="1">
      <c r="A434" s="47" t="s">
        <v>88</v>
      </c>
    </row>
    <row r="435" spans="1:1" ht="18.600000000000001" thickTop="1" thickBot="1">
      <c r="A435" s="48" t="s">
        <v>89</v>
      </c>
    </row>
    <row r="436" spans="1:1" ht="18" thickBot="1">
      <c r="A436" s="49" t="s">
        <v>90</v>
      </c>
    </row>
    <row r="437" spans="1:1" ht="18" thickTop="1">
      <c r="A437" s="50" t="s">
        <v>83</v>
      </c>
    </row>
    <row r="438" spans="1:1" ht="18" thickBot="1">
      <c r="A438" s="51" t="s">
        <v>84</v>
      </c>
    </row>
    <row r="439" spans="1:1">
      <c r="A439" s="50" t="s">
        <v>85</v>
      </c>
    </row>
    <row r="440" spans="1:1" ht="18" thickBot="1">
      <c r="A440" s="52" t="s">
        <v>86</v>
      </c>
    </row>
    <row r="441" spans="1:1" ht="18.600000000000001" thickTop="1" thickBot="1">
      <c r="A441" s="46" t="s">
        <v>87</v>
      </c>
    </row>
    <row r="442" spans="1:1" ht="18.600000000000001" thickTop="1" thickBot="1">
      <c r="A442" s="47" t="s">
        <v>88</v>
      </c>
    </row>
    <row r="443" spans="1:1" ht="18.600000000000001" thickTop="1" thickBot="1">
      <c r="A443" s="48" t="s">
        <v>89</v>
      </c>
    </row>
    <row r="444" spans="1:1" ht="18" thickBot="1">
      <c r="A444" s="49" t="s">
        <v>90</v>
      </c>
    </row>
    <row r="445" spans="1:1" ht="18" thickTop="1">
      <c r="A445" s="50" t="s">
        <v>83</v>
      </c>
    </row>
    <row r="446" spans="1:1" ht="18" thickBot="1">
      <c r="A446" s="51" t="s">
        <v>84</v>
      </c>
    </row>
    <row r="447" spans="1:1">
      <c r="A447" s="50" t="s">
        <v>85</v>
      </c>
    </row>
    <row r="448" spans="1:1" ht="18" thickBot="1">
      <c r="A448" s="52" t="s">
        <v>86</v>
      </c>
    </row>
    <row r="449" spans="1:1" ht="18" thickTop="1">
      <c r="A449" s="50" t="s">
        <v>85</v>
      </c>
    </row>
    <row r="450" spans="1:1" ht="18" thickBot="1">
      <c r="A450" s="52" t="s">
        <v>86</v>
      </c>
    </row>
    <row r="451" spans="1:1" ht="18.600000000000001" thickTop="1" thickBot="1">
      <c r="A451" s="46" t="s">
        <v>87</v>
      </c>
    </row>
    <row r="452" spans="1:1" ht="18.600000000000001" thickTop="1" thickBot="1">
      <c r="A452" s="47" t="s">
        <v>88</v>
      </c>
    </row>
    <row r="453" spans="1:1" ht="18.600000000000001" thickTop="1" thickBot="1">
      <c r="A453" s="48" t="s">
        <v>89</v>
      </c>
    </row>
    <row r="454" spans="1:1" ht="18" thickBot="1">
      <c r="A454" s="49" t="s">
        <v>90</v>
      </c>
    </row>
    <row r="455" spans="1:1" ht="18" thickTop="1">
      <c r="A455" s="50" t="s">
        <v>83</v>
      </c>
    </row>
    <row r="456" spans="1:1" ht="18" thickBot="1">
      <c r="A456" s="51" t="s">
        <v>84</v>
      </c>
    </row>
    <row r="457" spans="1:1">
      <c r="A457" s="50" t="s">
        <v>85</v>
      </c>
    </row>
    <row r="458" spans="1:1" ht="18" thickBot="1">
      <c r="A458" s="52" t="s">
        <v>86</v>
      </c>
    </row>
    <row r="459" spans="1:1" ht="18.600000000000001" thickTop="1" thickBot="1">
      <c r="A459" s="46" t="s">
        <v>87</v>
      </c>
    </row>
    <row r="460" spans="1:1" ht="18.600000000000001" thickTop="1" thickBot="1">
      <c r="A460" s="47" t="s">
        <v>88</v>
      </c>
    </row>
    <row r="461" spans="1:1" ht="18.600000000000001" thickTop="1" thickBot="1">
      <c r="A461" s="48" t="s">
        <v>89</v>
      </c>
    </row>
    <row r="462" spans="1:1" ht="18" thickBot="1">
      <c r="A462" s="49" t="s">
        <v>90</v>
      </c>
    </row>
    <row r="463" spans="1:1" ht="18" thickTop="1">
      <c r="A463" s="50" t="s">
        <v>83</v>
      </c>
    </row>
    <row r="464" spans="1:1" ht="18" thickBot="1">
      <c r="A464" s="51" t="s">
        <v>84</v>
      </c>
    </row>
    <row r="465" spans="1:1">
      <c r="A465" s="50" t="s">
        <v>85</v>
      </c>
    </row>
    <row r="466" spans="1:1" ht="18" thickBot="1">
      <c r="A466" s="52" t="s">
        <v>86</v>
      </c>
    </row>
    <row r="467" spans="1:1" ht="18.600000000000001" thickTop="1" thickBot="1">
      <c r="A467" s="46" t="s">
        <v>87</v>
      </c>
    </row>
    <row r="468" spans="1:1" ht="18.600000000000001" thickTop="1" thickBot="1">
      <c r="A468" s="47" t="s">
        <v>88</v>
      </c>
    </row>
    <row r="469" spans="1:1" ht="18.600000000000001" thickTop="1" thickBot="1">
      <c r="A469" s="48" t="s">
        <v>89</v>
      </c>
    </row>
    <row r="470" spans="1:1" ht="18" thickBot="1">
      <c r="A470" s="49" t="s">
        <v>90</v>
      </c>
    </row>
    <row r="471" spans="1:1" ht="18" thickTop="1">
      <c r="A471" s="50" t="s">
        <v>83</v>
      </c>
    </row>
    <row r="472" spans="1:1" ht="18" thickBot="1">
      <c r="A472" s="51" t="s">
        <v>84</v>
      </c>
    </row>
    <row r="473" spans="1:1">
      <c r="A473" s="50" t="s">
        <v>85</v>
      </c>
    </row>
    <row r="474" spans="1:1" ht="18" thickBot="1">
      <c r="A474" s="52" t="s">
        <v>86</v>
      </c>
    </row>
    <row r="475" spans="1:1" ht="18.600000000000001" thickTop="1" thickBot="1">
      <c r="A475" s="46" t="s">
        <v>87</v>
      </c>
    </row>
    <row r="476" spans="1:1" ht="18.600000000000001" thickTop="1" thickBot="1">
      <c r="A476" s="47" t="s">
        <v>88</v>
      </c>
    </row>
    <row r="477" spans="1:1" ht="18.600000000000001" thickTop="1" thickBot="1">
      <c r="A477" s="48" t="s">
        <v>89</v>
      </c>
    </row>
    <row r="478" spans="1:1" ht="18" thickBot="1">
      <c r="A478" s="49" t="s">
        <v>90</v>
      </c>
    </row>
    <row r="479" spans="1:1" ht="18" thickTop="1">
      <c r="A479" s="50" t="s">
        <v>83</v>
      </c>
    </row>
    <row r="480" spans="1:1" ht="18" thickBot="1">
      <c r="A480" s="51" t="s">
        <v>84</v>
      </c>
    </row>
    <row r="481" spans="1:1">
      <c r="A481" s="50" t="s">
        <v>85</v>
      </c>
    </row>
    <row r="482" spans="1:1" ht="18" thickBot="1">
      <c r="A482" s="52" t="s">
        <v>86</v>
      </c>
    </row>
    <row r="483" spans="1:1" ht="18.600000000000001" thickTop="1" thickBot="1">
      <c r="A483" s="46" t="s">
        <v>87</v>
      </c>
    </row>
    <row r="484" spans="1:1" ht="18.600000000000001" thickTop="1" thickBot="1">
      <c r="A484" s="47" t="s">
        <v>88</v>
      </c>
    </row>
    <row r="485" spans="1:1" ht="18.600000000000001" thickTop="1" thickBot="1">
      <c r="A485" s="48" t="s">
        <v>89</v>
      </c>
    </row>
    <row r="486" spans="1:1" ht="18" thickBot="1">
      <c r="A486" s="49" t="s">
        <v>90</v>
      </c>
    </row>
    <row r="487" spans="1:1" ht="18" thickTop="1">
      <c r="A487" s="50" t="s">
        <v>83</v>
      </c>
    </row>
    <row r="488" spans="1:1" ht="18" thickBot="1">
      <c r="A488" s="51" t="s">
        <v>84</v>
      </c>
    </row>
    <row r="489" spans="1:1">
      <c r="A489" s="50" t="s">
        <v>85</v>
      </c>
    </row>
    <row r="490" spans="1:1" ht="18" thickBot="1">
      <c r="A490" s="52" t="s">
        <v>86</v>
      </c>
    </row>
    <row r="491" spans="1:1" ht="18.600000000000001" thickTop="1" thickBot="1">
      <c r="A491" s="46" t="s">
        <v>87</v>
      </c>
    </row>
    <row r="492" spans="1:1" ht="18.600000000000001" thickTop="1" thickBot="1">
      <c r="A492" s="47" t="s">
        <v>88</v>
      </c>
    </row>
    <row r="493" spans="1:1" ht="18.600000000000001" thickTop="1" thickBot="1">
      <c r="A493" s="48" t="s">
        <v>89</v>
      </c>
    </row>
    <row r="494" spans="1:1" ht="18" thickBot="1">
      <c r="A494" s="49" t="s">
        <v>90</v>
      </c>
    </row>
    <row r="495" spans="1:1" ht="18" thickTop="1">
      <c r="A495" s="50" t="s">
        <v>83</v>
      </c>
    </row>
    <row r="496" spans="1:1" ht="18" thickBot="1">
      <c r="A496" s="51" t="s">
        <v>84</v>
      </c>
    </row>
    <row r="497" spans="1:1">
      <c r="A497" s="50" t="s">
        <v>85</v>
      </c>
    </row>
    <row r="498" spans="1:1" ht="18" thickBot="1">
      <c r="A498" s="52" t="s">
        <v>86</v>
      </c>
    </row>
    <row r="499" spans="1:1" ht="18.600000000000001" thickTop="1" thickBot="1">
      <c r="A499" s="46" t="s">
        <v>87</v>
      </c>
    </row>
    <row r="500" spans="1:1" ht="18.600000000000001" thickTop="1" thickBot="1">
      <c r="A500" s="47" t="s">
        <v>88</v>
      </c>
    </row>
    <row r="501" spans="1:1" ht="18.600000000000001" thickTop="1" thickBot="1">
      <c r="A501" s="48" t="s">
        <v>89</v>
      </c>
    </row>
    <row r="502" spans="1:1" ht="18" thickBot="1">
      <c r="A502" s="49" t="s">
        <v>90</v>
      </c>
    </row>
    <row r="503" spans="1:1" ht="18" thickTop="1">
      <c r="A503" s="50" t="s">
        <v>83</v>
      </c>
    </row>
    <row r="504" spans="1:1" ht="18" thickBot="1">
      <c r="A504" s="51" t="s">
        <v>84</v>
      </c>
    </row>
    <row r="505" spans="1:1">
      <c r="A505" s="50" t="s">
        <v>85</v>
      </c>
    </row>
    <row r="506" spans="1:1" ht="18" thickBot="1">
      <c r="A506" s="52" t="s">
        <v>86</v>
      </c>
    </row>
    <row r="507" spans="1:1" ht="18.600000000000001" thickTop="1" thickBot="1">
      <c r="A507" s="46" t="s">
        <v>87</v>
      </c>
    </row>
    <row r="508" spans="1:1" ht="18.600000000000001" thickTop="1" thickBot="1">
      <c r="A508" s="47" t="s">
        <v>88</v>
      </c>
    </row>
    <row r="509" spans="1:1" ht="18.600000000000001" thickTop="1" thickBot="1">
      <c r="A509" s="48" t="s">
        <v>89</v>
      </c>
    </row>
    <row r="510" spans="1:1" ht="18" thickBot="1">
      <c r="A510" s="49" t="s">
        <v>90</v>
      </c>
    </row>
    <row r="511" spans="1:1" ht="18" thickTop="1">
      <c r="A511" s="50" t="s">
        <v>83</v>
      </c>
    </row>
    <row r="512" spans="1:1" ht="18" thickBot="1">
      <c r="A512" s="51" t="s">
        <v>84</v>
      </c>
    </row>
    <row r="513" spans="1:1">
      <c r="A513" s="50" t="s">
        <v>85</v>
      </c>
    </row>
    <row r="514" spans="1:1" ht="18" thickBot="1">
      <c r="A514" s="52" t="s">
        <v>86</v>
      </c>
    </row>
    <row r="515" spans="1:1" ht="18.600000000000001" thickTop="1" thickBot="1">
      <c r="A515" s="46" t="s">
        <v>87</v>
      </c>
    </row>
    <row r="516" spans="1:1" ht="18.600000000000001" thickTop="1" thickBot="1">
      <c r="A516" s="47" t="s">
        <v>88</v>
      </c>
    </row>
    <row r="517" spans="1:1" ht="18.600000000000001" thickTop="1" thickBot="1">
      <c r="A517" s="48" t="s">
        <v>89</v>
      </c>
    </row>
    <row r="518" spans="1:1" ht="18" thickBot="1">
      <c r="A518" s="49" t="s">
        <v>90</v>
      </c>
    </row>
    <row r="519" spans="1:1" ht="18" thickTop="1">
      <c r="A519" s="50" t="s">
        <v>83</v>
      </c>
    </row>
    <row r="520" spans="1:1" ht="18" thickBot="1">
      <c r="A520" s="51" t="s">
        <v>84</v>
      </c>
    </row>
    <row r="521" spans="1:1">
      <c r="A521" s="50" t="s">
        <v>85</v>
      </c>
    </row>
    <row r="522" spans="1:1" ht="18" thickBot="1">
      <c r="A522" s="52" t="s">
        <v>86</v>
      </c>
    </row>
    <row r="523" spans="1:1" ht="18.600000000000001" thickTop="1" thickBot="1">
      <c r="A523" s="46" t="s">
        <v>87</v>
      </c>
    </row>
    <row r="524" spans="1:1" ht="18.600000000000001" thickTop="1" thickBot="1">
      <c r="A524" s="47" t="s">
        <v>88</v>
      </c>
    </row>
    <row r="525" spans="1:1" ht="18.600000000000001" thickTop="1" thickBot="1">
      <c r="A525" s="48" t="s">
        <v>89</v>
      </c>
    </row>
    <row r="526" spans="1:1" ht="18" thickBot="1">
      <c r="A526" s="49" t="s">
        <v>90</v>
      </c>
    </row>
    <row r="527" spans="1:1" ht="18" thickTop="1">
      <c r="A527" s="50" t="s">
        <v>83</v>
      </c>
    </row>
    <row r="528" spans="1:1" ht="18" thickBot="1">
      <c r="A528" s="51" t="s">
        <v>84</v>
      </c>
    </row>
    <row r="529" spans="1:1">
      <c r="A529" s="50" t="s">
        <v>85</v>
      </c>
    </row>
    <row r="530" spans="1:1" ht="18" thickBot="1">
      <c r="A530" s="52" t="s">
        <v>86</v>
      </c>
    </row>
    <row r="531" spans="1:1" ht="18.600000000000001" thickTop="1" thickBot="1">
      <c r="A531" s="46" t="s">
        <v>87</v>
      </c>
    </row>
    <row r="532" spans="1:1" ht="18.600000000000001" thickTop="1" thickBot="1">
      <c r="A532" s="47" t="s">
        <v>88</v>
      </c>
    </row>
    <row r="533" spans="1:1" ht="18.600000000000001" thickTop="1" thickBot="1">
      <c r="A533" s="48" t="s">
        <v>89</v>
      </c>
    </row>
    <row r="534" spans="1:1" ht="18" thickBot="1">
      <c r="A534" s="49" t="s">
        <v>90</v>
      </c>
    </row>
    <row r="535" spans="1:1" ht="18" thickTop="1">
      <c r="A535" s="50" t="s">
        <v>83</v>
      </c>
    </row>
    <row r="536" spans="1:1" ht="18" thickBot="1">
      <c r="A536" s="51" t="s">
        <v>84</v>
      </c>
    </row>
    <row r="537" spans="1:1">
      <c r="A537" s="50" t="s">
        <v>85</v>
      </c>
    </row>
    <row r="538" spans="1:1" ht="18" thickBot="1">
      <c r="A538" s="52" t="s">
        <v>86</v>
      </c>
    </row>
    <row r="539" spans="1:1" ht="18.600000000000001" thickTop="1" thickBot="1">
      <c r="A539" s="46" t="s">
        <v>87</v>
      </c>
    </row>
    <row r="540" spans="1:1" ht="18.600000000000001" thickTop="1" thickBot="1">
      <c r="A540" s="47" t="s">
        <v>88</v>
      </c>
    </row>
    <row r="541" spans="1:1" ht="18.600000000000001" thickTop="1" thickBot="1">
      <c r="A541" s="48" t="s">
        <v>89</v>
      </c>
    </row>
    <row r="542" spans="1:1" ht="18" thickBot="1">
      <c r="A542" s="49" t="s">
        <v>90</v>
      </c>
    </row>
    <row r="543" spans="1:1" ht="18" thickTop="1">
      <c r="A543" s="50" t="s">
        <v>83</v>
      </c>
    </row>
    <row r="544" spans="1:1" ht="18" thickBot="1">
      <c r="A544" s="51" t="s">
        <v>84</v>
      </c>
    </row>
    <row r="545" spans="1:1">
      <c r="A545" s="50" t="s">
        <v>85</v>
      </c>
    </row>
    <row r="546" spans="1:1" ht="18" thickBot="1">
      <c r="A546" s="52" t="s">
        <v>86</v>
      </c>
    </row>
    <row r="547" spans="1:1" ht="18.600000000000001" thickTop="1" thickBot="1">
      <c r="A547" s="46" t="s">
        <v>87</v>
      </c>
    </row>
    <row r="548" spans="1:1" ht="18.600000000000001" thickTop="1" thickBot="1">
      <c r="A548" s="47" t="s">
        <v>88</v>
      </c>
    </row>
    <row r="549" spans="1:1" ht="18.600000000000001" thickTop="1" thickBot="1">
      <c r="A549" s="48" t="s">
        <v>89</v>
      </c>
    </row>
    <row r="550" spans="1:1" ht="18" thickBot="1">
      <c r="A550" s="49" t="s">
        <v>90</v>
      </c>
    </row>
    <row r="551" spans="1:1" ht="18" thickTop="1">
      <c r="A551" s="50" t="s">
        <v>83</v>
      </c>
    </row>
    <row r="552" spans="1:1" ht="18" thickBot="1">
      <c r="A552" s="51" t="s">
        <v>84</v>
      </c>
    </row>
    <row r="553" spans="1:1">
      <c r="A553" s="50" t="s">
        <v>85</v>
      </c>
    </row>
    <row r="554" spans="1:1" ht="18" thickBot="1">
      <c r="A554" s="52" t="s">
        <v>86</v>
      </c>
    </row>
    <row r="555" spans="1:1" ht="18.600000000000001" thickTop="1" thickBot="1">
      <c r="A555" s="46" t="s">
        <v>87</v>
      </c>
    </row>
    <row r="556" spans="1:1" ht="18.600000000000001" thickTop="1" thickBot="1">
      <c r="A556" s="47" t="s">
        <v>88</v>
      </c>
    </row>
    <row r="557" spans="1:1" ht="18.600000000000001" thickTop="1" thickBot="1">
      <c r="A557" s="48" t="s">
        <v>89</v>
      </c>
    </row>
    <row r="558" spans="1:1" ht="18" thickBot="1">
      <c r="A558" s="49" t="s">
        <v>90</v>
      </c>
    </row>
    <row r="559" spans="1:1" ht="18" thickTop="1">
      <c r="A559" s="50" t="s">
        <v>83</v>
      </c>
    </row>
    <row r="560" spans="1:1" ht="18" thickBot="1">
      <c r="A560" s="51" t="s">
        <v>84</v>
      </c>
    </row>
    <row r="561" spans="1:1">
      <c r="A561" s="50" t="s">
        <v>85</v>
      </c>
    </row>
    <row r="562" spans="1:1" ht="18" thickBot="1">
      <c r="A562" s="52" t="s">
        <v>86</v>
      </c>
    </row>
    <row r="563" spans="1:1" ht="18.600000000000001" thickTop="1" thickBot="1">
      <c r="A563" s="46" t="s">
        <v>87</v>
      </c>
    </row>
    <row r="564" spans="1:1" ht="18.600000000000001" thickTop="1" thickBot="1">
      <c r="A564" s="47" t="s">
        <v>88</v>
      </c>
    </row>
    <row r="565" spans="1:1" ht="18.600000000000001" thickTop="1" thickBot="1">
      <c r="A565" s="48" t="s">
        <v>89</v>
      </c>
    </row>
    <row r="566" spans="1:1" ht="18" thickBot="1">
      <c r="A566" s="49" t="s">
        <v>90</v>
      </c>
    </row>
    <row r="567" spans="1:1" ht="18" thickTop="1">
      <c r="A567" s="50" t="s">
        <v>83</v>
      </c>
    </row>
    <row r="568" spans="1:1" ht="18" thickBot="1">
      <c r="A568" s="51" t="s">
        <v>84</v>
      </c>
    </row>
    <row r="569" spans="1:1">
      <c r="A569" s="50" t="s">
        <v>85</v>
      </c>
    </row>
    <row r="570" spans="1:1" ht="18" thickBot="1">
      <c r="A570" s="52" t="s">
        <v>86</v>
      </c>
    </row>
    <row r="571" spans="1:1" ht="18.600000000000001" thickTop="1" thickBot="1">
      <c r="A571" s="46" t="s">
        <v>87</v>
      </c>
    </row>
    <row r="572" spans="1:1" ht="18.600000000000001" thickTop="1" thickBot="1">
      <c r="A572" s="47" t="s">
        <v>88</v>
      </c>
    </row>
    <row r="573" spans="1:1" ht="18.600000000000001" thickTop="1" thickBot="1">
      <c r="A573" s="48" t="s">
        <v>89</v>
      </c>
    </row>
    <row r="574" spans="1:1" ht="18" thickBot="1">
      <c r="A574" s="49" t="s">
        <v>90</v>
      </c>
    </row>
    <row r="575" spans="1:1" ht="18" thickTop="1">
      <c r="A575" s="50" t="s">
        <v>83</v>
      </c>
    </row>
    <row r="576" spans="1:1" ht="18" thickBot="1">
      <c r="A576" s="51" t="s">
        <v>84</v>
      </c>
    </row>
    <row r="577" spans="1:1">
      <c r="A577" s="50" t="s">
        <v>85</v>
      </c>
    </row>
    <row r="578" spans="1:1" ht="18" thickBot="1">
      <c r="A578" s="52" t="s">
        <v>86</v>
      </c>
    </row>
    <row r="579" spans="1:1" ht="18.600000000000001" thickTop="1" thickBot="1">
      <c r="A579" s="46" t="s">
        <v>87</v>
      </c>
    </row>
    <row r="580" spans="1:1" ht="18.600000000000001" thickTop="1" thickBot="1">
      <c r="A580" s="47" t="s">
        <v>88</v>
      </c>
    </row>
    <row r="581" spans="1:1" ht="18.600000000000001" thickTop="1" thickBot="1">
      <c r="A581" s="48" t="s">
        <v>89</v>
      </c>
    </row>
    <row r="582" spans="1:1" ht="18" thickBot="1">
      <c r="A582" s="49" t="s">
        <v>90</v>
      </c>
    </row>
    <row r="583" spans="1:1" ht="18" thickTop="1">
      <c r="A583" s="50" t="s">
        <v>83</v>
      </c>
    </row>
    <row r="584" spans="1:1" ht="18" thickBot="1">
      <c r="A584" s="51" t="s">
        <v>84</v>
      </c>
    </row>
    <row r="585" spans="1:1">
      <c r="A585" s="50" t="s">
        <v>85</v>
      </c>
    </row>
    <row r="586" spans="1:1" ht="18" thickBot="1">
      <c r="A586" s="52" t="s">
        <v>86</v>
      </c>
    </row>
    <row r="587" spans="1:1" ht="18.600000000000001" thickTop="1" thickBot="1">
      <c r="A587" s="46" t="s">
        <v>87</v>
      </c>
    </row>
    <row r="588" spans="1:1" ht="18.600000000000001" thickTop="1" thickBot="1">
      <c r="A588" s="47" t="s">
        <v>88</v>
      </c>
    </row>
    <row r="589" spans="1:1" ht="18.600000000000001" thickTop="1" thickBot="1">
      <c r="A589" s="48" t="s">
        <v>89</v>
      </c>
    </row>
    <row r="590" spans="1:1" ht="18" thickBot="1">
      <c r="A590" s="49" t="s">
        <v>90</v>
      </c>
    </row>
    <row r="591" spans="1:1" ht="18" thickTop="1">
      <c r="A591" s="50" t="s">
        <v>83</v>
      </c>
    </row>
    <row r="592" spans="1:1" ht="18" thickBot="1">
      <c r="A592" s="51" t="s">
        <v>84</v>
      </c>
    </row>
    <row r="593" spans="1:1">
      <c r="A593" s="50" t="s">
        <v>85</v>
      </c>
    </row>
    <row r="594" spans="1:1" ht="18" thickBot="1">
      <c r="A594" s="52" t="s">
        <v>86</v>
      </c>
    </row>
    <row r="595" spans="1:1" ht="18.600000000000001" thickTop="1" thickBot="1">
      <c r="A595" s="46" t="s">
        <v>87</v>
      </c>
    </row>
    <row r="596" spans="1:1" ht="18.600000000000001" thickTop="1" thickBot="1">
      <c r="A596" s="47" t="s">
        <v>88</v>
      </c>
    </row>
    <row r="597" spans="1:1" ht="18.600000000000001" thickTop="1" thickBot="1">
      <c r="A597" s="48" t="s">
        <v>89</v>
      </c>
    </row>
    <row r="598" spans="1:1" ht="18" thickBot="1">
      <c r="A598" s="49" t="s">
        <v>90</v>
      </c>
    </row>
    <row r="599" spans="1:1" ht="18" thickTop="1">
      <c r="A599" s="50" t="s">
        <v>83</v>
      </c>
    </row>
    <row r="600" spans="1:1" ht="18" thickBot="1">
      <c r="A600" s="51" t="s">
        <v>84</v>
      </c>
    </row>
    <row r="601" spans="1:1">
      <c r="A601" s="50" t="s">
        <v>85</v>
      </c>
    </row>
    <row r="602" spans="1:1" ht="18" thickBot="1">
      <c r="A602" s="52" t="s">
        <v>86</v>
      </c>
    </row>
    <row r="603" spans="1:1" ht="18" thickTop="1"/>
  </sheetData>
  <phoneticPr fontId="1" type="noConversion"/>
  <conditionalFormatting sqref="A451:A456 A459:A464 A467:A472 A475:A480 A483:A488 A491:A496 A499:A504 A507:A512 A515:A520 A523:A528 A531:A536 A539:A544 A547:A552 A555:A560 A563:A568 A571:A576 A579:A584 A587:A592 A595:A600 A241:A246 A249:A254 A257:A262 A265:A270 A273:A278 A281:A286 A289:A294 A297:A302 A305:A448 A9:A14 A17:A22 A25:A30 A33:A38 A41:A46 A49:A54 A57:A62 A65:A70 A73:A78 A81:A86 A89:A94 A97:A102 A105:A110 A113:A118 A121:A126 A129:A134 A137:A142 A145:A150 A153:A158 A161:A166 A169:A174 A177:A182 A185:A190 A193:A198 A201:A206 A209:A214 A217:A222 A225:A230 A233:A238">
    <cfRule type="expression" dxfId="319" priority="7231">
      <formula>A$9="휴무"</formula>
    </cfRule>
    <cfRule type="expression" dxfId="318" priority="7232">
      <formula>A$9="야간"</formula>
    </cfRule>
    <cfRule type="expression" dxfId="317" priority="7233">
      <formula>A$9="비번"</formula>
    </cfRule>
    <cfRule type="expression" dxfId="316" priority="7234">
      <formula>A$9="주간"</formula>
    </cfRule>
    <cfRule type="expression" dxfId="315" priority="7235">
      <formula>A$9="당직"</formula>
    </cfRule>
  </conditionalFormatting>
  <conditionalFormatting sqref="A457:A458 A465:A466 A473:A474 A481:A482 A489:A490 A497:A498 A505:A506 A513:A514 A521:A522 A529:A530 A537:A538 A545:A546 A553:A554 A561:A562 A569:A570 A577:A578 A585:A586 A593:A594 A601:A602 A247:A248 A255:A256 A263:A264 A271:A272 A279:A280 A287:A288 A295:A296 A303:A304 A311:A314 A319:A322 A327:A330 A335:A338 A343:A346 A351:A354 A359:A362 A367:A370 A375:A378 A383:A386 A391:A394 A399:A402 A407:A410 A415:A418 A423:A426 A431:A434 A439:A442 A447:A450 A15:A16 A23:A24 A31:A32 A39:A40 A47:A48 A55:A56 A63:A64 A71:A72 A79:A80 A87:A88 A95:A96 A103:A104 A111:A112 A119:A120 A127:A128 A135:A136 A143:A144 A151:A152 A159:A160 A167:A168 A175:A176 A183:A184 A191:A192 A199:A200 A207:A208 A215:A216 A223:A224 A231:A232 A239:A240">
    <cfRule type="expression" dxfId="314" priority="7276">
      <formula>A$13="휴무"</formula>
    </cfRule>
    <cfRule type="expression" dxfId="313" priority="7277">
      <formula>A$13="야간"</formula>
    </cfRule>
    <cfRule type="expression" dxfId="312" priority="7278">
      <formula>A$13="비번"</formula>
    </cfRule>
    <cfRule type="expression" dxfId="311" priority="7279">
      <formula>A$13="주간"</formula>
    </cfRule>
    <cfRule type="expression" dxfId="310" priority="7280">
      <formula>A$13="당직"</formula>
    </cfRule>
  </conditionalFormatting>
  <conditionalFormatting sqref="A1:A6">
    <cfRule type="expression" dxfId="309" priority="6">
      <formula>A$9="휴무"</formula>
    </cfRule>
    <cfRule type="expression" dxfId="308" priority="7">
      <formula>A$9="야간"</formula>
    </cfRule>
    <cfRule type="expression" dxfId="307" priority="8">
      <formula>A$9="비번"</formula>
    </cfRule>
    <cfRule type="expression" dxfId="306" priority="9">
      <formula>A$9="주간"</formula>
    </cfRule>
    <cfRule type="expression" dxfId="305" priority="10">
      <formula>A$9="당직"</formula>
    </cfRule>
  </conditionalFormatting>
  <conditionalFormatting sqref="A7:A8">
    <cfRule type="expression" dxfId="304" priority="11">
      <formula>A$13="휴무"</formula>
    </cfRule>
    <cfRule type="expression" dxfId="303" priority="12">
      <formula>A$13="야간"</formula>
    </cfRule>
    <cfRule type="expression" dxfId="302" priority="13">
      <formula>A$13="비번"</formula>
    </cfRule>
    <cfRule type="expression" dxfId="301" priority="14">
      <formula>A$13="주간"</formula>
    </cfRule>
    <cfRule type="expression" dxfId="300" priority="15">
      <formula>A$13="당직"</formula>
    </cfRule>
  </conditionalFormatting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6" id="{90DFA907-9E96-4CD7-8A1B-3DCDE6CAAD18}">
            <xm:f>'cal3'!F$4="휴무"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77" id="{32FC75FA-AE79-4311-88CB-867666C6F229}">
            <xm:f>'cal3'!F$4="야간"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78" id="{6E9F8BA6-E60B-4EF0-B0FC-366C00162048}">
            <xm:f>'cal3'!F$4="비번"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79" id="{EF3289A1-8E6F-46E9-BBAB-E6441AAD3D7F}">
            <xm:f>'cal3'!F$4="주간"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80" id="{28E78194-27CE-4190-B8E6-688E7541638C}">
            <xm:f>'cal3'!F$4="당직"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B9:H16</xm:sqref>
        </x14:conditionalFormatting>
        <x14:conditionalFormatting xmlns:xm="http://schemas.microsoft.com/office/excel/2006/main">
          <x14:cfRule type="expression" priority="86" id="{90DFA907-9E96-4CD7-8A1B-3DCDE6CAAD18}">
            <xm:f>'cal3'!M$4="휴무"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87" id="{32FC75FA-AE79-4311-88CB-867666C6F229}">
            <xm:f>'cal3'!M$4="야간"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88" id="{6E9F8BA6-E60B-4EF0-B0FC-366C00162048}">
            <xm:f>'cal3'!M$4="비번"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89" id="{EF3289A1-8E6F-46E9-BBAB-E6441AAD3D7F}">
            <xm:f>'cal3'!M$4="주간"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90" id="{28E78194-27CE-4190-B8E6-688E7541638C}">
            <xm:f>'cal3'!M$4="당직"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B17:H24</xm:sqref>
        </x14:conditionalFormatting>
        <x14:conditionalFormatting xmlns:xm="http://schemas.microsoft.com/office/excel/2006/main">
          <x14:cfRule type="expression" priority="101" id="{90DFA907-9E96-4CD7-8A1B-3DCDE6CAAD18}">
            <xm:f>'cal3'!T$4="휴무"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02" id="{32FC75FA-AE79-4311-88CB-867666C6F229}">
            <xm:f>'cal3'!T$4="야간"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03" id="{6E9F8BA6-E60B-4EF0-B0FC-366C00162048}">
            <xm:f>'cal3'!T$4="비번"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04" id="{EF3289A1-8E6F-46E9-BBAB-E6441AAD3D7F}">
            <xm:f>'cal3'!T$4="주간"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05" id="{28E78194-27CE-4190-B8E6-688E7541638C}">
            <xm:f>'cal3'!T$4="당직"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B25:H32</xm:sqref>
        </x14:conditionalFormatting>
        <x14:conditionalFormatting xmlns:xm="http://schemas.microsoft.com/office/excel/2006/main">
          <x14:cfRule type="expression" priority="121" id="{90DFA907-9E96-4CD7-8A1B-3DCDE6CAAD18}">
            <xm:f>'cal3'!AA$4="휴무"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22" id="{32FC75FA-AE79-4311-88CB-867666C6F229}">
            <xm:f>'cal3'!AA$4="야간"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23" id="{6E9F8BA6-E60B-4EF0-B0FC-366C00162048}">
            <xm:f>'cal3'!AA$4="비번"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24" id="{EF3289A1-8E6F-46E9-BBAB-E6441AAD3D7F}">
            <xm:f>'cal3'!AA$4="주간"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25" id="{28E78194-27CE-4190-B8E6-688E7541638C}">
            <xm:f>'cal3'!AA$4="당직"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B33:H40</xm:sqref>
        </x14:conditionalFormatting>
        <x14:conditionalFormatting xmlns:xm="http://schemas.microsoft.com/office/excel/2006/main">
          <x14:cfRule type="expression" priority="146" id="{90DFA907-9E96-4CD7-8A1B-3DCDE6CAAD18}">
            <xm:f>'cal3'!AH$4="휴무"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47" id="{32FC75FA-AE79-4311-88CB-867666C6F229}">
            <xm:f>'cal3'!AH$4="야간"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48" id="{6E9F8BA6-E60B-4EF0-B0FC-366C00162048}">
            <xm:f>'cal3'!AH$4="비번"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49" id="{EF3289A1-8E6F-46E9-BBAB-E6441AAD3D7F}">
            <xm:f>'cal3'!AH$4="주간"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50" id="{28E78194-27CE-4190-B8E6-688E7541638C}">
            <xm:f>'cal3'!AH$4="당직"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B41:H48</xm:sqref>
        </x14:conditionalFormatting>
        <x14:conditionalFormatting xmlns:xm="http://schemas.microsoft.com/office/excel/2006/main">
          <x14:cfRule type="expression" priority="176" id="{90DFA907-9E96-4CD7-8A1B-3DCDE6CAAD18}">
            <xm:f>'cal3'!AO$4="휴무"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77" id="{32FC75FA-AE79-4311-88CB-867666C6F229}">
            <xm:f>'cal3'!AO$4="야간"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78" id="{6E9F8BA6-E60B-4EF0-B0FC-366C00162048}">
            <xm:f>'cal3'!AO$4="비번"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79" id="{EF3289A1-8E6F-46E9-BBAB-E6441AAD3D7F}">
            <xm:f>'cal3'!AO$4="주간"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80" id="{28E78194-27CE-4190-B8E6-688E7541638C}">
            <xm:f>'cal3'!AO$4="당직"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B49:H56</xm:sqref>
        </x14:conditionalFormatting>
        <x14:conditionalFormatting xmlns:xm="http://schemas.microsoft.com/office/excel/2006/main">
          <x14:cfRule type="expression" priority="211" id="{90DFA907-9E96-4CD7-8A1B-3DCDE6CAAD18}">
            <xm:f>'cal3'!AV$4="휴무"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12" id="{32FC75FA-AE79-4311-88CB-867666C6F229}">
            <xm:f>'cal3'!AV$4="야간"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13" id="{6E9F8BA6-E60B-4EF0-B0FC-366C00162048}">
            <xm:f>'cal3'!AV$4="비번"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14" id="{EF3289A1-8E6F-46E9-BBAB-E6441AAD3D7F}">
            <xm:f>'cal3'!AV$4="주간"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15" id="{28E78194-27CE-4190-B8E6-688E7541638C}">
            <xm:f>'cal3'!AV$4="당직"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B57:H64</xm:sqref>
        </x14:conditionalFormatting>
        <x14:conditionalFormatting xmlns:xm="http://schemas.microsoft.com/office/excel/2006/main">
          <x14:cfRule type="expression" priority="251" id="{90DFA907-9E96-4CD7-8A1B-3DCDE6CAAD18}">
            <xm:f>'cal3'!BC$4="휴무"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52" id="{32FC75FA-AE79-4311-88CB-867666C6F229}">
            <xm:f>'cal3'!BC$4="야간"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53" id="{6E9F8BA6-E60B-4EF0-B0FC-366C00162048}">
            <xm:f>'cal3'!BC$4="비번"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54" id="{EF3289A1-8E6F-46E9-BBAB-E6441AAD3D7F}">
            <xm:f>'cal3'!BC$4="주간"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55" id="{28E78194-27CE-4190-B8E6-688E7541638C}">
            <xm:f>'cal3'!BC$4="당직"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B65:H72</xm:sqref>
        </x14:conditionalFormatting>
        <x14:conditionalFormatting xmlns:xm="http://schemas.microsoft.com/office/excel/2006/main">
          <x14:cfRule type="expression" priority="296" id="{90DFA907-9E96-4CD7-8A1B-3DCDE6CAAD18}">
            <xm:f>'cal3'!BJ$4="휴무"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97" id="{32FC75FA-AE79-4311-88CB-867666C6F229}">
            <xm:f>'cal3'!BJ$4="야간"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98" id="{6E9F8BA6-E60B-4EF0-B0FC-366C00162048}">
            <xm:f>'cal3'!BJ$4="비번"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99" id="{EF3289A1-8E6F-46E9-BBAB-E6441AAD3D7F}">
            <xm:f>'cal3'!BJ$4="주간"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00" id="{28E78194-27CE-4190-B8E6-688E7541638C}">
            <xm:f>'cal3'!BJ$4="당직"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B73:H80</xm:sqref>
        </x14:conditionalFormatting>
        <x14:conditionalFormatting xmlns:xm="http://schemas.microsoft.com/office/excel/2006/main">
          <x14:cfRule type="expression" priority="346" id="{90DFA907-9E96-4CD7-8A1B-3DCDE6CAAD18}">
            <xm:f>'cal3'!BQ$4="휴무"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347" id="{32FC75FA-AE79-4311-88CB-867666C6F229}">
            <xm:f>'cal3'!BQ$4="야간"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48" id="{6E9F8BA6-E60B-4EF0-B0FC-366C00162048}">
            <xm:f>'cal3'!BQ$4="비번"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349" id="{EF3289A1-8E6F-46E9-BBAB-E6441AAD3D7F}">
            <xm:f>'cal3'!BQ$4="주간"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50" id="{28E78194-27CE-4190-B8E6-688E7541638C}">
            <xm:f>'cal3'!BQ$4="당직"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B81:H88</xm:sqref>
        </x14:conditionalFormatting>
        <x14:conditionalFormatting xmlns:xm="http://schemas.microsoft.com/office/excel/2006/main">
          <x14:cfRule type="expression" priority="401" id="{90DFA907-9E96-4CD7-8A1B-3DCDE6CAAD18}">
            <xm:f>'cal3'!BX$4="휴무"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402" id="{32FC75FA-AE79-4311-88CB-867666C6F229}">
            <xm:f>'cal3'!BX$4="야간"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403" id="{6E9F8BA6-E60B-4EF0-B0FC-366C00162048}">
            <xm:f>'cal3'!BX$4="비번"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404" id="{EF3289A1-8E6F-46E9-BBAB-E6441AAD3D7F}">
            <xm:f>'cal3'!BX$4="주간"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405" id="{28E78194-27CE-4190-B8E6-688E7541638C}">
            <xm:f>'cal3'!BX$4="당직"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B89:H96</xm:sqref>
        </x14:conditionalFormatting>
        <x14:conditionalFormatting xmlns:xm="http://schemas.microsoft.com/office/excel/2006/main">
          <x14:cfRule type="expression" priority="461" id="{90DFA907-9E96-4CD7-8A1B-3DCDE6CAAD18}">
            <xm:f>'cal3'!CE$4="휴무"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462" id="{32FC75FA-AE79-4311-88CB-867666C6F229}">
            <xm:f>'cal3'!CE$4="야간"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463" id="{6E9F8BA6-E60B-4EF0-B0FC-366C00162048}">
            <xm:f>'cal3'!CE$4="비번"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464" id="{EF3289A1-8E6F-46E9-BBAB-E6441AAD3D7F}">
            <xm:f>'cal3'!CE$4="주간"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465" id="{28E78194-27CE-4190-B8E6-688E7541638C}">
            <xm:f>'cal3'!CE$4="당직"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B97:H104</xm:sqref>
        </x14:conditionalFormatting>
        <x14:conditionalFormatting xmlns:xm="http://schemas.microsoft.com/office/excel/2006/main">
          <x14:cfRule type="expression" priority="526" id="{90DFA907-9E96-4CD7-8A1B-3DCDE6CAAD18}">
            <xm:f>'cal3'!CL$4="휴무"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527" id="{32FC75FA-AE79-4311-88CB-867666C6F229}">
            <xm:f>'cal3'!CL$4="야간"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528" id="{6E9F8BA6-E60B-4EF0-B0FC-366C00162048}">
            <xm:f>'cal3'!CL$4="비번"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529" id="{EF3289A1-8E6F-46E9-BBAB-E6441AAD3D7F}">
            <xm:f>'cal3'!CL$4="주간"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530" id="{28E78194-27CE-4190-B8E6-688E7541638C}">
            <xm:f>'cal3'!CL$4="당직"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B105:H112</xm:sqref>
        </x14:conditionalFormatting>
        <x14:conditionalFormatting xmlns:xm="http://schemas.microsoft.com/office/excel/2006/main">
          <x14:cfRule type="expression" priority="596" id="{90DFA907-9E96-4CD7-8A1B-3DCDE6CAAD18}">
            <xm:f>'cal3'!CS$4="휴무"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597" id="{32FC75FA-AE79-4311-88CB-867666C6F229}">
            <xm:f>'cal3'!CS$4="야간"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598" id="{6E9F8BA6-E60B-4EF0-B0FC-366C00162048}">
            <xm:f>'cal3'!CS$4="비번"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599" id="{EF3289A1-8E6F-46E9-BBAB-E6441AAD3D7F}">
            <xm:f>'cal3'!CS$4="주간"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600" id="{28E78194-27CE-4190-B8E6-688E7541638C}">
            <xm:f>'cal3'!CS$4="당직"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B113:H120</xm:sqref>
        </x14:conditionalFormatting>
        <x14:conditionalFormatting xmlns:xm="http://schemas.microsoft.com/office/excel/2006/main">
          <x14:cfRule type="expression" priority="671" id="{90DFA907-9E96-4CD7-8A1B-3DCDE6CAAD18}">
            <xm:f>'cal3'!CZ$4="휴무"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672" id="{32FC75FA-AE79-4311-88CB-867666C6F229}">
            <xm:f>'cal3'!CZ$4="야간"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673" id="{6E9F8BA6-E60B-4EF0-B0FC-366C00162048}">
            <xm:f>'cal3'!CZ$4="비번"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674" id="{EF3289A1-8E6F-46E9-BBAB-E6441AAD3D7F}">
            <xm:f>'cal3'!CZ$4="주간"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675" id="{28E78194-27CE-4190-B8E6-688E7541638C}">
            <xm:f>'cal3'!CZ$4="당직"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B121:H128</xm:sqref>
        </x14:conditionalFormatting>
        <x14:conditionalFormatting xmlns:xm="http://schemas.microsoft.com/office/excel/2006/main">
          <x14:cfRule type="expression" priority="751" id="{90DFA907-9E96-4CD7-8A1B-3DCDE6CAAD18}">
            <xm:f>'cal3'!DG$4="휴무"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752" id="{32FC75FA-AE79-4311-88CB-867666C6F229}">
            <xm:f>'cal3'!DG$4="야간"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753" id="{6E9F8BA6-E60B-4EF0-B0FC-366C00162048}">
            <xm:f>'cal3'!DG$4="비번"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754" id="{EF3289A1-8E6F-46E9-BBAB-E6441AAD3D7F}">
            <xm:f>'cal3'!DG$4="주간"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755" id="{28E78194-27CE-4190-B8E6-688E7541638C}">
            <xm:f>'cal3'!DG$4="당직"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B129:H136</xm:sqref>
        </x14:conditionalFormatting>
        <x14:conditionalFormatting xmlns:xm="http://schemas.microsoft.com/office/excel/2006/main">
          <x14:cfRule type="expression" priority="836" id="{90DFA907-9E96-4CD7-8A1B-3DCDE6CAAD18}">
            <xm:f>'cal3'!DN$4="휴무"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837" id="{32FC75FA-AE79-4311-88CB-867666C6F229}">
            <xm:f>'cal3'!DN$4="야간"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838" id="{6E9F8BA6-E60B-4EF0-B0FC-366C00162048}">
            <xm:f>'cal3'!DN$4="비번"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839" id="{EF3289A1-8E6F-46E9-BBAB-E6441AAD3D7F}">
            <xm:f>'cal3'!DN$4="주간"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840" id="{28E78194-27CE-4190-B8E6-688E7541638C}">
            <xm:f>'cal3'!DN$4="당직"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B137:H144</xm:sqref>
        </x14:conditionalFormatting>
        <x14:conditionalFormatting xmlns:xm="http://schemas.microsoft.com/office/excel/2006/main">
          <x14:cfRule type="expression" priority="926" id="{90DFA907-9E96-4CD7-8A1B-3DCDE6CAAD18}">
            <xm:f>'cal3'!DU$4="휴무"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927" id="{32FC75FA-AE79-4311-88CB-867666C6F229}">
            <xm:f>'cal3'!DU$4="야간"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928" id="{6E9F8BA6-E60B-4EF0-B0FC-366C00162048}">
            <xm:f>'cal3'!DU$4="비번"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929" id="{EF3289A1-8E6F-46E9-BBAB-E6441AAD3D7F}">
            <xm:f>'cal3'!DU$4="주간"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930" id="{28E78194-27CE-4190-B8E6-688E7541638C}">
            <xm:f>'cal3'!DU$4="당직"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B145:H152</xm:sqref>
        </x14:conditionalFormatting>
        <x14:conditionalFormatting xmlns:xm="http://schemas.microsoft.com/office/excel/2006/main">
          <x14:cfRule type="expression" priority="1021" id="{90DFA907-9E96-4CD7-8A1B-3DCDE6CAAD18}">
            <xm:f>'cal3'!EB$4="휴무"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022" id="{32FC75FA-AE79-4311-88CB-867666C6F229}">
            <xm:f>'cal3'!EB$4="야간"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023" id="{6E9F8BA6-E60B-4EF0-B0FC-366C00162048}">
            <xm:f>'cal3'!EB$4="비번"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024" id="{EF3289A1-8E6F-46E9-BBAB-E6441AAD3D7F}">
            <xm:f>'cal3'!EB$4="주간"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025" id="{28E78194-27CE-4190-B8E6-688E7541638C}">
            <xm:f>'cal3'!EB$4="당직"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B153:H160</xm:sqref>
        </x14:conditionalFormatting>
        <x14:conditionalFormatting xmlns:xm="http://schemas.microsoft.com/office/excel/2006/main">
          <x14:cfRule type="expression" priority="1121" id="{90DFA907-9E96-4CD7-8A1B-3DCDE6CAAD18}">
            <xm:f>'cal3'!EI$4="휴무"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122" id="{32FC75FA-AE79-4311-88CB-867666C6F229}">
            <xm:f>'cal3'!EI$4="야간"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123" id="{6E9F8BA6-E60B-4EF0-B0FC-366C00162048}">
            <xm:f>'cal3'!EI$4="비번"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124" id="{EF3289A1-8E6F-46E9-BBAB-E6441AAD3D7F}">
            <xm:f>'cal3'!EI$4="주간"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125" id="{28E78194-27CE-4190-B8E6-688E7541638C}">
            <xm:f>'cal3'!EI$4="당직"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B161:H168</xm:sqref>
        </x14:conditionalFormatting>
        <x14:conditionalFormatting xmlns:xm="http://schemas.microsoft.com/office/excel/2006/main">
          <x14:cfRule type="expression" priority="1226" id="{90DFA907-9E96-4CD7-8A1B-3DCDE6CAAD18}">
            <xm:f>'cal3'!EP$4="휴무"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227" id="{32FC75FA-AE79-4311-88CB-867666C6F229}">
            <xm:f>'cal3'!EP$4="야간"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228" id="{6E9F8BA6-E60B-4EF0-B0FC-366C00162048}">
            <xm:f>'cal3'!EP$4="비번"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229" id="{EF3289A1-8E6F-46E9-BBAB-E6441AAD3D7F}">
            <xm:f>'cal3'!EP$4="주간"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230" id="{28E78194-27CE-4190-B8E6-688E7541638C}">
            <xm:f>'cal3'!EP$4="당직"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B169:H176</xm:sqref>
        </x14:conditionalFormatting>
        <x14:conditionalFormatting xmlns:xm="http://schemas.microsoft.com/office/excel/2006/main">
          <x14:cfRule type="expression" priority="1336" id="{90DFA907-9E96-4CD7-8A1B-3DCDE6CAAD18}">
            <xm:f>'cal3'!EW$4="휴무"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337" id="{32FC75FA-AE79-4311-88CB-867666C6F229}">
            <xm:f>'cal3'!EW$4="야간"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338" id="{6E9F8BA6-E60B-4EF0-B0FC-366C00162048}">
            <xm:f>'cal3'!EW$4="비번"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339" id="{EF3289A1-8E6F-46E9-BBAB-E6441AAD3D7F}">
            <xm:f>'cal3'!EW$4="주간"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340" id="{28E78194-27CE-4190-B8E6-688E7541638C}">
            <xm:f>'cal3'!EW$4="당직"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B177:H184</xm:sqref>
        </x14:conditionalFormatting>
        <x14:conditionalFormatting xmlns:xm="http://schemas.microsoft.com/office/excel/2006/main">
          <x14:cfRule type="expression" priority="1451" id="{90DFA907-9E96-4CD7-8A1B-3DCDE6CAAD18}">
            <xm:f>'cal3'!FD$4="휴무"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452" id="{32FC75FA-AE79-4311-88CB-867666C6F229}">
            <xm:f>'cal3'!FD$4="야간"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453" id="{6E9F8BA6-E60B-4EF0-B0FC-366C00162048}">
            <xm:f>'cal3'!FD$4="비번"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454" id="{EF3289A1-8E6F-46E9-BBAB-E6441AAD3D7F}">
            <xm:f>'cal3'!FD$4="주간"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455" id="{28E78194-27CE-4190-B8E6-688E7541638C}">
            <xm:f>'cal3'!FD$4="당직"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B185:H192</xm:sqref>
        </x14:conditionalFormatting>
        <x14:conditionalFormatting xmlns:xm="http://schemas.microsoft.com/office/excel/2006/main">
          <x14:cfRule type="expression" priority="1571" id="{90DFA907-9E96-4CD7-8A1B-3DCDE6CAAD18}">
            <xm:f>'cal3'!FK$4="휴무"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572" id="{32FC75FA-AE79-4311-88CB-867666C6F229}">
            <xm:f>'cal3'!FK$4="야간"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573" id="{6E9F8BA6-E60B-4EF0-B0FC-366C00162048}">
            <xm:f>'cal3'!FK$4="비번"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574" id="{EF3289A1-8E6F-46E9-BBAB-E6441AAD3D7F}">
            <xm:f>'cal3'!FK$4="주간"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575" id="{28E78194-27CE-4190-B8E6-688E7541638C}">
            <xm:f>'cal3'!FK$4="당직"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B193:H200</xm:sqref>
        </x14:conditionalFormatting>
        <x14:conditionalFormatting xmlns:xm="http://schemas.microsoft.com/office/excel/2006/main">
          <x14:cfRule type="expression" priority="1696" id="{90DFA907-9E96-4CD7-8A1B-3DCDE6CAAD18}">
            <xm:f>'cal3'!FR$4="휴무"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697" id="{32FC75FA-AE79-4311-88CB-867666C6F229}">
            <xm:f>'cal3'!FR$4="야간"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698" id="{6E9F8BA6-E60B-4EF0-B0FC-366C00162048}">
            <xm:f>'cal3'!FR$4="비번"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699" id="{EF3289A1-8E6F-46E9-BBAB-E6441AAD3D7F}">
            <xm:f>'cal3'!FR$4="주간"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700" id="{28E78194-27CE-4190-B8E6-688E7541638C}">
            <xm:f>'cal3'!FR$4="당직"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B201:H208</xm:sqref>
        </x14:conditionalFormatting>
        <x14:conditionalFormatting xmlns:xm="http://schemas.microsoft.com/office/excel/2006/main">
          <x14:cfRule type="expression" priority="1826" id="{90DFA907-9E96-4CD7-8A1B-3DCDE6CAAD18}">
            <xm:f>'cal3'!FY$4="휴무"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827" id="{32FC75FA-AE79-4311-88CB-867666C6F229}">
            <xm:f>'cal3'!FY$4="야간"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828" id="{6E9F8BA6-E60B-4EF0-B0FC-366C00162048}">
            <xm:f>'cal3'!FY$4="비번"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829" id="{EF3289A1-8E6F-46E9-BBAB-E6441AAD3D7F}">
            <xm:f>'cal3'!FY$4="주간"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830" id="{28E78194-27CE-4190-B8E6-688E7541638C}">
            <xm:f>'cal3'!FY$4="당직"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B209:H216</xm:sqref>
        </x14:conditionalFormatting>
        <x14:conditionalFormatting xmlns:xm="http://schemas.microsoft.com/office/excel/2006/main">
          <x14:cfRule type="expression" priority="1961" id="{90DFA907-9E96-4CD7-8A1B-3DCDE6CAAD18}">
            <xm:f>'cal3'!GF$4="휴무"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1962" id="{32FC75FA-AE79-4311-88CB-867666C6F229}">
            <xm:f>'cal3'!GF$4="야간"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1963" id="{6E9F8BA6-E60B-4EF0-B0FC-366C00162048}">
            <xm:f>'cal3'!GF$4="비번"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1964" id="{EF3289A1-8E6F-46E9-BBAB-E6441AAD3D7F}">
            <xm:f>'cal3'!GF$4="주간"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1965" id="{28E78194-27CE-4190-B8E6-688E7541638C}">
            <xm:f>'cal3'!GF$4="당직"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B217:H224</xm:sqref>
        </x14:conditionalFormatting>
        <x14:conditionalFormatting xmlns:xm="http://schemas.microsoft.com/office/excel/2006/main">
          <x14:cfRule type="expression" priority="2101" id="{90DFA907-9E96-4CD7-8A1B-3DCDE6CAAD18}">
            <xm:f>'cal3'!GM$4="휴무"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102" id="{32FC75FA-AE79-4311-88CB-867666C6F229}">
            <xm:f>'cal3'!GM$4="야간"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103" id="{6E9F8BA6-E60B-4EF0-B0FC-366C00162048}">
            <xm:f>'cal3'!GM$4="비번"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104" id="{EF3289A1-8E6F-46E9-BBAB-E6441AAD3D7F}">
            <xm:f>'cal3'!GM$4="주간"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105" id="{28E78194-27CE-4190-B8E6-688E7541638C}">
            <xm:f>'cal3'!GM$4="당직"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B225:H232</xm:sqref>
        </x14:conditionalFormatting>
        <x14:conditionalFormatting xmlns:xm="http://schemas.microsoft.com/office/excel/2006/main">
          <x14:cfRule type="expression" priority="2246" id="{90DFA907-9E96-4CD7-8A1B-3DCDE6CAAD18}">
            <xm:f>'cal3'!GT$4="휴무"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247" id="{32FC75FA-AE79-4311-88CB-867666C6F229}">
            <xm:f>'cal3'!GT$4="야간"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248" id="{6E9F8BA6-E60B-4EF0-B0FC-366C00162048}">
            <xm:f>'cal3'!GT$4="비번"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249" id="{EF3289A1-8E6F-46E9-BBAB-E6441AAD3D7F}">
            <xm:f>'cal3'!GT$4="주간"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250" id="{28E78194-27CE-4190-B8E6-688E7541638C}">
            <xm:f>'cal3'!GT$4="당직"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B233:H240</xm:sqref>
        </x14:conditionalFormatting>
        <x14:conditionalFormatting xmlns:xm="http://schemas.microsoft.com/office/excel/2006/main">
          <x14:cfRule type="expression" priority="2396" id="{90DFA907-9E96-4CD7-8A1B-3DCDE6CAAD18}">
            <xm:f>'cal3'!HA$4="휴무"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397" id="{32FC75FA-AE79-4311-88CB-867666C6F229}">
            <xm:f>'cal3'!HA$4="야간"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398" id="{6E9F8BA6-E60B-4EF0-B0FC-366C00162048}">
            <xm:f>'cal3'!HA$4="비번"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399" id="{EF3289A1-8E6F-46E9-BBAB-E6441AAD3D7F}">
            <xm:f>'cal3'!HA$4="주간"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400" id="{28E78194-27CE-4190-B8E6-688E7541638C}">
            <xm:f>'cal3'!HA$4="당직"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B241:H248</xm:sqref>
        </x14:conditionalFormatting>
        <x14:conditionalFormatting xmlns:xm="http://schemas.microsoft.com/office/excel/2006/main">
          <x14:cfRule type="expression" priority="2551" id="{90DFA907-9E96-4CD7-8A1B-3DCDE6CAAD18}">
            <xm:f>'cal3'!HH$4="휴무"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552" id="{32FC75FA-AE79-4311-88CB-867666C6F229}">
            <xm:f>'cal3'!HH$4="야간"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553" id="{6E9F8BA6-E60B-4EF0-B0FC-366C00162048}">
            <xm:f>'cal3'!HH$4="비번"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554" id="{EF3289A1-8E6F-46E9-BBAB-E6441AAD3D7F}">
            <xm:f>'cal3'!HH$4="주간"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555" id="{28E78194-27CE-4190-B8E6-688E7541638C}">
            <xm:f>'cal3'!HH$4="당직"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B249:H256</xm:sqref>
        </x14:conditionalFormatting>
        <x14:conditionalFormatting xmlns:xm="http://schemas.microsoft.com/office/excel/2006/main">
          <x14:cfRule type="expression" priority="2711" id="{90DFA907-9E96-4CD7-8A1B-3DCDE6CAAD18}">
            <xm:f>'cal3'!HO$4="휴무"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712" id="{32FC75FA-AE79-4311-88CB-867666C6F229}">
            <xm:f>'cal3'!HO$4="야간"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713" id="{6E9F8BA6-E60B-4EF0-B0FC-366C00162048}">
            <xm:f>'cal3'!HO$4="비번"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714" id="{EF3289A1-8E6F-46E9-BBAB-E6441AAD3D7F}">
            <xm:f>'cal3'!HO$4="주간"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715" id="{28E78194-27CE-4190-B8E6-688E7541638C}">
            <xm:f>'cal3'!HO$4="당직"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B257:H264</xm:sqref>
        </x14:conditionalFormatting>
        <x14:conditionalFormatting xmlns:xm="http://schemas.microsoft.com/office/excel/2006/main">
          <x14:cfRule type="expression" priority="2876" id="{90DFA907-9E96-4CD7-8A1B-3DCDE6CAAD18}">
            <xm:f>'cal3'!HV$4="휴무"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877" id="{32FC75FA-AE79-4311-88CB-867666C6F229}">
            <xm:f>'cal3'!HV$4="야간"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2878" id="{6E9F8BA6-E60B-4EF0-B0FC-366C00162048}">
            <xm:f>'cal3'!HV$4="비번"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2879" id="{EF3289A1-8E6F-46E9-BBAB-E6441AAD3D7F}">
            <xm:f>'cal3'!HV$4="주간"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2880" id="{28E78194-27CE-4190-B8E6-688E7541638C}">
            <xm:f>'cal3'!HV$4="당직"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B265:H272</xm:sqref>
        </x14:conditionalFormatting>
        <x14:conditionalFormatting xmlns:xm="http://schemas.microsoft.com/office/excel/2006/main">
          <x14:cfRule type="expression" priority="3046" id="{90DFA907-9E96-4CD7-8A1B-3DCDE6CAAD18}">
            <xm:f>'cal3'!IC$4="휴무"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3047" id="{32FC75FA-AE79-4311-88CB-867666C6F229}">
            <xm:f>'cal3'!IC$4="야간"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048" id="{6E9F8BA6-E60B-4EF0-B0FC-366C00162048}">
            <xm:f>'cal3'!IC$4="비번"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3049" id="{EF3289A1-8E6F-46E9-BBAB-E6441AAD3D7F}">
            <xm:f>'cal3'!IC$4="주간"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050" id="{28E78194-27CE-4190-B8E6-688E7541638C}">
            <xm:f>'cal3'!IC$4="당직"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B273:H280</xm:sqref>
        </x14:conditionalFormatting>
        <x14:conditionalFormatting xmlns:xm="http://schemas.microsoft.com/office/excel/2006/main">
          <x14:cfRule type="expression" priority="3221" id="{90DFA907-9E96-4CD7-8A1B-3DCDE6CAAD18}">
            <xm:f>'cal3'!IJ$4="휴무"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3222" id="{32FC75FA-AE79-4311-88CB-867666C6F229}">
            <xm:f>'cal3'!IJ$4="야간"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223" id="{6E9F8BA6-E60B-4EF0-B0FC-366C00162048}">
            <xm:f>'cal3'!IJ$4="비번"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3224" id="{EF3289A1-8E6F-46E9-BBAB-E6441AAD3D7F}">
            <xm:f>'cal3'!IJ$4="주간"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225" id="{28E78194-27CE-4190-B8E6-688E7541638C}">
            <xm:f>'cal3'!IJ$4="당직"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B281:H288</xm:sqref>
        </x14:conditionalFormatting>
        <x14:conditionalFormatting xmlns:xm="http://schemas.microsoft.com/office/excel/2006/main">
          <x14:cfRule type="expression" priority="3401" id="{90DFA907-9E96-4CD7-8A1B-3DCDE6CAAD18}">
            <xm:f>'cal3'!IQ$4="휴무"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3402" id="{32FC75FA-AE79-4311-88CB-867666C6F229}">
            <xm:f>'cal3'!IQ$4="야간"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403" id="{6E9F8BA6-E60B-4EF0-B0FC-366C00162048}">
            <xm:f>'cal3'!IQ$4="비번"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3404" id="{EF3289A1-8E6F-46E9-BBAB-E6441AAD3D7F}">
            <xm:f>'cal3'!IQ$4="주간"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405" id="{28E78194-27CE-4190-B8E6-688E7541638C}">
            <xm:f>'cal3'!IQ$4="당직"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B289:H296</xm:sqref>
        </x14:conditionalFormatting>
        <x14:conditionalFormatting xmlns:xm="http://schemas.microsoft.com/office/excel/2006/main">
          <x14:cfRule type="expression" priority="3586" id="{90DFA907-9E96-4CD7-8A1B-3DCDE6CAAD18}">
            <xm:f>'cal3'!IX$4="휴무"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3587" id="{32FC75FA-AE79-4311-88CB-867666C6F229}">
            <xm:f>'cal3'!IX$4="야간"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588" id="{6E9F8BA6-E60B-4EF0-B0FC-366C00162048}">
            <xm:f>'cal3'!IX$4="비번"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3589" id="{EF3289A1-8E6F-46E9-BBAB-E6441AAD3D7F}">
            <xm:f>'cal3'!IX$4="주간"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590" id="{28E78194-27CE-4190-B8E6-688E7541638C}">
            <xm:f>'cal3'!IX$4="당직"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B297:H304</xm:sqref>
        </x14:conditionalFormatting>
        <x14:conditionalFormatting xmlns:xm="http://schemas.microsoft.com/office/excel/2006/main">
          <x14:cfRule type="expression" priority="3776" id="{90DFA907-9E96-4CD7-8A1B-3DCDE6CAAD18}">
            <xm:f>'cal3'!JE$4="휴무"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3777" id="{32FC75FA-AE79-4311-88CB-867666C6F229}">
            <xm:f>'cal3'!JE$4="야간"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778" id="{6E9F8BA6-E60B-4EF0-B0FC-366C00162048}">
            <xm:f>'cal3'!JE$4="비번"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3779" id="{EF3289A1-8E6F-46E9-BBAB-E6441AAD3D7F}">
            <xm:f>'cal3'!JE$4="주간"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780" id="{28E78194-27CE-4190-B8E6-688E7541638C}">
            <xm:f>'cal3'!JE$4="당직"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B305:H312</xm:sqref>
        </x14:conditionalFormatting>
        <x14:conditionalFormatting xmlns:xm="http://schemas.microsoft.com/office/excel/2006/main">
          <x14:cfRule type="expression" priority="3971" id="{90DFA907-9E96-4CD7-8A1B-3DCDE6CAAD18}">
            <xm:f>'cal3'!JL$4="휴무"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3972" id="{32FC75FA-AE79-4311-88CB-867666C6F229}">
            <xm:f>'cal3'!JL$4="야간"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973" id="{6E9F8BA6-E60B-4EF0-B0FC-366C00162048}">
            <xm:f>'cal3'!JL$4="비번"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3974" id="{EF3289A1-8E6F-46E9-BBAB-E6441AAD3D7F}">
            <xm:f>'cal3'!JL$4="주간"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3975" id="{28E78194-27CE-4190-B8E6-688E7541638C}">
            <xm:f>'cal3'!JL$4="당직"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B313:H320</xm:sqref>
        </x14:conditionalFormatting>
        <x14:conditionalFormatting xmlns:xm="http://schemas.microsoft.com/office/excel/2006/main">
          <x14:cfRule type="expression" priority="4171" id="{90DFA907-9E96-4CD7-8A1B-3DCDE6CAAD18}">
            <xm:f>'cal3'!JS$4="휴무"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4172" id="{32FC75FA-AE79-4311-88CB-867666C6F229}">
            <xm:f>'cal3'!JS$4="야간"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4173" id="{6E9F8BA6-E60B-4EF0-B0FC-366C00162048}">
            <xm:f>'cal3'!JS$4="비번"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4174" id="{EF3289A1-8E6F-46E9-BBAB-E6441AAD3D7F}">
            <xm:f>'cal3'!JS$4="주간"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4175" id="{28E78194-27CE-4190-B8E6-688E7541638C}">
            <xm:f>'cal3'!JS$4="당직"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B321:H328</xm:sqref>
        </x14:conditionalFormatting>
        <x14:conditionalFormatting xmlns:xm="http://schemas.microsoft.com/office/excel/2006/main">
          <x14:cfRule type="expression" priority="4376" id="{90DFA907-9E96-4CD7-8A1B-3DCDE6CAAD18}">
            <xm:f>'cal3'!JZ$4="휴무"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4377" id="{32FC75FA-AE79-4311-88CB-867666C6F229}">
            <xm:f>'cal3'!JZ$4="야간"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4378" id="{6E9F8BA6-E60B-4EF0-B0FC-366C00162048}">
            <xm:f>'cal3'!JZ$4="비번"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4379" id="{EF3289A1-8E6F-46E9-BBAB-E6441AAD3D7F}">
            <xm:f>'cal3'!JZ$4="주간"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4380" id="{28E78194-27CE-4190-B8E6-688E7541638C}">
            <xm:f>'cal3'!JZ$4="당직"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B329:H336</xm:sqref>
        </x14:conditionalFormatting>
        <x14:conditionalFormatting xmlns:xm="http://schemas.microsoft.com/office/excel/2006/main">
          <x14:cfRule type="expression" priority="4586" id="{90DFA907-9E96-4CD7-8A1B-3DCDE6CAAD18}">
            <xm:f>'cal3'!KG$4="휴무"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4587" id="{32FC75FA-AE79-4311-88CB-867666C6F229}">
            <xm:f>'cal3'!KG$4="야간"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4588" id="{6E9F8BA6-E60B-4EF0-B0FC-366C00162048}">
            <xm:f>'cal3'!KG$4="비번"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4589" id="{EF3289A1-8E6F-46E9-BBAB-E6441AAD3D7F}">
            <xm:f>'cal3'!KG$4="주간"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4590" id="{28E78194-27CE-4190-B8E6-688E7541638C}">
            <xm:f>'cal3'!KG$4="당직"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B337:H344</xm:sqref>
        </x14:conditionalFormatting>
        <x14:conditionalFormatting xmlns:xm="http://schemas.microsoft.com/office/excel/2006/main">
          <x14:cfRule type="expression" priority="4801" id="{90DFA907-9E96-4CD7-8A1B-3DCDE6CAAD18}">
            <xm:f>'cal3'!KN$4="휴무"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4802" id="{32FC75FA-AE79-4311-88CB-867666C6F229}">
            <xm:f>'cal3'!KN$4="야간"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4803" id="{6E9F8BA6-E60B-4EF0-B0FC-366C00162048}">
            <xm:f>'cal3'!KN$4="비번"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4804" id="{EF3289A1-8E6F-46E9-BBAB-E6441AAD3D7F}">
            <xm:f>'cal3'!KN$4="주간"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4805" id="{28E78194-27CE-4190-B8E6-688E7541638C}">
            <xm:f>'cal3'!KN$4="당직"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B345:H352</xm:sqref>
        </x14:conditionalFormatting>
        <x14:conditionalFormatting xmlns:xm="http://schemas.microsoft.com/office/excel/2006/main">
          <x14:cfRule type="expression" priority="5021" id="{90DFA907-9E96-4CD7-8A1B-3DCDE6CAAD18}">
            <xm:f>'cal3'!KU$4="휴무"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5022" id="{32FC75FA-AE79-4311-88CB-867666C6F229}">
            <xm:f>'cal3'!KU$4="야간"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5023" id="{6E9F8BA6-E60B-4EF0-B0FC-366C00162048}">
            <xm:f>'cal3'!KU$4="비번"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5024" id="{EF3289A1-8E6F-46E9-BBAB-E6441AAD3D7F}">
            <xm:f>'cal3'!KU$4="주간"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5025" id="{28E78194-27CE-4190-B8E6-688E7541638C}">
            <xm:f>'cal3'!KU$4="당직"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B353:H360</xm:sqref>
        </x14:conditionalFormatting>
        <x14:conditionalFormatting xmlns:xm="http://schemas.microsoft.com/office/excel/2006/main">
          <x14:cfRule type="expression" priority="5246" id="{90DFA907-9E96-4CD7-8A1B-3DCDE6CAAD18}">
            <xm:f>'cal3'!LB$4="휴무"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5247" id="{32FC75FA-AE79-4311-88CB-867666C6F229}">
            <xm:f>'cal3'!LB$4="야간"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5248" id="{6E9F8BA6-E60B-4EF0-B0FC-366C00162048}">
            <xm:f>'cal3'!LB$4="비번"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5249" id="{EF3289A1-8E6F-46E9-BBAB-E6441AAD3D7F}">
            <xm:f>'cal3'!LB$4="주간"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5250" id="{28E78194-27CE-4190-B8E6-688E7541638C}">
            <xm:f>'cal3'!LB$4="당직"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B361:H368</xm:sqref>
        </x14:conditionalFormatting>
        <x14:conditionalFormatting xmlns:xm="http://schemas.microsoft.com/office/excel/2006/main">
          <x14:cfRule type="expression" priority="5476" id="{90DFA907-9E96-4CD7-8A1B-3DCDE6CAAD18}">
            <xm:f>'cal3'!LI$4="휴무"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5477" id="{32FC75FA-AE79-4311-88CB-867666C6F229}">
            <xm:f>'cal3'!LI$4="야간"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5478" id="{6E9F8BA6-E60B-4EF0-B0FC-366C00162048}">
            <xm:f>'cal3'!LI$4="비번"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5479" id="{EF3289A1-8E6F-46E9-BBAB-E6441AAD3D7F}">
            <xm:f>'cal3'!LI$4="주간"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5480" id="{28E78194-27CE-4190-B8E6-688E7541638C}">
            <xm:f>'cal3'!LI$4="당직"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B369:H376</xm:sqref>
        </x14:conditionalFormatting>
        <x14:conditionalFormatting xmlns:xm="http://schemas.microsoft.com/office/excel/2006/main">
          <x14:cfRule type="expression" priority="5711" id="{90DFA907-9E96-4CD7-8A1B-3DCDE6CAAD18}">
            <xm:f>'cal3'!LP$4="휴무"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5712" id="{32FC75FA-AE79-4311-88CB-867666C6F229}">
            <xm:f>'cal3'!LP$4="야간"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5713" id="{6E9F8BA6-E60B-4EF0-B0FC-366C00162048}">
            <xm:f>'cal3'!LP$4="비번"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5714" id="{EF3289A1-8E6F-46E9-BBAB-E6441AAD3D7F}">
            <xm:f>'cal3'!LP$4="주간"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5715" id="{28E78194-27CE-4190-B8E6-688E7541638C}">
            <xm:f>'cal3'!LP$4="당직"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B377:H384</xm:sqref>
        </x14:conditionalFormatting>
        <x14:conditionalFormatting xmlns:xm="http://schemas.microsoft.com/office/excel/2006/main">
          <x14:cfRule type="expression" priority="5951" id="{90DFA907-9E96-4CD7-8A1B-3DCDE6CAAD18}">
            <xm:f>'cal3'!LW$4="휴무"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5952" id="{32FC75FA-AE79-4311-88CB-867666C6F229}">
            <xm:f>'cal3'!LW$4="야간"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5953" id="{6E9F8BA6-E60B-4EF0-B0FC-366C00162048}">
            <xm:f>'cal3'!LW$4="비번"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5954" id="{EF3289A1-8E6F-46E9-BBAB-E6441AAD3D7F}">
            <xm:f>'cal3'!LW$4="주간"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5955" id="{28E78194-27CE-4190-B8E6-688E7541638C}">
            <xm:f>'cal3'!LW$4="당직"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B385:H392</xm:sqref>
        </x14:conditionalFormatting>
        <x14:conditionalFormatting xmlns:xm="http://schemas.microsoft.com/office/excel/2006/main">
          <x14:cfRule type="expression" priority="6196" id="{90DFA907-9E96-4CD7-8A1B-3DCDE6CAAD18}">
            <xm:f>'cal3'!MD$4="휴무"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6197" id="{32FC75FA-AE79-4311-88CB-867666C6F229}">
            <xm:f>'cal3'!MD$4="야간"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6198" id="{6E9F8BA6-E60B-4EF0-B0FC-366C00162048}">
            <xm:f>'cal3'!MD$4="비번"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6199" id="{EF3289A1-8E6F-46E9-BBAB-E6441AAD3D7F}">
            <xm:f>'cal3'!MD$4="주간"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6200" id="{28E78194-27CE-4190-B8E6-688E7541638C}">
            <xm:f>'cal3'!MD$4="당직"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B393:H400</xm:sqref>
        </x14:conditionalFormatting>
        <x14:conditionalFormatting xmlns:xm="http://schemas.microsoft.com/office/excel/2006/main">
          <x14:cfRule type="expression" priority="6446" id="{90DFA907-9E96-4CD7-8A1B-3DCDE6CAAD18}">
            <xm:f>'cal3'!MK$4="휴무"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6447" id="{32FC75FA-AE79-4311-88CB-867666C6F229}">
            <xm:f>'cal3'!MK$4="야간"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6448" id="{6E9F8BA6-E60B-4EF0-B0FC-366C00162048}">
            <xm:f>'cal3'!MK$4="비번"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6449" id="{EF3289A1-8E6F-46E9-BBAB-E6441AAD3D7F}">
            <xm:f>'cal3'!MK$4="주간"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6450" id="{28E78194-27CE-4190-B8E6-688E7541638C}">
            <xm:f>'cal3'!MK$4="당직"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B401:H408</xm:sqref>
        </x14:conditionalFormatting>
        <x14:conditionalFormatting xmlns:xm="http://schemas.microsoft.com/office/excel/2006/main">
          <x14:cfRule type="expression" priority="6701" id="{90DFA907-9E96-4CD7-8A1B-3DCDE6CAAD18}">
            <xm:f>'cal3'!MR$4="휴무"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6702" id="{32FC75FA-AE79-4311-88CB-867666C6F229}">
            <xm:f>'cal3'!MR$4="야간"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6703" id="{6E9F8BA6-E60B-4EF0-B0FC-366C00162048}">
            <xm:f>'cal3'!MR$4="비번"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6704" id="{EF3289A1-8E6F-46E9-BBAB-E6441AAD3D7F}">
            <xm:f>'cal3'!MR$4="주간"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6705" id="{28E78194-27CE-4190-B8E6-688E7541638C}">
            <xm:f>'cal3'!MR$4="당직"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B409:H416</xm:sqref>
        </x14:conditionalFormatting>
        <x14:conditionalFormatting xmlns:xm="http://schemas.microsoft.com/office/excel/2006/main">
          <x14:cfRule type="expression" priority="6961" id="{90DFA907-9E96-4CD7-8A1B-3DCDE6CAAD18}">
            <xm:f>'cal3'!MY$4="휴무"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6962" id="{32FC75FA-AE79-4311-88CB-867666C6F229}">
            <xm:f>'cal3'!MY$4="야간"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6963" id="{6E9F8BA6-E60B-4EF0-B0FC-366C00162048}">
            <xm:f>'cal3'!MY$4="비번"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6964" id="{EF3289A1-8E6F-46E9-BBAB-E6441AAD3D7F}">
            <xm:f>'cal3'!MY$4="주간"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6965" id="{28E78194-27CE-4190-B8E6-688E7541638C}">
            <xm:f>'cal3'!MY$4="당직"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B417:E424</xm:sqref>
        </x14:conditionalFormatting>
        <x14:conditionalFormatting xmlns:xm="http://schemas.microsoft.com/office/excel/2006/main">
          <x14:cfRule type="expression" priority="7226" id="{90DFA907-9E96-4CD7-8A1B-3DCDE6CAAD18}">
            <xm:f>'cal3'!NC$4="휴무"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7227" id="{32FC75FA-AE79-4311-88CB-867666C6F229}">
            <xm:f>'cal3'!NC$4="야간"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7228" id="{6E9F8BA6-E60B-4EF0-B0FC-366C00162048}">
            <xm:f>'cal3'!NC$4="비번"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7229" id="{EF3289A1-8E6F-46E9-BBAB-E6441AAD3D7F}">
            <xm:f>'cal3'!NC$4="주간"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7230" id="{28E78194-27CE-4190-B8E6-688E7541638C}">
            <xm:f>'cal3'!NC$4="당직"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B425:B432</xm:sqref>
        </x14:conditionalFormatting>
        <x14:conditionalFormatting xmlns:xm="http://schemas.microsoft.com/office/excel/2006/main">
          <x14:cfRule type="expression" priority="1" id="{B83F41C4-E346-430B-8685-878B89E2F7EE}">
            <xm:f>'cal3'!E$4="휴무"</xm:f>
            <x14:dxf>
              <font>
                <color theme="1"/>
              </font>
              <fill>
                <patternFill>
                  <bgColor rgb="FFB2B2B2"/>
                </patternFill>
              </fill>
            </x14:dxf>
          </x14:cfRule>
          <x14:cfRule type="expression" priority="2" id="{125C36DA-AA2F-4A5D-A44F-AC78D92533A1}">
            <xm:f>'cal3'!E$4="야간"</xm:f>
            <x14:dxf>
              <font>
                <color auto="1"/>
              </font>
              <fill>
                <patternFill>
                  <bgColor rgb="FF3399FF"/>
                </patternFill>
              </fill>
            </x14:dxf>
          </x14:cfRule>
          <x14:cfRule type="expression" priority="3" id="{33D5EA65-5849-4B96-AD5B-362CEA667B48}">
            <xm:f>'cal3'!E$4="비번"</xm:f>
            <x14:dxf>
              <font>
                <color theme="1"/>
              </font>
              <fill>
                <patternFill>
                  <bgColor rgb="FFC0C0C0"/>
                </patternFill>
              </fill>
            </x14:dxf>
          </x14:cfRule>
          <x14:cfRule type="expression" priority="4" id="{3B570278-105D-44BB-A07A-ED5CD4EFF34A}">
            <xm:f>'cal3'!E$4="주간"</xm:f>
            <x14:dxf>
              <fill>
                <patternFill>
                  <bgColor rgb="FFFFC000"/>
                </patternFill>
              </fill>
            </x14:dxf>
          </x14:cfRule>
          <x14:cfRule type="expression" priority="5" id="{F23C63B5-1EC3-4D97-A4CF-6732964E6D68}">
            <xm:f>'cal3'!E$4="당직"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E1:H8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topLeftCell="AF18" zoomScale="55" zoomScaleNormal="55" workbookViewId="0">
      <selection activeCell="AF18" sqref="AF18"/>
    </sheetView>
  </sheetViews>
  <sheetFormatPr defaultRowHeight="17.45"/>
  <sheetData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595"/>
  <sheetViews>
    <sheetView workbookViewId="0">
      <selection activeCell="A594" sqref="A594"/>
    </sheetView>
  </sheetViews>
  <sheetFormatPr defaultRowHeight="17.45"/>
  <sheetData>
    <row r="1" spans="1:1" ht="18.600000000000001" thickTop="1" thickBot="1">
      <c r="A1" s="46" t="s">
        <v>87</v>
      </c>
    </row>
    <row r="2" spans="1:1" ht="18.600000000000001" thickTop="1" thickBot="1">
      <c r="A2" s="47" t="s">
        <v>88</v>
      </c>
    </row>
    <row r="3" spans="1:1" ht="18.600000000000001" thickTop="1" thickBot="1">
      <c r="A3" s="48" t="s">
        <v>89</v>
      </c>
    </row>
    <row r="4" spans="1:1" ht="18" thickBot="1">
      <c r="A4" s="49" t="s">
        <v>90</v>
      </c>
    </row>
    <row r="5" spans="1:1" ht="18" thickTop="1">
      <c r="A5" s="50" t="s">
        <v>83</v>
      </c>
    </row>
    <row r="6" spans="1:1" ht="18" thickBot="1">
      <c r="A6" s="51" t="s">
        <v>84</v>
      </c>
    </row>
    <row r="7" spans="1:1">
      <c r="A7" s="50" t="s">
        <v>85</v>
      </c>
    </row>
    <row r="8" spans="1:1" ht="18" thickBot="1">
      <c r="A8" s="52" t="s">
        <v>86</v>
      </c>
    </row>
    <row r="9" spans="1:1" ht="18.600000000000001" thickTop="1" thickBot="1">
      <c r="A9" s="46" t="s">
        <v>87</v>
      </c>
    </row>
    <row r="10" spans="1:1" ht="18.600000000000001" thickTop="1" thickBot="1">
      <c r="A10" s="47" t="s">
        <v>88</v>
      </c>
    </row>
    <row r="11" spans="1:1" ht="18.600000000000001" thickTop="1" thickBot="1">
      <c r="A11" s="48" t="s">
        <v>89</v>
      </c>
    </row>
    <row r="12" spans="1:1" ht="18" thickBot="1">
      <c r="A12" s="49" t="s">
        <v>90</v>
      </c>
    </row>
    <row r="13" spans="1:1" ht="18" thickTop="1">
      <c r="A13" s="50" t="s">
        <v>83</v>
      </c>
    </row>
    <row r="14" spans="1:1" ht="18" thickBot="1">
      <c r="A14" s="51" t="s">
        <v>84</v>
      </c>
    </row>
    <row r="15" spans="1:1">
      <c r="A15" s="50" t="s">
        <v>85</v>
      </c>
    </row>
    <row r="16" spans="1:1" ht="18" thickBot="1">
      <c r="A16" s="52" t="s">
        <v>86</v>
      </c>
    </row>
    <row r="17" spans="1:1" ht="18.600000000000001" thickTop="1" thickBot="1">
      <c r="A17" s="46" t="s">
        <v>87</v>
      </c>
    </row>
    <row r="18" spans="1:1" ht="18.600000000000001" thickTop="1" thickBot="1">
      <c r="A18" s="47" t="s">
        <v>88</v>
      </c>
    </row>
    <row r="19" spans="1:1" ht="18.600000000000001" thickTop="1" thickBot="1">
      <c r="A19" s="48" t="s">
        <v>89</v>
      </c>
    </row>
    <row r="20" spans="1:1" ht="18" thickBot="1">
      <c r="A20" s="49" t="s">
        <v>90</v>
      </c>
    </row>
    <row r="21" spans="1:1" ht="18" thickTop="1">
      <c r="A21" s="50" t="s">
        <v>83</v>
      </c>
    </row>
    <row r="22" spans="1:1" ht="18" thickBot="1">
      <c r="A22" s="51" t="s">
        <v>84</v>
      </c>
    </row>
    <row r="23" spans="1:1">
      <c r="A23" s="50" t="s">
        <v>85</v>
      </c>
    </row>
    <row r="24" spans="1:1" ht="18" thickBot="1">
      <c r="A24" s="52" t="s">
        <v>86</v>
      </c>
    </row>
    <row r="25" spans="1:1" ht="18.600000000000001" thickTop="1" thickBot="1">
      <c r="A25" s="46" t="s">
        <v>87</v>
      </c>
    </row>
    <row r="26" spans="1:1" ht="18.600000000000001" thickTop="1" thickBot="1">
      <c r="A26" s="47" t="s">
        <v>88</v>
      </c>
    </row>
    <row r="27" spans="1:1" ht="18.600000000000001" thickTop="1" thickBot="1">
      <c r="A27" s="48" t="s">
        <v>89</v>
      </c>
    </row>
    <row r="28" spans="1:1" ht="18" thickBot="1">
      <c r="A28" s="49" t="s">
        <v>90</v>
      </c>
    </row>
    <row r="29" spans="1:1" ht="18" thickTop="1">
      <c r="A29" s="50" t="s">
        <v>83</v>
      </c>
    </row>
    <row r="30" spans="1:1" ht="18" thickBot="1">
      <c r="A30" s="51" t="s">
        <v>84</v>
      </c>
    </row>
    <row r="31" spans="1:1">
      <c r="A31" s="50" t="s">
        <v>85</v>
      </c>
    </row>
    <row r="32" spans="1:1" ht="18" thickBot="1">
      <c r="A32" s="52" t="s">
        <v>86</v>
      </c>
    </row>
    <row r="33" spans="1:1" ht="18.600000000000001" thickTop="1" thickBot="1">
      <c r="A33" s="46" t="s">
        <v>87</v>
      </c>
    </row>
    <row r="34" spans="1:1" ht="18.600000000000001" thickTop="1" thickBot="1">
      <c r="A34" s="47" t="s">
        <v>88</v>
      </c>
    </row>
    <row r="35" spans="1:1" ht="18.600000000000001" thickTop="1" thickBot="1">
      <c r="A35" s="48" t="s">
        <v>89</v>
      </c>
    </row>
    <row r="36" spans="1:1" ht="18" thickBot="1">
      <c r="A36" s="49" t="s">
        <v>90</v>
      </c>
    </row>
    <row r="37" spans="1:1" ht="18" thickTop="1">
      <c r="A37" s="50" t="s">
        <v>83</v>
      </c>
    </row>
    <row r="38" spans="1:1" ht="18" thickBot="1">
      <c r="A38" s="51" t="s">
        <v>84</v>
      </c>
    </row>
    <row r="39" spans="1:1">
      <c r="A39" s="50" t="s">
        <v>85</v>
      </c>
    </row>
    <row r="40" spans="1:1" ht="18" thickBot="1">
      <c r="A40" s="52" t="s">
        <v>86</v>
      </c>
    </row>
    <row r="41" spans="1:1" ht="18.600000000000001" thickTop="1" thickBot="1">
      <c r="A41" s="46" t="s">
        <v>87</v>
      </c>
    </row>
    <row r="42" spans="1:1" ht="18.600000000000001" thickTop="1" thickBot="1">
      <c r="A42" s="47" t="s">
        <v>88</v>
      </c>
    </row>
    <row r="43" spans="1:1" ht="18.600000000000001" thickTop="1" thickBot="1">
      <c r="A43" s="48" t="s">
        <v>89</v>
      </c>
    </row>
    <row r="44" spans="1:1" ht="18" thickBot="1">
      <c r="A44" s="49" t="s">
        <v>90</v>
      </c>
    </row>
    <row r="45" spans="1:1" ht="18" thickTop="1">
      <c r="A45" s="50" t="s">
        <v>83</v>
      </c>
    </row>
    <row r="46" spans="1:1" ht="18" thickBot="1">
      <c r="A46" s="51" t="s">
        <v>84</v>
      </c>
    </row>
    <row r="47" spans="1:1">
      <c r="A47" s="50" t="s">
        <v>85</v>
      </c>
    </row>
    <row r="48" spans="1:1" ht="18" thickBot="1">
      <c r="A48" s="52" t="s">
        <v>86</v>
      </c>
    </row>
    <row r="49" spans="1:1" ht="18.600000000000001" thickTop="1" thickBot="1">
      <c r="A49" s="46" t="s">
        <v>87</v>
      </c>
    </row>
    <row r="50" spans="1:1" ht="18.600000000000001" thickTop="1" thickBot="1">
      <c r="A50" s="47" t="s">
        <v>88</v>
      </c>
    </row>
    <row r="51" spans="1:1" ht="18.600000000000001" thickTop="1" thickBot="1">
      <c r="A51" s="48" t="s">
        <v>89</v>
      </c>
    </row>
    <row r="52" spans="1:1" ht="18" thickBot="1">
      <c r="A52" s="49" t="s">
        <v>90</v>
      </c>
    </row>
    <row r="53" spans="1:1" ht="18" thickTop="1">
      <c r="A53" s="50" t="s">
        <v>83</v>
      </c>
    </row>
    <row r="54" spans="1:1" ht="18" thickBot="1">
      <c r="A54" s="51" t="s">
        <v>84</v>
      </c>
    </row>
    <row r="55" spans="1:1">
      <c r="A55" s="50" t="s">
        <v>85</v>
      </c>
    </row>
    <row r="56" spans="1:1" ht="18" thickBot="1">
      <c r="A56" s="52" t="s">
        <v>86</v>
      </c>
    </row>
    <row r="57" spans="1:1" ht="18.600000000000001" thickTop="1" thickBot="1">
      <c r="A57" s="46" t="s">
        <v>87</v>
      </c>
    </row>
    <row r="58" spans="1:1" ht="18.600000000000001" thickTop="1" thickBot="1">
      <c r="A58" s="47" t="s">
        <v>88</v>
      </c>
    </row>
    <row r="59" spans="1:1" ht="18.600000000000001" thickTop="1" thickBot="1">
      <c r="A59" s="48" t="s">
        <v>89</v>
      </c>
    </row>
    <row r="60" spans="1:1" ht="18" thickBot="1">
      <c r="A60" s="49" t="s">
        <v>90</v>
      </c>
    </row>
    <row r="61" spans="1:1" ht="18" thickTop="1">
      <c r="A61" s="50" t="s">
        <v>83</v>
      </c>
    </row>
    <row r="62" spans="1:1" ht="18" thickBot="1">
      <c r="A62" s="51" t="s">
        <v>84</v>
      </c>
    </row>
    <row r="63" spans="1:1">
      <c r="A63" s="50" t="s">
        <v>85</v>
      </c>
    </row>
    <row r="64" spans="1:1" ht="18" thickBot="1">
      <c r="A64" s="52" t="s">
        <v>86</v>
      </c>
    </row>
    <row r="65" spans="1:1" ht="18.600000000000001" thickTop="1" thickBot="1">
      <c r="A65" s="46" t="s">
        <v>87</v>
      </c>
    </row>
    <row r="66" spans="1:1" ht="18.600000000000001" thickTop="1" thickBot="1">
      <c r="A66" s="47" t="s">
        <v>88</v>
      </c>
    </row>
    <row r="67" spans="1:1" ht="18.600000000000001" thickTop="1" thickBot="1">
      <c r="A67" s="48" t="s">
        <v>89</v>
      </c>
    </row>
    <row r="68" spans="1:1" ht="18" thickBot="1">
      <c r="A68" s="49" t="s">
        <v>90</v>
      </c>
    </row>
    <row r="69" spans="1:1" ht="18" thickTop="1">
      <c r="A69" s="50" t="s">
        <v>83</v>
      </c>
    </row>
    <row r="70" spans="1:1" ht="18" thickBot="1">
      <c r="A70" s="51" t="s">
        <v>84</v>
      </c>
    </row>
    <row r="71" spans="1:1">
      <c r="A71" s="50" t="s">
        <v>85</v>
      </c>
    </row>
    <row r="72" spans="1:1" ht="18" thickBot="1">
      <c r="A72" s="52" t="s">
        <v>86</v>
      </c>
    </row>
    <row r="73" spans="1:1" ht="18.600000000000001" thickTop="1" thickBot="1">
      <c r="A73" s="46" t="s">
        <v>87</v>
      </c>
    </row>
    <row r="74" spans="1:1" ht="18.600000000000001" thickTop="1" thickBot="1">
      <c r="A74" s="47" t="s">
        <v>88</v>
      </c>
    </row>
    <row r="75" spans="1:1" ht="18.600000000000001" thickTop="1" thickBot="1">
      <c r="A75" s="48" t="s">
        <v>89</v>
      </c>
    </row>
    <row r="76" spans="1:1" ht="18" thickBot="1">
      <c r="A76" s="49" t="s">
        <v>90</v>
      </c>
    </row>
    <row r="77" spans="1:1" ht="18" thickTop="1">
      <c r="A77" s="50" t="s">
        <v>83</v>
      </c>
    </row>
    <row r="78" spans="1:1" ht="18" thickBot="1">
      <c r="A78" s="51" t="s">
        <v>84</v>
      </c>
    </row>
    <row r="79" spans="1:1">
      <c r="A79" s="50" t="s">
        <v>85</v>
      </c>
    </row>
    <row r="80" spans="1:1" ht="18" thickBot="1">
      <c r="A80" s="52" t="s">
        <v>86</v>
      </c>
    </row>
    <row r="81" spans="1:1" ht="18.600000000000001" thickTop="1" thickBot="1">
      <c r="A81" s="46" t="s">
        <v>87</v>
      </c>
    </row>
    <row r="82" spans="1:1" ht="18.600000000000001" thickTop="1" thickBot="1">
      <c r="A82" s="47" t="s">
        <v>88</v>
      </c>
    </row>
    <row r="83" spans="1:1" ht="18.600000000000001" thickTop="1" thickBot="1">
      <c r="A83" s="48" t="s">
        <v>89</v>
      </c>
    </row>
    <row r="84" spans="1:1" ht="18" thickBot="1">
      <c r="A84" s="49" t="s">
        <v>90</v>
      </c>
    </row>
    <row r="85" spans="1:1" ht="18" thickTop="1">
      <c r="A85" s="50" t="s">
        <v>83</v>
      </c>
    </row>
    <row r="86" spans="1:1" ht="18" thickBot="1">
      <c r="A86" s="51" t="s">
        <v>84</v>
      </c>
    </row>
    <row r="87" spans="1:1">
      <c r="A87" s="50" t="s">
        <v>85</v>
      </c>
    </row>
    <row r="88" spans="1:1" ht="18" thickBot="1">
      <c r="A88" s="52" t="s">
        <v>86</v>
      </c>
    </row>
    <row r="89" spans="1:1" ht="18.600000000000001" thickTop="1" thickBot="1">
      <c r="A89" s="46" t="s">
        <v>87</v>
      </c>
    </row>
    <row r="90" spans="1:1" ht="18.600000000000001" thickTop="1" thickBot="1">
      <c r="A90" s="47" t="s">
        <v>88</v>
      </c>
    </row>
    <row r="91" spans="1:1" ht="18.600000000000001" thickTop="1" thickBot="1">
      <c r="A91" s="48" t="s">
        <v>89</v>
      </c>
    </row>
    <row r="92" spans="1:1" ht="18" thickBot="1">
      <c r="A92" s="49" t="s">
        <v>90</v>
      </c>
    </row>
    <row r="93" spans="1:1" ht="18" thickTop="1">
      <c r="A93" s="50" t="s">
        <v>83</v>
      </c>
    </row>
    <row r="94" spans="1:1" ht="18" thickBot="1">
      <c r="A94" s="51" t="s">
        <v>84</v>
      </c>
    </row>
    <row r="95" spans="1:1">
      <c r="A95" s="50" t="s">
        <v>85</v>
      </c>
    </row>
    <row r="96" spans="1:1" ht="18" thickBot="1">
      <c r="A96" s="52" t="s">
        <v>86</v>
      </c>
    </row>
    <row r="97" spans="1:1" ht="18.600000000000001" thickTop="1" thickBot="1">
      <c r="A97" s="46" t="s">
        <v>87</v>
      </c>
    </row>
    <row r="98" spans="1:1" ht="18.600000000000001" thickTop="1" thickBot="1">
      <c r="A98" s="47" t="s">
        <v>88</v>
      </c>
    </row>
    <row r="99" spans="1:1" ht="18.600000000000001" thickTop="1" thickBot="1">
      <c r="A99" s="48" t="s">
        <v>89</v>
      </c>
    </row>
    <row r="100" spans="1:1" ht="18" thickBot="1">
      <c r="A100" s="49" t="s">
        <v>90</v>
      </c>
    </row>
    <row r="101" spans="1:1" ht="18" thickTop="1">
      <c r="A101" s="50" t="s">
        <v>83</v>
      </c>
    </row>
    <row r="102" spans="1:1" ht="18" thickBot="1">
      <c r="A102" s="51" t="s">
        <v>84</v>
      </c>
    </row>
    <row r="103" spans="1:1">
      <c r="A103" s="50" t="s">
        <v>85</v>
      </c>
    </row>
    <row r="104" spans="1:1" ht="18" thickBot="1">
      <c r="A104" s="52" t="s">
        <v>86</v>
      </c>
    </row>
    <row r="105" spans="1:1" ht="18.600000000000001" thickTop="1" thickBot="1">
      <c r="A105" s="46" t="s">
        <v>87</v>
      </c>
    </row>
    <row r="106" spans="1:1" ht="18.600000000000001" thickTop="1" thickBot="1">
      <c r="A106" s="47" t="s">
        <v>88</v>
      </c>
    </row>
    <row r="107" spans="1:1" ht="18.600000000000001" thickTop="1" thickBot="1">
      <c r="A107" s="48" t="s">
        <v>89</v>
      </c>
    </row>
    <row r="108" spans="1:1" ht="18" thickBot="1">
      <c r="A108" s="49" t="s">
        <v>90</v>
      </c>
    </row>
    <row r="109" spans="1:1" ht="18" thickTop="1">
      <c r="A109" s="50" t="s">
        <v>83</v>
      </c>
    </row>
    <row r="110" spans="1:1" ht="18" thickBot="1">
      <c r="A110" s="51" t="s">
        <v>84</v>
      </c>
    </row>
    <row r="111" spans="1:1">
      <c r="A111" s="50" t="s">
        <v>85</v>
      </c>
    </row>
    <row r="112" spans="1:1" ht="18" thickBot="1">
      <c r="A112" s="52" t="s">
        <v>86</v>
      </c>
    </row>
    <row r="113" spans="1:1" ht="18.600000000000001" thickTop="1" thickBot="1">
      <c r="A113" s="46" t="s">
        <v>87</v>
      </c>
    </row>
    <row r="114" spans="1:1" ht="18.600000000000001" thickTop="1" thickBot="1">
      <c r="A114" s="47" t="s">
        <v>88</v>
      </c>
    </row>
    <row r="115" spans="1:1" ht="18.600000000000001" thickTop="1" thickBot="1">
      <c r="A115" s="48" t="s">
        <v>89</v>
      </c>
    </row>
    <row r="116" spans="1:1" ht="18" thickBot="1">
      <c r="A116" s="49" t="s">
        <v>90</v>
      </c>
    </row>
    <row r="117" spans="1:1" ht="18" thickTop="1">
      <c r="A117" s="50" t="s">
        <v>83</v>
      </c>
    </row>
    <row r="118" spans="1:1" ht="18" thickBot="1">
      <c r="A118" s="51" t="s">
        <v>84</v>
      </c>
    </row>
    <row r="119" spans="1:1">
      <c r="A119" s="50" t="s">
        <v>85</v>
      </c>
    </row>
    <row r="120" spans="1:1" ht="18" thickBot="1">
      <c r="A120" s="52" t="s">
        <v>86</v>
      </c>
    </row>
    <row r="121" spans="1:1" ht="18.600000000000001" thickTop="1" thickBot="1">
      <c r="A121" s="46" t="s">
        <v>87</v>
      </c>
    </row>
    <row r="122" spans="1:1" ht="18.600000000000001" thickTop="1" thickBot="1">
      <c r="A122" s="47" t="s">
        <v>88</v>
      </c>
    </row>
    <row r="123" spans="1:1" ht="18.600000000000001" thickTop="1" thickBot="1">
      <c r="A123" s="48" t="s">
        <v>89</v>
      </c>
    </row>
    <row r="124" spans="1:1" ht="18" thickBot="1">
      <c r="A124" s="49" t="s">
        <v>90</v>
      </c>
    </row>
    <row r="125" spans="1:1" ht="18" thickTop="1">
      <c r="A125" s="50" t="s">
        <v>83</v>
      </c>
    </row>
    <row r="126" spans="1:1" ht="18" thickBot="1">
      <c r="A126" s="51" t="s">
        <v>84</v>
      </c>
    </row>
    <row r="127" spans="1:1">
      <c r="A127" s="50" t="s">
        <v>85</v>
      </c>
    </row>
    <row r="128" spans="1:1" ht="18" thickBot="1">
      <c r="A128" s="52" t="s">
        <v>86</v>
      </c>
    </row>
    <row r="129" spans="1:1" ht="18.600000000000001" thickTop="1" thickBot="1">
      <c r="A129" s="46" t="s">
        <v>87</v>
      </c>
    </row>
    <row r="130" spans="1:1" ht="18.600000000000001" thickTop="1" thickBot="1">
      <c r="A130" s="47" t="s">
        <v>88</v>
      </c>
    </row>
    <row r="131" spans="1:1" ht="18.600000000000001" thickTop="1" thickBot="1">
      <c r="A131" s="48" t="s">
        <v>89</v>
      </c>
    </row>
    <row r="132" spans="1:1" ht="18" thickBot="1">
      <c r="A132" s="49" t="s">
        <v>90</v>
      </c>
    </row>
    <row r="133" spans="1:1" ht="18" thickTop="1">
      <c r="A133" s="50" t="s">
        <v>83</v>
      </c>
    </row>
    <row r="134" spans="1:1" ht="18" thickBot="1">
      <c r="A134" s="51" t="s">
        <v>84</v>
      </c>
    </row>
    <row r="135" spans="1:1">
      <c r="A135" s="50" t="s">
        <v>85</v>
      </c>
    </row>
    <row r="136" spans="1:1" ht="18" thickBot="1">
      <c r="A136" s="52" t="s">
        <v>86</v>
      </c>
    </row>
    <row r="137" spans="1:1" ht="18.600000000000001" thickTop="1" thickBot="1">
      <c r="A137" s="46" t="s">
        <v>87</v>
      </c>
    </row>
    <row r="138" spans="1:1" ht="18.600000000000001" thickTop="1" thickBot="1">
      <c r="A138" s="47" t="s">
        <v>88</v>
      </c>
    </row>
    <row r="139" spans="1:1" ht="18.600000000000001" thickTop="1" thickBot="1">
      <c r="A139" s="48" t="s">
        <v>89</v>
      </c>
    </row>
    <row r="140" spans="1:1" ht="18" thickBot="1">
      <c r="A140" s="49" t="s">
        <v>90</v>
      </c>
    </row>
    <row r="141" spans="1:1" ht="18" thickTop="1">
      <c r="A141" s="50" t="s">
        <v>83</v>
      </c>
    </row>
    <row r="142" spans="1:1" ht="18" thickBot="1">
      <c r="A142" s="51" t="s">
        <v>84</v>
      </c>
    </row>
    <row r="143" spans="1:1">
      <c r="A143" s="50" t="s">
        <v>85</v>
      </c>
    </row>
    <row r="144" spans="1:1" ht="18" thickBot="1">
      <c r="A144" s="52" t="s">
        <v>86</v>
      </c>
    </row>
    <row r="145" spans="1:1" ht="18.600000000000001" thickTop="1" thickBot="1">
      <c r="A145" s="46" t="s">
        <v>87</v>
      </c>
    </row>
    <row r="146" spans="1:1" ht="18.600000000000001" thickTop="1" thickBot="1">
      <c r="A146" s="47" t="s">
        <v>88</v>
      </c>
    </row>
    <row r="147" spans="1:1" ht="18.600000000000001" thickTop="1" thickBot="1">
      <c r="A147" s="48" t="s">
        <v>89</v>
      </c>
    </row>
    <row r="148" spans="1:1" ht="18" thickBot="1">
      <c r="A148" s="49" t="s">
        <v>90</v>
      </c>
    </row>
    <row r="149" spans="1:1" ht="18" thickTop="1">
      <c r="A149" s="50" t="s">
        <v>83</v>
      </c>
    </row>
    <row r="150" spans="1:1" ht="18" thickBot="1">
      <c r="A150" s="51" t="s">
        <v>84</v>
      </c>
    </row>
    <row r="151" spans="1:1">
      <c r="A151" s="50" t="s">
        <v>85</v>
      </c>
    </row>
    <row r="152" spans="1:1" ht="18" thickBot="1">
      <c r="A152" s="52" t="s">
        <v>86</v>
      </c>
    </row>
    <row r="153" spans="1:1" ht="18.600000000000001" thickTop="1" thickBot="1">
      <c r="A153" s="46" t="s">
        <v>87</v>
      </c>
    </row>
    <row r="154" spans="1:1" ht="18.600000000000001" thickTop="1" thickBot="1">
      <c r="A154" s="47" t="s">
        <v>88</v>
      </c>
    </row>
    <row r="155" spans="1:1" ht="18.600000000000001" thickTop="1" thickBot="1">
      <c r="A155" s="48" t="s">
        <v>89</v>
      </c>
    </row>
    <row r="156" spans="1:1" ht="18" thickBot="1">
      <c r="A156" s="49" t="s">
        <v>90</v>
      </c>
    </row>
    <row r="157" spans="1:1" ht="18" thickTop="1">
      <c r="A157" s="50" t="s">
        <v>83</v>
      </c>
    </row>
    <row r="158" spans="1:1" ht="18" thickBot="1">
      <c r="A158" s="51" t="s">
        <v>84</v>
      </c>
    </row>
    <row r="159" spans="1:1">
      <c r="A159" s="50" t="s">
        <v>85</v>
      </c>
    </row>
    <row r="160" spans="1:1" ht="18" thickBot="1">
      <c r="A160" s="52" t="s">
        <v>86</v>
      </c>
    </row>
    <row r="161" spans="1:1" ht="18.600000000000001" thickTop="1" thickBot="1">
      <c r="A161" s="46" t="s">
        <v>87</v>
      </c>
    </row>
    <row r="162" spans="1:1" ht="18.600000000000001" thickTop="1" thickBot="1">
      <c r="A162" s="47" t="s">
        <v>88</v>
      </c>
    </row>
    <row r="163" spans="1:1" ht="18.600000000000001" thickTop="1" thickBot="1">
      <c r="A163" s="48" t="s">
        <v>89</v>
      </c>
    </row>
    <row r="164" spans="1:1" ht="18" thickBot="1">
      <c r="A164" s="49" t="s">
        <v>90</v>
      </c>
    </row>
    <row r="165" spans="1:1" ht="18" thickTop="1">
      <c r="A165" s="50" t="s">
        <v>83</v>
      </c>
    </row>
    <row r="166" spans="1:1" ht="18" thickBot="1">
      <c r="A166" s="51" t="s">
        <v>84</v>
      </c>
    </row>
    <row r="167" spans="1:1">
      <c r="A167" s="50" t="s">
        <v>85</v>
      </c>
    </row>
    <row r="168" spans="1:1" ht="18" thickBot="1">
      <c r="A168" s="52" t="s">
        <v>86</v>
      </c>
    </row>
    <row r="169" spans="1:1" ht="18.600000000000001" thickTop="1" thickBot="1">
      <c r="A169" s="46" t="s">
        <v>87</v>
      </c>
    </row>
    <row r="170" spans="1:1" ht="18.600000000000001" thickTop="1" thickBot="1">
      <c r="A170" s="47" t="s">
        <v>88</v>
      </c>
    </row>
    <row r="171" spans="1:1" ht="18.600000000000001" thickTop="1" thickBot="1">
      <c r="A171" s="48" t="s">
        <v>89</v>
      </c>
    </row>
    <row r="172" spans="1:1" ht="18" thickBot="1">
      <c r="A172" s="49" t="s">
        <v>90</v>
      </c>
    </row>
    <row r="173" spans="1:1" ht="18" thickTop="1">
      <c r="A173" s="50" t="s">
        <v>83</v>
      </c>
    </row>
    <row r="174" spans="1:1" ht="18" thickBot="1">
      <c r="A174" s="51" t="s">
        <v>84</v>
      </c>
    </row>
    <row r="175" spans="1:1">
      <c r="A175" s="50" t="s">
        <v>85</v>
      </c>
    </row>
    <row r="176" spans="1:1" ht="18" thickBot="1">
      <c r="A176" s="52" t="s">
        <v>86</v>
      </c>
    </row>
    <row r="177" spans="1:1" ht="18.600000000000001" thickTop="1" thickBot="1">
      <c r="A177" s="46" t="s">
        <v>87</v>
      </c>
    </row>
    <row r="178" spans="1:1" ht="18.600000000000001" thickTop="1" thickBot="1">
      <c r="A178" s="47" t="s">
        <v>88</v>
      </c>
    </row>
    <row r="179" spans="1:1" ht="18.600000000000001" thickTop="1" thickBot="1">
      <c r="A179" s="48" t="s">
        <v>89</v>
      </c>
    </row>
    <row r="180" spans="1:1" ht="18" thickBot="1">
      <c r="A180" s="49" t="s">
        <v>90</v>
      </c>
    </row>
    <row r="181" spans="1:1" ht="18" thickTop="1">
      <c r="A181" s="50" t="s">
        <v>83</v>
      </c>
    </row>
    <row r="182" spans="1:1" ht="18" thickBot="1">
      <c r="A182" s="51" t="s">
        <v>84</v>
      </c>
    </row>
    <row r="183" spans="1:1">
      <c r="A183" s="50" t="s">
        <v>85</v>
      </c>
    </row>
    <row r="184" spans="1:1" ht="18" thickBot="1">
      <c r="A184" s="52" t="s">
        <v>86</v>
      </c>
    </row>
    <row r="185" spans="1:1" ht="18.600000000000001" thickTop="1" thickBot="1">
      <c r="A185" s="46" t="s">
        <v>87</v>
      </c>
    </row>
    <row r="186" spans="1:1" ht="18.600000000000001" thickTop="1" thickBot="1">
      <c r="A186" s="47" t="s">
        <v>88</v>
      </c>
    </row>
    <row r="187" spans="1:1" ht="18.600000000000001" thickTop="1" thickBot="1">
      <c r="A187" s="48" t="s">
        <v>89</v>
      </c>
    </row>
    <row r="188" spans="1:1" ht="18" thickBot="1">
      <c r="A188" s="49" t="s">
        <v>90</v>
      </c>
    </row>
    <row r="189" spans="1:1" ht="18" thickTop="1">
      <c r="A189" s="50" t="s">
        <v>83</v>
      </c>
    </row>
    <row r="190" spans="1:1" ht="18" thickBot="1">
      <c r="A190" s="51" t="s">
        <v>84</v>
      </c>
    </row>
    <row r="191" spans="1:1">
      <c r="A191" s="50" t="s">
        <v>85</v>
      </c>
    </row>
    <row r="192" spans="1:1" ht="18" thickBot="1">
      <c r="A192" s="52" t="s">
        <v>86</v>
      </c>
    </row>
    <row r="193" spans="1:1" ht="18.600000000000001" thickTop="1" thickBot="1">
      <c r="A193" s="46" t="s">
        <v>87</v>
      </c>
    </row>
    <row r="194" spans="1:1" ht="18.600000000000001" thickTop="1" thickBot="1">
      <c r="A194" s="47" t="s">
        <v>88</v>
      </c>
    </row>
    <row r="195" spans="1:1" ht="18.600000000000001" thickTop="1" thickBot="1">
      <c r="A195" s="48" t="s">
        <v>89</v>
      </c>
    </row>
    <row r="196" spans="1:1" ht="18" thickBot="1">
      <c r="A196" s="49" t="s">
        <v>90</v>
      </c>
    </row>
    <row r="197" spans="1:1" ht="18" thickTop="1">
      <c r="A197" s="50" t="s">
        <v>83</v>
      </c>
    </row>
    <row r="198" spans="1:1" ht="18" thickBot="1">
      <c r="A198" s="51" t="s">
        <v>84</v>
      </c>
    </row>
    <row r="199" spans="1:1">
      <c r="A199" s="50" t="s">
        <v>85</v>
      </c>
    </row>
    <row r="200" spans="1:1" ht="18" thickBot="1">
      <c r="A200" s="52" t="s">
        <v>86</v>
      </c>
    </row>
    <row r="201" spans="1:1" ht="18.600000000000001" thickTop="1" thickBot="1">
      <c r="A201" s="46" t="s">
        <v>87</v>
      </c>
    </row>
    <row r="202" spans="1:1" ht="18.600000000000001" thickTop="1" thickBot="1">
      <c r="A202" s="47" t="s">
        <v>88</v>
      </c>
    </row>
    <row r="203" spans="1:1" ht="18.600000000000001" thickTop="1" thickBot="1">
      <c r="A203" s="48" t="s">
        <v>89</v>
      </c>
    </row>
    <row r="204" spans="1:1" ht="18" thickBot="1">
      <c r="A204" s="49" t="s">
        <v>90</v>
      </c>
    </row>
    <row r="205" spans="1:1" ht="18" thickTop="1">
      <c r="A205" s="50" t="s">
        <v>83</v>
      </c>
    </row>
    <row r="206" spans="1:1" ht="18" thickBot="1">
      <c r="A206" s="51" t="s">
        <v>84</v>
      </c>
    </row>
    <row r="207" spans="1:1">
      <c r="A207" s="50" t="s">
        <v>85</v>
      </c>
    </row>
    <row r="208" spans="1:1" ht="18" thickBot="1">
      <c r="A208" s="52" t="s">
        <v>86</v>
      </c>
    </row>
    <row r="209" spans="1:1" ht="18.600000000000001" thickTop="1" thickBot="1">
      <c r="A209" s="46" t="s">
        <v>87</v>
      </c>
    </row>
    <row r="210" spans="1:1" ht="18.600000000000001" thickTop="1" thickBot="1">
      <c r="A210" s="47" t="s">
        <v>88</v>
      </c>
    </row>
    <row r="211" spans="1:1" ht="18.600000000000001" thickTop="1" thickBot="1">
      <c r="A211" s="48" t="s">
        <v>89</v>
      </c>
    </row>
    <row r="212" spans="1:1" ht="18" thickBot="1">
      <c r="A212" s="49" t="s">
        <v>90</v>
      </c>
    </row>
    <row r="213" spans="1:1" ht="18" thickTop="1">
      <c r="A213" s="50" t="s">
        <v>83</v>
      </c>
    </row>
    <row r="214" spans="1:1" ht="18" thickBot="1">
      <c r="A214" s="51" t="s">
        <v>84</v>
      </c>
    </row>
    <row r="215" spans="1:1">
      <c r="A215" s="50" t="s">
        <v>85</v>
      </c>
    </row>
    <row r="216" spans="1:1" ht="18" thickBot="1">
      <c r="A216" s="52" t="s">
        <v>86</v>
      </c>
    </row>
    <row r="217" spans="1:1" ht="18.600000000000001" thickTop="1" thickBot="1">
      <c r="A217" s="46" t="s">
        <v>87</v>
      </c>
    </row>
    <row r="218" spans="1:1" ht="18.600000000000001" thickTop="1" thickBot="1">
      <c r="A218" s="47" t="s">
        <v>88</v>
      </c>
    </row>
    <row r="219" spans="1:1" ht="18.600000000000001" thickTop="1" thickBot="1">
      <c r="A219" s="48" t="s">
        <v>89</v>
      </c>
    </row>
    <row r="220" spans="1:1" ht="18" thickBot="1">
      <c r="A220" s="49" t="s">
        <v>90</v>
      </c>
    </row>
    <row r="221" spans="1:1" ht="18" thickTop="1">
      <c r="A221" s="50" t="s">
        <v>83</v>
      </c>
    </row>
    <row r="222" spans="1:1" ht="18" thickBot="1">
      <c r="A222" s="51" t="s">
        <v>84</v>
      </c>
    </row>
    <row r="223" spans="1:1">
      <c r="A223" s="50" t="s">
        <v>85</v>
      </c>
    </row>
    <row r="224" spans="1:1" ht="18" thickBot="1">
      <c r="A224" s="52" t="s">
        <v>86</v>
      </c>
    </row>
    <row r="225" spans="1:1" ht="18.600000000000001" thickTop="1" thickBot="1">
      <c r="A225" s="46" t="s">
        <v>87</v>
      </c>
    </row>
    <row r="226" spans="1:1" ht="18.600000000000001" thickTop="1" thickBot="1">
      <c r="A226" s="47" t="s">
        <v>88</v>
      </c>
    </row>
    <row r="227" spans="1:1" ht="18.600000000000001" thickTop="1" thickBot="1">
      <c r="A227" s="48" t="s">
        <v>89</v>
      </c>
    </row>
    <row r="228" spans="1:1" ht="18" thickBot="1">
      <c r="A228" s="49" t="s">
        <v>90</v>
      </c>
    </row>
    <row r="229" spans="1:1" ht="18" thickTop="1">
      <c r="A229" s="50" t="s">
        <v>83</v>
      </c>
    </row>
    <row r="230" spans="1:1" ht="18" thickBot="1">
      <c r="A230" s="51" t="s">
        <v>84</v>
      </c>
    </row>
    <row r="231" spans="1:1">
      <c r="A231" s="50" t="s">
        <v>85</v>
      </c>
    </row>
    <row r="232" spans="1:1" ht="18" thickBot="1">
      <c r="A232" s="52" t="s">
        <v>86</v>
      </c>
    </row>
    <row r="233" spans="1:1" ht="18.600000000000001" thickTop="1" thickBot="1">
      <c r="A233" s="46" t="s">
        <v>87</v>
      </c>
    </row>
    <row r="234" spans="1:1" ht="18.600000000000001" thickTop="1" thickBot="1">
      <c r="A234" s="47" t="s">
        <v>88</v>
      </c>
    </row>
    <row r="235" spans="1:1" ht="18.600000000000001" thickTop="1" thickBot="1">
      <c r="A235" s="48" t="s">
        <v>89</v>
      </c>
    </row>
    <row r="236" spans="1:1" ht="18" thickBot="1">
      <c r="A236" s="49" t="s">
        <v>90</v>
      </c>
    </row>
    <row r="237" spans="1:1" ht="18" thickTop="1">
      <c r="A237" s="50" t="s">
        <v>83</v>
      </c>
    </row>
    <row r="238" spans="1:1" ht="18" thickBot="1">
      <c r="A238" s="51" t="s">
        <v>84</v>
      </c>
    </row>
    <row r="239" spans="1:1">
      <c r="A239" s="50" t="s">
        <v>85</v>
      </c>
    </row>
    <row r="240" spans="1:1" ht="18" thickBot="1">
      <c r="A240" s="52" t="s">
        <v>86</v>
      </c>
    </row>
    <row r="241" spans="1:1" ht="18.600000000000001" thickTop="1" thickBot="1">
      <c r="A241" s="46" t="s">
        <v>87</v>
      </c>
    </row>
    <row r="242" spans="1:1" ht="18.600000000000001" thickTop="1" thickBot="1">
      <c r="A242" s="47" t="s">
        <v>88</v>
      </c>
    </row>
    <row r="243" spans="1:1" ht="18.600000000000001" thickTop="1" thickBot="1">
      <c r="A243" s="48" t="s">
        <v>89</v>
      </c>
    </row>
    <row r="244" spans="1:1" ht="18" thickBot="1">
      <c r="A244" s="49" t="s">
        <v>90</v>
      </c>
    </row>
    <row r="245" spans="1:1" ht="18" thickTop="1">
      <c r="A245" s="50" t="s">
        <v>83</v>
      </c>
    </row>
    <row r="246" spans="1:1" ht="18" thickBot="1">
      <c r="A246" s="51" t="s">
        <v>84</v>
      </c>
    </row>
    <row r="247" spans="1:1">
      <c r="A247" s="50" t="s">
        <v>85</v>
      </c>
    </row>
    <row r="248" spans="1:1" ht="18" thickBot="1">
      <c r="A248" s="52" t="s">
        <v>86</v>
      </c>
    </row>
    <row r="249" spans="1:1" ht="18.600000000000001" thickTop="1" thickBot="1">
      <c r="A249" s="46" t="s">
        <v>87</v>
      </c>
    </row>
    <row r="250" spans="1:1" ht="18.600000000000001" thickTop="1" thickBot="1">
      <c r="A250" s="47" t="s">
        <v>88</v>
      </c>
    </row>
    <row r="251" spans="1:1" ht="18.600000000000001" thickTop="1" thickBot="1">
      <c r="A251" s="48" t="s">
        <v>89</v>
      </c>
    </row>
    <row r="252" spans="1:1" ht="18" thickBot="1">
      <c r="A252" s="49" t="s">
        <v>90</v>
      </c>
    </row>
    <row r="253" spans="1:1" ht="18" thickTop="1">
      <c r="A253" s="50" t="s">
        <v>83</v>
      </c>
    </row>
    <row r="254" spans="1:1" ht="18" thickBot="1">
      <c r="A254" s="51" t="s">
        <v>84</v>
      </c>
    </row>
    <row r="255" spans="1:1">
      <c r="A255" s="50" t="s">
        <v>85</v>
      </c>
    </row>
    <row r="256" spans="1:1" ht="18" thickBot="1">
      <c r="A256" s="52" t="s">
        <v>86</v>
      </c>
    </row>
    <row r="257" spans="1:1" ht="18.600000000000001" thickTop="1" thickBot="1">
      <c r="A257" s="46" t="s">
        <v>87</v>
      </c>
    </row>
    <row r="258" spans="1:1" ht="18.600000000000001" thickTop="1" thickBot="1">
      <c r="A258" s="47" t="s">
        <v>88</v>
      </c>
    </row>
    <row r="259" spans="1:1" ht="18.600000000000001" thickTop="1" thickBot="1">
      <c r="A259" s="48" t="s">
        <v>89</v>
      </c>
    </row>
    <row r="260" spans="1:1" ht="18" thickBot="1">
      <c r="A260" s="49" t="s">
        <v>90</v>
      </c>
    </row>
    <row r="261" spans="1:1" ht="18" thickTop="1">
      <c r="A261" s="50" t="s">
        <v>83</v>
      </c>
    </row>
    <row r="262" spans="1:1" ht="18" thickBot="1">
      <c r="A262" s="51" t="s">
        <v>84</v>
      </c>
    </row>
    <row r="263" spans="1:1">
      <c r="A263" s="50" t="s">
        <v>85</v>
      </c>
    </row>
    <row r="264" spans="1:1" ht="18" thickBot="1">
      <c r="A264" s="52" t="s">
        <v>86</v>
      </c>
    </row>
    <row r="265" spans="1:1" ht="18.600000000000001" thickTop="1" thickBot="1">
      <c r="A265" s="46" t="s">
        <v>87</v>
      </c>
    </row>
    <row r="266" spans="1:1" ht="18.600000000000001" thickTop="1" thickBot="1">
      <c r="A266" s="47" t="s">
        <v>88</v>
      </c>
    </row>
    <row r="267" spans="1:1" ht="18.600000000000001" thickTop="1" thickBot="1">
      <c r="A267" s="48" t="s">
        <v>89</v>
      </c>
    </row>
    <row r="268" spans="1:1" ht="18" thickBot="1">
      <c r="A268" s="49" t="s">
        <v>90</v>
      </c>
    </row>
    <row r="269" spans="1:1" ht="18" thickTop="1">
      <c r="A269" s="50" t="s">
        <v>83</v>
      </c>
    </row>
    <row r="270" spans="1:1" ht="18" thickBot="1">
      <c r="A270" s="51" t="s">
        <v>84</v>
      </c>
    </row>
    <row r="271" spans="1:1">
      <c r="A271" s="50" t="s">
        <v>85</v>
      </c>
    </row>
    <row r="272" spans="1:1" ht="18" thickBot="1">
      <c r="A272" s="52" t="s">
        <v>86</v>
      </c>
    </row>
    <row r="273" spans="1:1" ht="18.600000000000001" thickTop="1" thickBot="1">
      <c r="A273" s="46" t="s">
        <v>87</v>
      </c>
    </row>
    <row r="274" spans="1:1" ht="18.600000000000001" thickTop="1" thickBot="1">
      <c r="A274" s="47" t="s">
        <v>88</v>
      </c>
    </row>
    <row r="275" spans="1:1" ht="18.600000000000001" thickTop="1" thickBot="1">
      <c r="A275" s="48" t="s">
        <v>89</v>
      </c>
    </row>
    <row r="276" spans="1:1" ht="18" thickBot="1">
      <c r="A276" s="49" t="s">
        <v>90</v>
      </c>
    </row>
    <row r="277" spans="1:1" ht="18" thickTop="1">
      <c r="A277" s="50" t="s">
        <v>83</v>
      </c>
    </row>
    <row r="278" spans="1:1" ht="18" thickBot="1">
      <c r="A278" s="51" t="s">
        <v>84</v>
      </c>
    </row>
    <row r="279" spans="1:1">
      <c r="A279" s="50" t="s">
        <v>85</v>
      </c>
    </row>
    <row r="280" spans="1:1" ht="18" thickBot="1">
      <c r="A280" s="52" t="s">
        <v>86</v>
      </c>
    </row>
    <row r="281" spans="1:1" ht="18.600000000000001" thickTop="1" thickBot="1">
      <c r="A281" s="46" t="s">
        <v>87</v>
      </c>
    </row>
    <row r="282" spans="1:1" ht="18.600000000000001" thickTop="1" thickBot="1">
      <c r="A282" s="47" t="s">
        <v>88</v>
      </c>
    </row>
    <row r="283" spans="1:1" ht="18.600000000000001" thickTop="1" thickBot="1">
      <c r="A283" s="48" t="s">
        <v>89</v>
      </c>
    </row>
    <row r="284" spans="1:1" ht="18" thickBot="1">
      <c r="A284" s="49" t="s">
        <v>90</v>
      </c>
    </row>
    <row r="285" spans="1:1" ht="18" thickTop="1">
      <c r="A285" s="50" t="s">
        <v>83</v>
      </c>
    </row>
    <row r="286" spans="1:1" ht="18" thickBot="1">
      <c r="A286" s="51" t="s">
        <v>84</v>
      </c>
    </row>
    <row r="287" spans="1:1">
      <c r="A287" s="50" t="s">
        <v>85</v>
      </c>
    </row>
    <row r="288" spans="1:1" ht="18" thickBot="1">
      <c r="A288" s="52" t="s">
        <v>86</v>
      </c>
    </row>
    <row r="289" spans="1:1" ht="18.600000000000001" thickTop="1" thickBot="1">
      <c r="A289" s="46" t="s">
        <v>87</v>
      </c>
    </row>
    <row r="290" spans="1:1" ht="18.600000000000001" thickTop="1" thickBot="1">
      <c r="A290" s="47" t="s">
        <v>88</v>
      </c>
    </row>
    <row r="291" spans="1:1" ht="18.600000000000001" thickTop="1" thickBot="1">
      <c r="A291" s="48" t="s">
        <v>89</v>
      </c>
    </row>
    <row r="292" spans="1:1" ht="18" thickBot="1">
      <c r="A292" s="49" t="s">
        <v>90</v>
      </c>
    </row>
    <row r="293" spans="1:1" ht="18" thickTop="1">
      <c r="A293" s="50" t="s">
        <v>83</v>
      </c>
    </row>
    <row r="294" spans="1:1" ht="18" thickBot="1">
      <c r="A294" s="51" t="s">
        <v>84</v>
      </c>
    </row>
    <row r="295" spans="1:1">
      <c r="A295" s="50" t="s">
        <v>85</v>
      </c>
    </row>
    <row r="296" spans="1:1" ht="18" thickBot="1">
      <c r="A296" s="52" t="s">
        <v>86</v>
      </c>
    </row>
    <row r="297" spans="1:1" ht="18.600000000000001" thickTop="1" thickBot="1">
      <c r="A297" s="46" t="s">
        <v>87</v>
      </c>
    </row>
    <row r="298" spans="1:1" ht="18.600000000000001" thickTop="1" thickBot="1">
      <c r="A298" s="47" t="s">
        <v>88</v>
      </c>
    </row>
    <row r="299" spans="1:1" ht="18.600000000000001" thickTop="1" thickBot="1">
      <c r="A299" s="48" t="s">
        <v>89</v>
      </c>
    </row>
    <row r="300" spans="1:1" ht="18" thickBot="1">
      <c r="A300" s="49" t="s">
        <v>90</v>
      </c>
    </row>
    <row r="301" spans="1:1" ht="18" thickTop="1">
      <c r="A301" s="50" t="s">
        <v>83</v>
      </c>
    </row>
    <row r="302" spans="1:1" ht="18" thickBot="1">
      <c r="A302" s="51" t="s">
        <v>84</v>
      </c>
    </row>
    <row r="303" spans="1:1">
      <c r="A303" s="50" t="s">
        <v>85</v>
      </c>
    </row>
    <row r="304" spans="1:1" ht="18" thickBot="1">
      <c r="A304" s="52" t="s">
        <v>86</v>
      </c>
    </row>
    <row r="305" spans="1:1" ht="18.600000000000001" thickTop="1" thickBot="1">
      <c r="A305" s="46" t="s">
        <v>87</v>
      </c>
    </row>
    <row r="306" spans="1:1" ht="18.600000000000001" thickTop="1" thickBot="1">
      <c r="A306" s="47" t="s">
        <v>88</v>
      </c>
    </row>
    <row r="307" spans="1:1" ht="18.600000000000001" thickTop="1" thickBot="1">
      <c r="A307" s="48" t="s">
        <v>89</v>
      </c>
    </row>
    <row r="308" spans="1:1" ht="18" thickBot="1">
      <c r="A308" s="49" t="s">
        <v>90</v>
      </c>
    </row>
    <row r="309" spans="1:1" ht="18" thickTop="1">
      <c r="A309" s="50" t="s">
        <v>83</v>
      </c>
    </row>
    <row r="310" spans="1:1" ht="18" thickBot="1">
      <c r="A310" s="51" t="s">
        <v>84</v>
      </c>
    </row>
    <row r="311" spans="1:1">
      <c r="A311" s="50" t="s">
        <v>85</v>
      </c>
    </row>
    <row r="312" spans="1:1" ht="18" thickBot="1">
      <c r="A312" s="52" t="s">
        <v>86</v>
      </c>
    </row>
    <row r="313" spans="1:1" ht="18.600000000000001" thickTop="1" thickBot="1">
      <c r="A313" s="46" t="s">
        <v>87</v>
      </c>
    </row>
    <row r="314" spans="1:1" ht="18.600000000000001" thickTop="1" thickBot="1">
      <c r="A314" s="47" t="s">
        <v>88</v>
      </c>
    </row>
    <row r="315" spans="1:1" ht="18.600000000000001" thickTop="1" thickBot="1">
      <c r="A315" s="48" t="s">
        <v>89</v>
      </c>
    </row>
    <row r="316" spans="1:1" ht="18" thickBot="1">
      <c r="A316" s="49" t="s">
        <v>90</v>
      </c>
    </row>
    <row r="317" spans="1:1" ht="18" thickTop="1">
      <c r="A317" s="50" t="s">
        <v>83</v>
      </c>
    </row>
    <row r="318" spans="1:1" ht="18" thickBot="1">
      <c r="A318" s="51" t="s">
        <v>84</v>
      </c>
    </row>
    <row r="319" spans="1:1">
      <c r="A319" s="50" t="s">
        <v>85</v>
      </c>
    </row>
    <row r="320" spans="1:1" ht="18" thickBot="1">
      <c r="A320" s="52" t="s">
        <v>86</v>
      </c>
    </row>
    <row r="321" spans="1:1" ht="18.600000000000001" thickTop="1" thickBot="1">
      <c r="A321" s="46" t="s">
        <v>87</v>
      </c>
    </row>
    <row r="322" spans="1:1" ht="18.600000000000001" thickTop="1" thickBot="1">
      <c r="A322" s="47" t="s">
        <v>88</v>
      </c>
    </row>
    <row r="323" spans="1:1" ht="18.600000000000001" thickTop="1" thickBot="1">
      <c r="A323" s="48" t="s">
        <v>89</v>
      </c>
    </row>
    <row r="324" spans="1:1" ht="18" thickBot="1">
      <c r="A324" s="49" t="s">
        <v>90</v>
      </c>
    </row>
    <row r="325" spans="1:1" ht="18" thickTop="1">
      <c r="A325" s="50" t="s">
        <v>83</v>
      </c>
    </row>
    <row r="326" spans="1:1" ht="18" thickBot="1">
      <c r="A326" s="51" t="s">
        <v>84</v>
      </c>
    </row>
    <row r="327" spans="1:1">
      <c r="A327" s="50" t="s">
        <v>85</v>
      </c>
    </row>
    <row r="328" spans="1:1" ht="18" thickBot="1">
      <c r="A328" s="52" t="s">
        <v>86</v>
      </c>
    </row>
    <row r="329" spans="1:1" ht="18.600000000000001" thickTop="1" thickBot="1">
      <c r="A329" s="46" t="s">
        <v>87</v>
      </c>
    </row>
    <row r="330" spans="1:1" ht="18.600000000000001" thickTop="1" thickBot="1">
      <c r="A330" s="47" t="s">
        <v>88</v>
      </c>
    </row>
    <row r="331" spans="1:1" ht="18.600000000000001" thickTop="1" thickBot="1">
      <c r="A331" s="48" t="s">
        <v>89</v>
      </c>
    </row>
    <row r="332" spans="1:1" ht="18" thickBot="1">
      <c r="A332" s="49" t="s">
        <v>90</v>
      </c>
    </row>
    <row r="333" spans="1:1" ht="18" thickTop="1">
      <c r="A333" s="50" t="s">
        <v>83</v>
      </c>
    </row>
    <row r="334" spans="1:1" ht="18" thickBot="1">
      <c r="A334" s="51" t="s">
        <v>84</v>
      </c>
    </row>
    <row r="335" spans="1:1">
      <c r="A335" s="50" t="s">
        <v>85</v>
      </c>
    </row>
    <row r="336" spans="1:1" ht="18" thickBot="1">
      <c r="A336" s="52" t="s">
        <v>86</v>
      </c>
    </row>
    <row r="337" spans="1:1" ht="18.600000000000001" thickTop="1" thickBot="1">
      <c r="A337" s="46" t="s">
        <v>87</v>
      </c>
    </row>
    <row r="338" spans="1:1" ht="18.600000000000001" thickTop="1" thickBot="1">
      <c r="A338" s="47" t="s">
        <v>88</v>
      </c>
    </row>
    <row r="339" spans="1:1" ht="18.600000000000001" thickTop="1" thickBot="1">
      <c r="A339" s="48" t="s">
        <v>89</v>
      </c>
    </row>
    <row r="340" spans="1:1" ht="18" thickBot="1">
      <c r="A340" s="49" t="s">
        <v>90</v>
      </c>
    </row>
    <row r="341" spans="1:1" ht="18" thickTop="1">
      <c r="A341" s="50" t="s">
        <v>83</v>
      </c>
    </row>
    <row r="342" spans="1:1" ht="18" thickBot="1">
      <c r="A342" s="51" t="s">
        <v>84</v>
      </c>
    </row>
    <row r="343" spans="1:1">
      <c r="A343" s="50" t="s">
        <v>85</v>
      </c>
    </row>
    <row r="344" spans="1:1" ht="18" thickBot="1">
      <c r="A344" s="52" t="s">
        <v>86</v>
      </c>
    </row>
    <row r="345" spans="1:1" ht="18.600000000000001" thickTop="1" thickBot="1">
      <c r="A345" s="46" t="s">
        <v>87</v>
      </c>
    </row>
    <row r="346" spans="1:1" ht="18.600000000000001" thickTop="1" thickBot="1">
      <c r="A346" s="47" t="s">
        <v>88</v>
      </c>
    </row>
    <row r="347" spans="1:1" ht="18.600000000000001" thickTop="1" thickBot="1">
      <c r="A347" s="48" t="s">
        <v>89</v>
      </c>
    </row>
    <row r="348" spans="1:1" ht="18" thickBot="1">
      <c r="A348" s="49" t="s">
        <v>90</v>
      </c>
    </row>
    <row r="349" spans="1:1" ht="18" thickTop="1">
      <c r="A349" s="50" t="s">
        <v>83</v>
      </c>
    </row>
    <row r="350" spans="1:1" ht="18" thickBot="1">
      <c r="A350" s="51" t="s">
        <v>84</v>
      </c>
    </row>
    <row r="351" spans="1:1">
      <c r="A351" s="50" t="s">
        <v>85</v>
      </c>
    </row>
    <row r="352" spans="1:1" ht="18" thickBot="1">
      <c r="A352" s="52" t="s">
        <v>86</v>
      </c>
    </row>
    <row r="353" spans="1:1" ht="18.600000000000001" thickTop="1" thickBot="1">
      <c r="A353" s="46" t="s">
        <v>87</v>
      </c>
    </row>
    <row r="354" spans="1:1" ht="18.600000000000001" thickTop="1" thickBot="1">
      <c r="A354" s="47" t="s">
        <v>88</v>
      </c>
    </row>
    <row r="355" spans="1:1" ht="18.600000000000001" thickTop="1" thickBot="1">
      <c r="A355" s="48" t="s">
        <v>89</v>
      </c>
    </row>
    <row r="356" spans="1:1" ht="18" thickBot="1">
      <c r="A356" s="49" t="s">
        <v>90</v>
      </c>
    </row>
    <row r="357" spans="1:1" ht="18" thickTop="1">
      <c r="A357" s="50" t="s">
        <v>83</v>
      </c>
    </row>
    <row r="358" spans="1:1" ht="18" thickBot="1">
      <c r="A358" s="51" t="s">
        <v>84</v>
      </c>
    </row>
    <row r="359" spans="1:1">
      <c r="A359" s="50" t="s">
        <v>85</v>
      </c>
    </row>
    <row r="360" spans="1:1" ht="18" thickBot="1">
      <c r="A360" s="52" t="s">
        <v>86</v>
      </c>
    </row>
    <row r="361" spans="1:1" ht="18.600000000000001" thickTop="1" thickBot="1">
      <c r="A361" s="46" t="s">
        <v>87</v>
      </c>
    </row>
    <row r="362" spans="1:1" ht="18.600000000000001" thickTop="1" thickBot="1">
      <c r="A362" s="47" t="s">
        <v>88</v>
      </c>
    </row>
    <row r="363" spans="1:1" ht="18.600000000000001" thickTop="1" thickBot="1">
      <c r="A363" s="48" t="s">
        <v>89</v>
      </c>
    </row>
    <row r="364" spans="1:1" ht="18" thickBot="1">
      <c r="A364" s="49" t="s">
        <v>90</v>
      </c>
    </row>
    <row r="365" spans="1:1" ht="18" thickTop="1">
      <c r="A365" s="50" t="s">
        <v>83</v>
      </c>
    </row>
    <row r="366" spans="1:1" ht="18" thickBot="1">
      <c r="A366" s="51" t="s">
        <v>84</v>
      </c>
    </row>
    <row r="367" spans="1:1">
      <c r="A367" s="50" t="s">
        <v>85</v>
      </c>
    </row>
    <row r="368" spans="1:1" ht="18" thickBot="1">
      <c r="A368" s="52" t="s">
        <v>86</v>
      </c>
    </row>
    <row r="369" spans="1:1" ht="18.600000000000001" thickTop="1" thickBot="1">
      <c r="A369" s="46" t="s">
        <v>87</v>
      </c>
    </row>
    <row r="370" spans="1:1" ht="18.600000000000001" thickTop="1" thickBot="1">
      <c r="A370" s="47" t="s">
        <v>88</v>
      </c>
    </row>
    <row r="371" spans="1:1" ht="18.600000000000001" thickTop="1" thickBot="1">
      <c r="A371" s="48" t="s">
        <v>89</v>
      </c>
    </row>
    <row r="372" spans="1:1" ht="18" thickBot="1">
      <c r="A372" s="49" t="s">
        <v>90</v>
      </c>
    </row>
    <row r="373" spans="1:1" ht="18" thickTop="1">
      <c r="A373" s="50" t="s">
        <v>83</v>
      </c>
    </row>
    <row r="374" spans="1:1" ht="18" thickBot="1">
      <c r="A374" s="51" t="s">
        <v>84</v>
      </c>
    </row>
    <row r="375" spans="1:1">
      <c r="A375" s="50" t="s">
        <v>85</v>
      </c>
    </row>
    <row r="376" spans="1:1" ht="18" thickBot="1">
      <c r="A376" s="52" t="s">
        <v>86</v>
      </c>
    </row>
    <row r="377" spans="1:1" ht="18.600000000000001" thickTop="1" thickBot="1">
      <c r="A377" s="46" t="s">
        <v>87</v>
      </c>
    </row>
    <row r="378" spans="1:1" ht="18.600000000000001" thickTop="1" thickBot="1">
      <c r="A378" s="47" t="s">
        <v>88</v>
      </c>
    </row>
    <row r="379" spans="1:1" ht="18.600000000000001" thickTop="1" thickBot="1">
      <c r="A379" s="48" t="s">
        <v>89</v>
      </c>
    </row>
    <row r="380" spans="1:1" ht="18" thickBot="1">
      <c r="A380" s="49" t="s">
        <v>90</v>
      </c>
    </row>
    <row r="381" spans="1:1" ht="18" thickTop="1">
      <c r="A381" s="50" t="s">
        <v>83</v>
      </c>
    </row>
    <row r="382" spans="1:1" ht="18" thickBot="1">
      <c r="A382" s="51" t="s">
        <v>84</v>
      </c>
    </row>
    <row r="383" spans="1:1">
      <c r="A383" s="50" t="s">
        <v>85</v>
      </c>
    </row>
    <row r="384" spans="1:1" ht="18" thickBot="1">
      <c r="A384" s="52" t="s">
        <v>86</v>
      </c>
    </row>
    <row r="385" spans="1:1" ht="18.600000000000001" thickTop="1" thickBot="1">
      <c r="A385" s="46" t="s">
        <v>87</v>
      </c>
    </row>
    <row r="386" spans="1:1" ht="18.600000000000001" thickTop="1" thickBot="1">
      <c r="A386" s="47" t="s">
        <v>88</v>
      </c>
    </row>
    <row r="387" spans="1:1" ht="18.600000000000001" thickTop="1" thickBot="1">
      <c r="A387" s="48" t="s">
        <v>89</v>
      </c>
    </row>
    <row r="388" spans="1:1" ht="18" thickBot="1">
      <c r="A388" s="49" t="s">
        <v>90</v>
      </c>
    </row>
    <row r="389" spans="1:1" ht="18" thickTop="1">
      <c r="A389" s="50" t="s">
        <v>83</v>
      </c>
    </row>
    <row r="390" spans="1:1" ht="18" thickBot="1">
      <c r="A390" s="51" t="s">
        <v>84</v>
      </c>
    </row>
    <row r="391" spans="1:1">
      <c r="A391" s="50" t="s">
        <v>85</v>
      </c>
    </row>
    <row r="392" spans="1:1" ht="18" thickBot="1">
      <c r="A392" s="52" t="s">
        <v>86</v>
      </c>
    </row>
    <row r="393" spans="1:1" ht="18.600000000000001" thickTop="1" thickBot="1">
      <c r="A393" s="46" t="s">
        <v>87</v>
      </c>
    </row>
    <row r="394" spans="1:1" ht="18.600000000000001" thickTop="1" thickBot="1">
      <c r="A394" s="47" t="s">
        <v>88</v>
      </c>
    </row>
    <row r="395" spans="1:1" ht="18.600000000000001" thickTop="1" thickBot="1">
      <c r="A395" s="48" t="s">
        <v>89</v>
      </c>
    </row>
    <row r="396" spans="1:1" ht="18" thickBot="1">
      <c r="A396" s="49" t="s">
        <v>90</v>
      </c>
    </row>
    <row r="397" spans="1:1" ht="18" thickTop="1">
      <c r="A397" s="50" t="s">
        <v>83</v>
      </c>
    </row>
    <row r="398" spans="1:1" ht="18" thickBot="1">
      <c r="A398" s="51" t="s">
        <v>84</v>
      </c>
    </row>
    <row r="399" spans="1:1">
      <c r="A399" s="50" t="s">
        <v>85</v>
      </c>
    </row>
    <row r="400" spans="1:1" ht="18" thickBot="1">
      <c r="A400" s="52" t="s">
        <v>86</v>
      </c>
    </row>
    <row r="401" spans="1:1" ht="18.600000000000001" thickTop="1" thickBot="1">
      <c r="A401" s="46" t="s">
        <v>87</v>
      </c>
    </row>
    <row r="402" spans="1:1" ht="18.600000000000001" thickTop="1" thickBot="1">
      <c r="A402" s="47" t="s">
        <v>88</v>
      </c>
    </row>
    <row r="403" spans="1:1" ht="18.600000000000001" thickTop="1" thickBot="1">
      <c r="A403" s="48" t="s">
        <v>89</v>
      </c>
    </row>
    <row r="404" spans="1:1" ht="18" thickBot="1">
      <c r="A404" s="49" t="s">
        <v>90</v>
      </c>
    </row>
    <row r="405" spans="1:1" ht="18" thickTop="1">
      <c r="A405" s="50" t="s">
        <v>83</v>
      </c>
    </row>
    <row r="406" spans="1:1" ht="18" thickBot="1">
      <c r="A406" s="51" t="s">
        <v>84</v>
      </c>
    </row>
    <row r="407" spans="1:1">
      <c r="A407" s="50" t="s">
        <v>85</v>
      </c>
    </row>
    <row r="408" spans="1:1" ht="18" thickBot="1">
      <c r="A408" s="52" t="s">
        <v>86</v>
      </c>
    </row>
    <row r="409" spans="1:1" ht="18.600000000000001" thickTop="1" thickBot="1">
      <c r="A409" s="46" t="s">
        <v>87</v>
      </c>
    </row>
    <row r="410" spans="1:1" ht="18.600000000000001" thickTop="1" thickBot="1">
      <c r="A410" s="47" t="s">
        <v>88</v>
      </c>
    </row>
    <row r="411" spans="1:1" ht="18.600000000000001" thickTop="1" thickBot="1">
      <c r="A411" s="48" t="s">
        <v>89</v>
      </c>
    </row>
    <row r="412" spans="1:1" ht="18" thickBot="1">
      <c r="A412" s="49" t="s">
        <v>90</v>
      </c>
    </row>
    <row r="413" spans="1:1" ht="18" thickTop="1">
      <c r="A413" s="50" t="s">
        <v>83</v>
      </c>
    </row>
    <row r="414" spans="1:1" ht="18" thickBot="1">
      <c r="A414" s="51" t="s">
        <v>84</v>
      </c>
    </row>
    <row r="415" spans="1:1">
      <c r="A415" s="50" t="s">
        <v>85</v>
      </c>
    </row>
    <row r="416" spans="1:1" ht="18" thickBot="1">
      <c r="A416" s="52" t="s">
        <v>86</v>
      </c>
    </row>
    <row r="417" spans="1:1" ht="18.600000000000001" thickTop="1" thickBot="1">
      <c r="A417" s="46" t="s">
        <v>87</v>
      </c>
    </row>
    <row r="418" spans="1:1" ht="18.600000000000001" thickTop="1" thickBot="1">
      <c r="A418" s="47" t="s">
        <v>88</v>
      </c>
    </row>
    <row r="419" spans="1:1" ht="18.600000000000001" thickTop="1" thickBot="1">
      <c r="A419" s="48" t="s">
        <v>89</v>
      </c>
    </row>
    <row r="420" spans="1:1" ht="18" thickBot="1">
      <c r="A420" s="49" t="s">
        <v>90</v>
      </c>
    </row>
    <row r="421" spans="1:1" ht="18" thickTop="1">
      <c r="A421" s="50" t="s">
        <v>83</v>
      </c>
    </row>
    <row r="422" spans="1:1" ht="18" thickBot="1">
      <c r="A422" s="51" t="s">
        <v>84</v>
      </c>
    </row>
    <row r="423" spans="1:1">
      <c r="A423" s="50" t="s">
        <v>85</v>
      </c>
    </row>
    <row r="424" spans="1:1" ht="18" thickBot="1">
      <c r="A424" s="52" t="s">
        <v>86</v>
      </c>
    </row>
    <row r="425" spans="1:1" ht="18.600000000000001" thickTop="1" thickBot="1">
      <c r="A425" s="46" t="s">
        <v>87</v>
      </c>
    </row>
    <row r="426" spans="1:1" ht="18.600000000000001" thickTop="1" thickBot="1">
      <c r="A426" s="47" t="s">
        <v>88</v>
      </c>
    </row>
    <row r="427" spans="1:1" ht="18.600000000000001" thickTop="1" thickBot="1">
      <c r="A427" s="48" t="s">
        <v>89</v>
      </c>
    </row>
    <row r="428" spans="1:1" ht="18" thickBot="1">
      <c r="A428" s="49" t="s">
        <v>90</v>
      </c>
    </row>
    <row r="429" spans="1:1" ht="18" thickTop="1">
      <c r="A429" s="50" t="s">
        <v>83</v>
      </c>
    </row>
    <row r="430" spans="1:1" ht="18" thickBot="1">
      <c r="A430" s="51" t="s">
        <v>84</v>
      </c>
    </row>
    <row r="431" spans="1:1">
      <c r="A431" s="50" t="s">
        <v>85</v>
      </c>
    </row>
    <row r="432" spans="1:1" ht="18" thickBot="1">
      <c r="A432" s="52" t="s">
        <v>86</v>
      </c>
    </row>
    <row r="433" spans="1:1" ht="18.600000000000001" thickTop="1" thickBot="1">
      <c r="A433" s="46" t="s">
        <v>87</v>
      </c>
    </row>
    <row r="434" spans="1:1" ht="18.600000000000001" thickTop="1" thickBot="1">
      <c r="A434" s="47" t="s">
        <v>88</v>
      </c>
    </row>
    <row r="435" spans="1:1" ht="18.600000000000001" thickTop="1" thickBot="1">
      <c r="A435" s="48" t="s">
        <v>89</v>
      </c>
    </row>
    <row r="436" spans="1:1" ht="18" thickBot="1">
      <c r="A436" s="49" t="s">
        <v>90</v>
      </c>
    </row>
    <row r="437" spans="1:1" ht="18" thickTop="1">
      <c r="A437" s="50" t="s">
        <v>83</v>
      </c>
    </row>
    <row r="438" spans="1:1" ht="18" thickBot="1">
      <c r="A438" s="51" t="s">
        <v>84</v>
      </c>
    </row>
    <row r="439" spans="1:1">
      <c r="A439" s="50" t="s">
        <v>85</v>
      </c>
    </row>
    <row r="440" spans="1:1" ht="18" thickBot="1">
      <c r="A440" s="52" t="s">
        <v>86</v>
      </c>
    </row>
    <row r="441" spans="1:1" ht="18" thickTop="1">
      <c r="A441" s="50" t="s">
        <v>85</v>
      </c>
    </row>
    <row r="442" spans="1:1" ht="18" thickBot="1">
      <c r="A442" s="52" t="s">
        <v>86</v>
      </c>
    </row>
    <row r="443" spans="1:1" ht="18.600000000000001" thickTop="1" thickBot="1">
      <c r="A443" s="46" t="s">
        <v>87</v>
      </c>
    </row>
    <row r="444" spans="1:1" ht="18.600000000000001" thickTop="1" thickBot="1">
      <c r="A444" s="47" t="s">
        <v>88</v>
      </c>
    </row>
    <row r="445" spans="1:1" ht="18.600000000000001" thickTop="1" thickBot="1">
      <c r="A445" s="48" t="s">
        <v>89</v>
      </c>
    </row>
    <row r="446" spans="1:1" ht="18" thickBot="1">
      <c r="A446" s="49" t="s">
        <v>90</v>
      </c>
    </row>
    <row r="447" spans="1:1" ht="18" thickTop="1">
      <c r="A447" s="50" t="s">
        <v>83</v>
      </c>
    </row>
    <row r="448" spans="1:1" ht="18" thickBot="1">
      <c r="A448" s="51" t="s">
        <v>84</v>
      </c>
    </row>
    <row r="449" spans="1:1">
      <c r="A449" s="50" t="s">
        <v>85</v>
      </c>
    </row>
    <row r="450" spans="1:1" ht="18" thickBot="1">
      <c r="A450" s="52" t="s">
        <v>86</v>
      </c>
    </row>
    <row r="451" spans="1:1" ht="18.600000000000001" thickTop="1" thickBot="1">
      <c r="A451" s="46" t="s">
        <v>87</v>
      </c>
    </row>
    <row r="452" spans="1:1" ht="18.600000000000001" thickTop="1" thickBot="1">
      <c r="A452" s="47" t="s">
        <v>88</v>
      </c>
    </row>
    <row r="453" spans="1:1" ht="18.600000000000001" thickTop="1" thickBot="1">
      <c r="A453" s="48" t="s">
        <v>89</v>
      </c>
    </row>
    <row r="454" spans="1:1" ht="18" thickBot="1">
      <c r="A454" s="49" t="s">
        <v>90</v>
      </c>
    </row>
    <row r="455" spans="1:1" ht="18" thickTop="1">
      <c r="A455" s="50" t="s">
        <v>83</v>
      </c>
    </row>
    <row r="456" spans="1:1" ht="18" thickBot="1">
      <c r="A456" s="51" t="s">
        <v>84</v>
      </c>
    </row>
    <row r="457" spans="1:1">
      <c r="A457" s="50" t="s">
        <v>85</v>
      </c>
    </row>
    <row r="458" spans="1:1" ht="18" thickBot="1">
      <c r="A458" s="52" t="s">
        <v>86</v>
      </c>
    </row>
    <row r="459" spans="1:1" ht="18.600000000000001" thickTop="1" thickBot="1">
      <c r="A459" s="46" t="s">
        <v>87</v>
      </c>
    </row>
    <row r="460" spans="1:1" ht="18.600000000000001" thickTop="1" thickBot="1">
      <c r="A460" s="47" t="s">
        <v>88</v>
      </c>
    </row>
    <row r="461" spans="1:1" ht="18.600000000000001" thickTop="1" thickBot="1">
      <c r="A461" s="48" t="s">
        <v>89</v>
      </c>
    </row>
    <row r="462" spans="1:1" ht="18" thickBot="1">
      <c r="A462" s="49" t="s">
        <v>90</v>
      </c>
    </row>
    <row r="463" spans="1:1" ht="18" thickTop="1">
      <c r="A463" s="50" t="s">
        <v>83</v>
      </c>
    </row>
    <row r="464" spans="1:1" ht="18" thickBot="1">
      <c r="A464" s="51" t="s">
        <v>84</v>
      </c>
    </row>
    <row r="465" spans="1:1">
      <c r="A465" s="50" t="s">
        <v>85</v>
      </c>
    </row>
    <row r="466" spans="1:1" ht="18" thickBot="1">
      <c r="A466" s="52" t="s">
        <v>86</v>
      </c>
    </row>
    <row r="467" spans="1:1" ht="18.600000000000001" thickTop="1" thickBot="1">
      <c r="A467" s="46" t="s">
        <v>87</v>
      </c>
    </row>
    <row r="468" spans="1:1" ht="18.600000000000001" thickTop="1" thickBot="1">
      <c r="A468" s="47" t="s">
        <v>88</v>
      </c>
    </row>
    <row r="469" spans="1:1" ht="18.600000000000001" thickTop="1" thickBot="1">
      <c r="A469" s="48" t="s">
        <v>89</v>
      </c>
    </row>
    <row r="470" spans="1:1" ht="18" thickBot="1">
      <c r="A470" s="49" t="s">
        <v>90</v>
      </c>
    </row>
    <row r="471" spans="1:1" ht="18" thickTop="1">
      <c r="A471" s="50" t="s">
        <v>83</v>
      </c>
    </row>
    <row r="472" spans="1:1" ht="18" thickBot="1">
      <c r="A472" s="51" t="s">
        <v>84</v>
      </c>
    </row>
    <row r="473" spans="1:1">
      <c r="A473" s="50" t="s">
        <v>85</v>
      </c>
    </row>
    <row r="474" spans="1:1" ht="18" thickBot="1">
      <c r="A474" s="52" t="s">
        <v>86</v>
      </c>
    </row>
    <row r="475" spans="1:1" ht="18.600000000000001" thickTop="1" thickBot="1">
      <c r="A475" s="46" t="s">
        <v>87</v>
      </c>
    </row>
    <row r="476" spans="1:1" ht="18.600000000000001" thickTop="1" thickBot="1">
      <c r="A476" s="47" t="s">
        <v>88</v>
      </c>
    </row>
    <row r="477" spans="1:1" ht="18.600000000000001" thickTop="1" thickBot="1">
      <c r="A477" s="48" t="s">
        <v>89</v>
      </c>
    </row>
    <row r="478" spans="1:1" ht="18" thickBot="1">
      <c r="A478" s="49" t="s">
        <v>90</v>
      </c>
    </row>
    <row r="479" spans="1:1" ht="18" thickTop="1">
      <c r="A479" s="50" t="s">
        <v>83</v>
      </c>
    </row>
    <row r="480" spans="1:1" ht="18" thickBot="1">
      <c r="A480" s="51" t="s">
        <v>84</v>
      </c>
    </row>
    <row r="481" spans="1:1">
      <c r="A481" s="50" t="s">
        <v>85</v>
      </c>
    </row>
    <row r="482" spans="1:1" ht="18" thickBot="1">
      <c r="A482" s="52" t="s">
        <v>86</v>
      </c>
    </row>
    <row r="483" spans="1:1" ht="18.600000000000001" thickTop="1" thickBot="1">
      <c r="A483" s="46" t="s">
        <v>87</v>
      </c>
    </row>
    <row r="484" spans="1:1" ht="18.600000000000001" thickTop="1" thickBot="1">
      <c r="A484" s="47" t="s">
        <v>88</v>
      </c>
    </row>
    <row r="485" spans="1:1" ht="18.600000000000001" thickTop="1" thickBot="1">
      <c r="A485" s="48" t="s">
        <v>89</v>
      </c>
    </row>
    <row r="486" spans="1:1" ht="18" thickBot="1">
      <c r="A486" s="49" t="s">
        <v>90</v>
      </c>
    </row>
    <row r="487" spans="1:1" ht="18" thickTop="1">
      <c r="A487" s="50" t="s">
        <v>83</v>
      </c>
    </row>
    <row r="488" spans="1:1" ht="18" thickBot="1">
      <c r="A488" s="51" t="s">
        <v>84</v>
      </c>
    </row>
    <row r="489" spans="1:1">
      <c r="A489" s="50" t="s">
        <v>85</v>
      </c>
    </row>
    <row r="490" spans="1:1" ht="18" thickBot="1">
      <c r="A490" s="52" t="s">
        <v>86</v>
      </c>
    </row>
    <row r="491" spans="1:1" ht="18.600000000000001" thickTop="1" thickBot="1">
      <c r="A491" s="46" t="s">
        <v>87</v>
      </c>
    </row>
    <row r="492" spans="1:1" ht="18.600000000000001" thickTop="1" thickBot="1">
      <c r="A492" s="47" t="s">
        <v>88</v>
      </c>
    </row>
    <row r="493" spans="1:1" ht="18.600000000000001" thickTop="1" thickBot="1">
      <c r="A493" s="48" t="s">
        <v>89</v>
      </c>
    </row>
    <row r="494" spans="1:1" ht="18" thickBot="1">
      <c r="A494" s="49" t="s">
        <v>90</v>
      </c>
    </row>
    <row r="495" spans="1:1" ht="18" thickTop="1">
      <c r="A495" s="50" t="s">
        <v>83</v>
      </c>
    </row>
    <row r="496" spans="1:1" ht="18" thickBot="1">
      <c r="A496" s="51" t="s">
        <v>84</v>
      </c>
    </row>
    <row r="497" spans="1:1">
      <c r="A497" s="50" t="s">
        <v>85</v>
      </c>
    </row>
    <row r="498" spans="1:1" ht="18" thickBot="1">
      <c r="A498" s="52" t="s">
        <v>86</v>
      </c>
    </row>
    <row r="499" spans="1:1" ht="18.600000000000001" thickTop="1" thickBot="1">
      <c r="A499" s="46" t="s">
        <v>87</v>
      </c>
    </row>
    <row r="500" spans="1:1" ht="18.600000000000001" thickTop="1" thickBot="1">
      <c r="A500" s="47" t="s">
        <v>88</v>
      </c>
    </row>
    <row r="501" spans="1:1" ht="18.600000000000001" thickTop="1" thickBot="1">
      <c r="A501" s="48" t="s">
        <v>89</v>
      </c>
    </row>
    <row r="502" spans="1:1" ht="18" thickBot="1">
      <c r="A502" s="49" t="s">
        <v>90</v>
      </c>
    </row>
    <row r="503" spans="1:1" ht="18" thickTop="1">
      <c r="A503" s="50" t="s">
        <v>83</v>
      </c>
    </row>
    <row r="504" spans="1:1" ht="18" thickBot="1">
      <c r="A504" s="51" t="s">
        <v>84</v>
      </c>
    </row>
    <row r="505" spans="1:1">
      <c r="A505" s="50" t="s">
        <v>85</v>
      </c>
    </row>
    <row r="506" spans="1:1" ht="18" thickBot="1">
      <c r="A506" s="52" t="s">
        <v>86</v>
      </c>
    </row>
    <row r="507" spans="1:1" ht="18.600000000000001" thickTop="1" thickBot="1">
      <c r="A507" s="46" t="s">
        <v>87</v>
      </c>
    </row>
    <row r="508" spans="1:1" ht="18.600000000000001" thickTop="1" thickBot="1">
      <c r="A508" s="47" t="s">
        <v>88</v>
      </c>
    </row>
    <row r="509" spans="1:1" ht="18.600000000000001" thickTop="1" thickBot="1">
      <c r="A509" s="48" t="s">
        <v>89</v>
      </c>
    </row>
    <row r="510" spans="1:1" ht="18" thickBot="1">
      <c r="A510" s="49" t="s">
        <v>90</v>
      </c>
    </row>
    <row r="511" spans="1:1" ht="18" thickTop="1">
      <c r="A511" s="50" t="s">
        <v>83</v>
      </c>
    </row>
    <row r="512" spans="1:1" ht="18" thickBot="1">
      <c r="A512" s="51" t="s">
        <v>84</v>
      </c>
    </row>
    <row r="513" spans="1:1">
      <c r="A513" s="50" t="s">
        <v>85</v>
      </c>
    </row>
    <row r="514" spans="1:1" ht="18" thickBot="1">
      <c r="A514" s="52" t="s">
        <v>86</v>
      </c>
    </row>
    <row r="515" spans="1:1" ht="18.600000000000001" thickTop="1" thickBot="1">
      <c r="A515" s="46" t="s">
        <v>87</v>
      </c>
    </row>
    <row r="516" spans="1:1" ht="18.600000000000001" thickTop="1" thickBot="1">
      <c r="A516" s="47" t="s">
        <v>88</v>
      </c>
    </row>
    <row r="517" spans="1:1" ht="18.600000000000001" thickTop="1" thickBot="1">
      <c r="A517" s="48" t="s">
        <v>89</v>
      </c>
    </row>
    <row r="518" spans="1:1" ht="18" thickBot="1">
      <c r="A518" s="49" t="s">
        <v>90</v>
      </c>
    </row>
    <row r="519" spans="1:1" ht="18" thickTop="1">
      <c r="A519" s="50" t="s">
        <v>83</v>
      </c>
    </row>
    <row r="520" spans="1:1" ht="18" thickBot="1">
      <c r="A520" s="51" t="s">
        <v>84</v>
      </c>
    </row>
    <row r="521" spans="1:1">
      <c r="A521" s="50" t="s">
        <v>85</v>
      </c>
    </row>
    <row r="522" spans="1:1" ht="18" thickBot="1">
      <c r="A522" s="52" t="s">
        <v>86</v>
      </c>
    </row>
    <row r="523" spans="1:1" ht="18.600000000000001" thickTop="1" thickBot="1">
      <c r="A523" s="46" t="s">
        <v>87</v>
      </c>
    </row>
    <row r="524" spans="1:1" ht="18.600000000000001" thickTop="1" thickBot="1">
      <c r="A524" s="47" t="s">
        <v>88</v>
      </c>
    </row>
    <row r="525" spans="1:1" ht="18.600000000000001" thickTop="1" thickBot="1">
      <c r="A525" s="48" t="s">
        <v>89</v>
      </c>
    </row>
    <row r="526" spans="1:1" ht="18" thickBot="1">
      <c r="A526" s="49" t="s">
        <v>90</v>
      </c>
    </row>
    <row r="527" spans="1:1" ht="18" thickTop="1">
      <c r="A527" s="50" t="s">
        <v>83</v>
      </c>
    </row>
    <row r="528" spans="1:1" ht="18" thickBot="1">
      <c r="A528" s="51" t="s">
        <v>84</v>
      </c>
    </row>
    <row r="529" spans="1:1">
      <c r="A529" s="50" t="s">
        <v>85</v>
      </c>
    </row>
    <row r="530" spans="1:1" ht="18" thickBot="1">
      <c r="A530" s="52" t="s">
        <v>86</v>
      </c>
    </row>
    <row r="531" spans="1:1" ht="18.600000000000001" thickTop="1" thickBot="1">
      <c r="A531" s="46" t="s">
        <v>87</v>
      </c>
    </row>
    <row r="532" spans="1:1" ht="18.600000000000001" thickTop="1" thickBot="1">
      <c r="A532" s="47" t="s">
        <v>88</v>
      </c>
    </row>
    <row r="533" spans="1:1" ht="18.600000000000001" thickTop="1" thickBot="1">
      <c r="A533" s="48" t="s">
        <v>89</v>
      </c>
    </row>
    <row r="534" spans="1:1" ht="18" thickBot="1">
      <c r="A534" s="49" t="s">
        <v>90</v>
      </c>
    </row>
    <row r="535" spans="1:1" ht="18" thickTop="1">
      <c r="A535" s="50" t="s">
        <v>83</v>
      </c>
    </row>
    <row r="536" spans="1:1" ht="18" thickBot="1">
      <c r="A536" s="51" t="s">
        <v>84</v>
      </c>
    </row>
    <row r="537" spans="1:1">
      <c r="A537" s="50" t="s">
        <v>85</v>
      </c>
    </row>
    <row r="538" spans="1:1" ht="18" thickBot="1">
      <c r="A538" s="52" t="s">
        <v>86</v>
      </c>
    </row>
    <row r="539" spans="1:1" ht="18.600000000000001" thickTop="1" thickBot="1">
      <c r="A539" s="46" t="s">
        <v>87</v>
      </c>
    </row>
    <row r="540" spans="1:1" ht="18.600000000000001" thickTop="1" thickBot="1">
      <c r="A540" s="47" t="s">
        <v>88</v>
      </c>
    </row>
    <row r="541" spans="1:1" ht="18.600000000000001" thickTop="1" thickBot="1">
      <c r="A541" s="48" t="s">
        <v>89</v>
      </c>
    </row>
    <row r="542" spans="1:1" ht="18" thickBot="1">
      <c r="A542" s="49" t="s">
        <v>90</v>
      </c>
    </row>
    <row r="543" spans="1:1" ht="18" thickTop="1">
      <c r="A543" s="50" t="s">
        <v>83</v>
      </c>
    </row>
    <row r="544" spans="1:1" ht="18" thickBot="1">
      <c r="A544" s="51" t="s">
        <v>84</v>
      </c>
    </row>
    <row r="545" spans="1:1">
      <c r="A545" s="50" t="s">
        <v>85</v>
      </c>
    </row>
    <row r="546" spans="1:1" ht="18" thickBot="1">
      <c r="A546" s="52" t="s">
        <v>86</v>
      </c>
    </row>
    <row r="547" spans="1:1" ht="18.600000000000001" thickTop="1" thickBot="1">
      <c r="A547" s="46" t="s">
        <v>87</v>
      </c>
    </row>
    <row r="548" spans="1:1" ht="18.600000000000001" thickTop="1" thickBot="1">
      <c r="A548" s="47" t="s">
        <v>88</v>
      </c>
    </row>
    <row r="549" spans="1:1" ht="18.600000000000001" thickTop="1" thickBot="1">
      <c r="A549" s="48" t="s">
        <v>89</v>
      </c>
    </row>
    <row r="550" spans="1:1" ht="18" thickBot="1">
      <c r="A550" s="49" t="s">
        <v>90</v>
      </c>
    </row>
    <row r="551" spans="1:1" ht="18" thickTop="1">
      <c r="A551" s="50" t="s">
        <v>83</v>
      </c>
    </row>
    <row r="552" spans="1:1" ht="18" thickBot="1">
      <c r="A552" s="51" t="s">
        <v>84</v>
      </c>
    </row>
    <row r="553" spans="1:1">
      <c r="A553" s="50" t="s">
        <v>85</v>
      </c>
    </row>
    <row r="554" spans="1:1" ht="18" thickBot="1">
      <c r="A554" s="52" t="s">
        <v>86</v>
      </c>
    </row>
    <row r="555" spans="1:1" ht="18.600000000000001" thickTop="1" thickBot="1">
      <c r="A555" s="46" t="s">
        <v>87</v>
      </c>
    </row>
    <row r="556" spans="1:1" ht="18.600000000000001" thickTop="1" thickBot="1">
      <c r="A556" s="47" t="s">
        <v>88</v>
      </c>
    </row>
    <row r="557" spans="1:1" ht="18.600000000000001" thickTop="1" thickBot="1">
      <c r="A557" s="48" t="s">
        <v>89</v>
      </c>
    </row>
    <row r="558" spans="1:1" ht="18" thickBot="1">
      <c r="A558" s="49" t="s">
        <v>90</v>
      </c>
    </row>
    <row r="559" spans="1:1" ht="18" thickTop="1">
      <c r="A559" s="50" t="s">
        <v>83</v>
      </c>
    </row>
    <row r="560" spans="1:1" ht="18" thickBot="1">
      <c r="A560" s="51" t="s">
        <v>84</v>
      </c>
    </row>
    <row r="561" spans="1:1">
      <c r="A561" s="50" t="s">
        <v>85</v>
      </c>
    </row>
    <row r="562" spans="1:1" ht="18" thickBot="1">
      <c r="A562" s="52" t="s">
        <v>86</v>
      </c>
    </row>
    <row r="563" spans="1:1" ht="18.600000000000001" thickTop="1" thickBot="1">
      <c r="A563" s="46" t="s">
        <v>87</v>
      </c>
    </row>
    <row r="564" spans="1:1" ht="18.600000000000001" thickTop="1" thickBot="1">
      <c r="A564" s="47" t="s">
        <v>88</v>
      </c>
    </row>
    <row r="565" spans="1:1" ht="18.600000000000001" thickTop="1" thickBot="1">
      <c r="A565" s="48" t="s">
        <v>89</v>
      </c>
    </row>
    <row r="566" spans="1:1" ht="18" thickBot="1">
      <c r="A566" s="49" t="s">
        <v>90</v>
      </c>
    </row>
    <row r="567" spans="1:1" ht="18" thickTop="1">
      <c r="A567" s="50" t="s">
        <v>83</v>
      </c>
    </row>
    <row r="568" spans="1:1" ht="18" thickBot="1">
      <c r="A568" s="51" t="s">
        <v>84</v>
      </c>
    </row>
    <row r="569" spans="1:1">
      <c r="A569" s="50" t="s">
        <v>85</v>
      </c>
    </row>
    <row r="570" spans="1:1" ht="18" thickBot="1">
      <c r="A570" s="52" t="s">
        <v>86</v>
      </c>
    </row>
    <row r="571" spans="1:1" ht="18.600000000000001" thickTop="1" thickBot="1">
      <c r="A571" s="46" t="s">
        <v>87</v>
      </c>
    </row>
    <row r="572" spans="1:1" ht="18.600000000000001" thickTop="1" thickBot="1">
      <c r="A572" s="47" t="s">
        <v>88</v>
      </c>
    </row>
    <row r="573" spans="1:1" ht="18.600000000000001" thickTop="1" thickBot="1">
      <c r="A573" s="48" t="s">
        <v>89</v>
      </c>
    </row>
    <row r="574" spans="1:1" ht="18" thickBot="1">
      <c r="A574" s="49" t="s">
        <v>90</v>
      </c>
    </row>
    <row r="575" spans="1:1" ht="18" thickTop="1">
      <c r="A575" s="50" t="s">
        <v>83</v>
      </c>
    </row>
    <row r="576" spans="1:1" ht="18" thickBot="1">
      <c r="A576" s="51" t="s">
        <v>84</v>
      </c>
    </row>
    <row r="577" spans="1:1">
      <c r="A577" s="50" t="s">
        <v>85</v>
      </c>
    </row>
    <row r="578" spans="1:1" ht="18" thickBot="1">
      <c r="A578" s="52" t="s">
        <v>86</v>
      </c>
    </row>
    <row r="579" spans="1:1" ht="18.600000000000001" thickTop="1" thickBot="1">
      <c r="A579" s="46" t="s">
        <v>87</v>
      </c>
    </row>
    <row r="580" spans="1:1" ht="18.600000000000001" thickTop="1" thickBot="1">
      <c r="A580" s="47" t="s">
        <v>88</v>
      </c>
    </row>
    <row r="581" spans="1:1" ht="18.600000000000001" thickTop="1" thickBot="1">
      <c r="A581" s="48" t="s">
        <v>89</v>
      </c>
    </row>
    <row r="582" spans="1:1" ht="18" thickBot="1">
      <c r="A582" s="49" t="s">
        <v>90</v>
      </c>
    </row>
    <row r="583" spans="1:1" ht="18" thickTop="1">
      <c r="A583" s="50" t="s">
        <v>83</v>
      </c>
    </row>
    <row r="584" spans="1:1" ht="18" thickBot="1">
      <c r="A584" s="51" t="s">
        <v>84</v>
      </c>
    </row>
    <row r="585" spans="1:1">
      <c r="A585" s="50" t="s">
        <v>85</v>
      </c>
    </row>
    <row r="586" spans="1:1" ht="18" thickBot="1">
      <c r="A586" s="52" t="s">
        <v>86</v>
      </c>
    </row>
    <row r="587" spans="1:1" ht="18.600000000000001" thickTop="1" thickBot="1">
      <c r="A587" s="46" t="s">
        <v>87</v>
      </c>
    </row>
    <row r="588" spans="1:1" ht="18.600000000000001" thickTop="1" thickBot="1">
      <c r="A588" s="47" t="s">
        <v>88</v>
      </c>
    </row>
    <row r="589" spans="1:1" ht="18.600000000000001" thickTop="1" thickBot="1">
      <c r="A589" s="48" t="s">
        <v>89</v>
      </c>
    </row>
    <row r="590" spans="1:1" ht="18" thickBot="1">
      <c r="A590" s="49" t="s">
        <v>90</v>
      </c>
    </row>
    <row r="591" spans="1:1" ht="18" thickTop="1">
      <c r="A591" s="50" t="s">
        <v>83</v>
      </c>
    </row>
    <row r="592" spans="1:1" ht="18" thickBot="1">
      <c r="A592" s="51" t="s">
        <v>84</v>
      </c>
    </row>
    <row r="593" spans="1:1">
      <c r="A593" s="50" t="s">
        <v>85</v>
      </c>
    </row>
    <row r="594" spans="1:1" ht="18" thickBot="1">
      <c r="A594" s="52" t="s">
        <v>86</v>
      </c>
    </row>
    <row r="595" spans="1:1" ht="18" thickTop="1"/>
  </sheetData>
  <phoneticPr fontId="1" type="noConversion"/>
  <conditionalFormatting sqref="A233:A238 A241:A246 A249:A254 A257:A262 A265:A270 A273:A278 A281:A286 A289:A294 A297:A298">
    <cfRule type="expression" dxfId="29" priority="21">
      <formula>A$1="휴무"</formula>
    </cfRule>
    <cfRule type="expression" dxfId="28" priority="22">
      <formula>A$1="야간"</formula>
    </cfRule>
    <cfRule type="expression" dxfId="27" priority="23">
      <formula>A$1="비번"</formula>
    </cfRule>
    <cfRule type="expression" dxfId="26" priority="24">
      <formula>A$1="주간"</formula>
    </cfRule>
    <cfRule type="expression" dxfId="25" priority="25">
      <formula>A$1="당직"</formula>
    </cfRule>
  </conditionalFormatting>
  <conditionalFormatting sqref="A239:A240 A247:A248 A255:A256 A263:A264 A271:A272 A279:A280 A287:A288 A295:A296">
    <cfRule type="expression" dxfId="24" priority="26">
      <formula>A$5="휴무"</formula>
    </cfRule>
    <cfRule type="expression" dxfId="23" priority="27">
      <formula>A$5="야간"</formula>
    </cfRule>
    <cfRule type="expression" dxfId="22" priority="28">
      <formula>A$5="비번"</formula>
    </cfRule>
    <cfRule type="expression" dxfId="21" priority="29">
      <formula>A$5="주간"</formula>
    </cfRule>
    <cfRule type="expression" dxfId="20" priority="30">
      <formula>A$5="당직"</formula>
    </cfRule>
  </conditionalFormatting>
  <conditionalFormatting sqref="A443:A448 A451:A456 A459:A464 A467:A472 A475:A480 A483:A488 A491:A496 A499:A504 A507:A512 A515:A520 A523:A528 A531:A536 A539:A544 A547:A552 A555:A560 A563:A568 A571:A576 A579:A584 A587:A592 A209:A214 A217:A222 A225:A230 A233:A238 A241:A246 A249:A254 A257:A262 A265:A270 A273:A278 A281:A286 A289:A294 A297:A440">
    <cfRule type="expression" dxfId="19" priority="11">
      <formula>A$1="휴무"</formula>
    </cfRule>
    <cfRule type="expression" dxfId="18" priority="12">
      <formula>A$1="야간"</formula>
    </cfRule>
    <cfRule type="expression" dxfId="17" priority="13">
      <formula>A$1="비번"</formula>
    </cfRule>
    <cfRule type="expression" dxfId="16" priority="14">
      <formula>A$1="주간"</formula>
    </cfRule>
    <cfRule type="expression" dxfId="15" priority="15">
      <formula>A$1="당직"</formula>
    </cfRule>
  </conditionalFormatting>
  <conditionalFormatting sqref="A449:A450 A457:A458 A465:A466 A473:A474 A481:A482 A489:A490 A497:A498 A505:A506 A513:A514 A521:A522 A529:A530 A537:A538 A545:A546 A553:A554 A561:A562 A569:A570 A577:A578 A585:A586 A593:A594 A215:A216 A223:A224 A231:A232 A239:A240 A247:A248 A255:A256 A263:A264 A271:A272 A279:A280 A287:A288 A295:A296 A303:A306 A311:A314 A319:A322 A327:A330 A335:A338 A343:A346 A351:A354 A359:A362 A367:A370 A375:A378 A383:A386 A391:A394 A399:A402 A407:A410 A415:A418 A423:A426 A431:A434 A439:A442">
    <cfRule type="expression" dxfId="14" priority="16">
      <formula>A$5="휴무"</formula>
    </cfRule>
    <cfRule type="expression" dxfId="13" priority="17">
      <formula>A$5="야간"</formula>
    </cfRule>
    <cfRule type="expression" dxfId="12" priority="18">
      <formula>A$5="비번"</formula>
    </cfRule>
    <cfRule type="expression" dxfId="11" priority="19">
      <formula>A$5="주간"</formula>
    </cfRule>
    <cfRule type="expression" dxfId="10" priority="20">
      <formula>A$5="당직"</formula>
    </cfRule>
  </conditionalFormatting>
  <conditionalFormatting sqref="A1:A6 A9:A14 A17:A22 A25:A30 A33:A38 A41:A46 A49:A54 A57:A62 A65:A70 A73:A78 A81:A86 A89:A94 A97:A102 A105:A110 A113:A118 A121:A126 A129:A134 A137:A142 A145:A150 A153:A158 A161:A166 A169:A174 A177:A182 A185:A190 A193:A198 A201:A206 A209:A214 A217:A222 A225:A230">
    <cfRule type="expression" dxfId="9" priority="1">
      <formula>A$1="휴무"</formula>
    </cfRule>
    <cfRule type="expression" dxfId="8" priority="2">
      <formula>A$1="야간"</formula>
    </cfRule>
    <cfRule type="expression" dxfId="7" priority="3">
      <formula>A$1="비번"</formula>
    </cfRule>
    <cfRule type="expression" dxfId="6" priority="4">
      <formula>A$1="주간"</formula>
    </cfRule>
    <cfRule type="expression" dxfId="5" priority="5">
      <formula>A$1="당직"</formula>
    </cfRule>
  </conditionalFormatting>
  <conditionalFormatting sqref="A7:A8 A15:A16 A23:A24 A31:A32 A39:A40 A47:A48 A55:A56 A63:A64 A71:A72 A79:A80 A87:A88 A95:A96 A103:A104 A111:A112 A119:A120 A127:A128 A135:A136 A143:A144 A151:A152 A159:A160 A167:A168 A175:A176 A183:A184 A191:A192 A199:A200 A207:A208 A215:A216 A223:A224 A231:A232">
    <cfRule type="expression" dxfId="4" priority="6">
      <formula>A$5="휴무"</formula>
    </cfRule>
    <cfRule type="expression" dxfId="3" priority="7">
      <formula>A$5="야간"</formula>
    </cfRule>
    <cfRule type="expression" dxfId="2" priority="8">
      <formula>A$5="비번"</formula>
    </cfRule>
    <cfRule type="expression" dxfId="1" priority="9">
      <formula>A$5="주간"</formula>
    </cfRule>
    <cfRule type="expression" dxfId="0" priority="10">
      <formula>A$5="당직"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367"/>
  <sheetViews>
    <sheetView tabSelected="1" topLeftCell="A355" workbookViewId="0">
      <selection activeCell="M1" sqref="M1:M367"/>
    </sheetView>
  </sheetViews>
  <sheetFormatPr defaultColWidth="8.75" defaultRowHeight="17.45"/>
  <cols>
    <col min="1" max="1" width="14.5" style="1" customWidth="1"/>
    <col min="2" max="2" width="5.75" customWidth="1"/>
    <col min="3" max="6" width="6.75" customWidth="1"/>
    <col min="7" max="7" width="9.375" hidden="1" customWidth="1"/>
    <col min="8" max="12" width="5.5" customWidth="1"/>
    <col min="13" max="13" width="42.625" customWidth="1"/>
  </cols>
  <sheetData>
    <row r="1" spans="1:13">
      <c r="A1" s="1">
        <f>'cal1'!B3</f>
        <v>46023</v>
      </c>
      <c r="B1" t="str">
        <f>'cal1'!I3</f>
        <v>당직</v>
      </c>
      <c r="C1" t="str">
        <f>IF(OR($B1="당직",$B1="야간"),'cal1'!AC3,IF($B1="주간",'cal1'!Q3,""))</f>
        <v>허지웅</v>
      </c>
      <c r="D1" t="str">
        <f>IF(OR($B1="당직",$B1="야간"),'cal1'!AD3,IF($B1="주간",'cal1'!R3,""))</f>
        <v>정윤준</v>
      </c>
      <c r="E1" t="str">
        <f>IF(OR($B1="당직",$B1="야간"),'cal1'!AE3,IF($B1="주간",'cal1'!S3,""))</f>
        <v>이기수</v>
      </c>
      <c r="F1" t="str">
        <f>IF(OR($B1="당직",$B1="야간"),'cal1'!AF3,IF($B1="주간",'cal1'!T3,""))</f>
        <v>박성현</v>
      </c>
      <c r="G1" t="str">
        <f>IF(OR($B1="당직",$B1="야간"),'cal1'!AG3,IF($B1="주간",'cal1'!U3,""))</f>
        <v>허지웅</v>
      </c>
      <c r="L1" t="str">
        <f>'cal1'!AJ3</f>
        <v/>
      </c>
      <c r="M1" t="str">
        <f>IF(C1="","","[오늘의_근무 " &amp; TEXT(A1,"m/d(aaa)") &amp; " - " &amp; B1 &amp; "]\n▸ 산업지원동 : " &amp; C1 &amp; "\n▸ 글로벌센터 : " &amp; D1 &amp; "\n▸ 외        곽1 : " &amp; E1 &amp; "\n▸ 외        곽2 : " &amp; F1 &amp; "\n\n-------------------------\n🏠 용역원실   : " &amp; L1 &amp; "\n-------------------------\n\n🔗 시간표 확인\nhttps://bio.oxisnail.top\nhttps://bio.oxisnail.top/timetable.html")</f>
        <v>[오늘의_근무 1/1(목)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" spans="1:13">
      <c r="A2" s="1">
        <f>'cal1'!B4</f>
        <v>46024</v>
      </c>
      <c r="B2" t="str">
        <f>'cal1'!I4</f>
        <v>비번</v>
      </c>
      <c r="C2" t="str">
        <f>IF(OR($B2="당직",$B2="야간"),'cal1'!AC4,IF($B2="주간",'cal1'!Q4,""))</f>
        <v/>
      </c>
      <c r="D2" t="str">
        <f>IF(OR($B2="당직",$B2="야간"),'cal1'!AD4,IF($B2="주간",'cal1'!R4,""))</f>
        <v/>
      </c>
      <c r="E2" t="str">
        <f>IF(OR($B2="당직",$B2="야간"),'cal1'!AE4,IF($B2="주간",'cal1'!S4,""))</f>
        <v/>
      </c>
      <c r="F2" t="str">
        <f>IF(OR($B2="당직",$B2="야간"),'cal1'!AF4,IF($B2="주간",'cal1'!T4,""))</f>
        <v/>
      </c>
      <c r="G2" t="str">
        <f>IF(OR($B2="당직",$B2="야간"),'cal1'!AG4,IF($B2="주간",'cal1'!U4,""))</f>
        <v/>
      </c>
      <c r="L2" t="str">
        <f>'cal1'!AJ4</f>
        <v/>
      </c>
      <c r="M2" t="str">
        <f t="shared" ref="M2:M65" si="0">IF(C2="","","[오늘의_근무 " &amp; TEXT(A2,"m/d(aaa)") &amp; " - " &amp; B2 &amp; "]\n▸ 산업지원동 : " &amp; C2 &amp; "\n▸ 글로벌센터 : " &amp; D2 &amp; "\n▸ 외        곽1 : " &amp; E2 &amp; "\n▸ 외        곽2 : " &amp; F2 &amp; "\n\n-------------------------\n🏠 용역원실   : " &amp; L2 &amp; "\n-------------------------\n\n🔗 시간표 확인\nhttps://bio.oxisnail.top\nhttps://bio.oxisnail.top/timetable.html")</f>
        <v/>
      </c>
    </row>
    <row r="3" spans="1:13">
      <c r="A3" s="1">
        <f>'cal1'!B5</f>
        <v>46025</v>
      </c>
      <c r="B3" t="str">
        <f>'cal1'!I5</f>
        <v>휴무</v>
      </c>
      <c r="C3" t="str">
        <f>IF(OR($B3="당직",$B3="야간"),'cal1'!AC5,IF($B3="주간",'cal1'!Q5,""))</f>
        <v/>
      </c>
      <c r="D3" t="str">
        <f>IF(OR($B3="당직",$B3="야간"),'cal1'!AD5,IF($B3="주간",'cal1'!R5,""))</f>
        <v/>
      </c>
      <c r="E3" t="str">
        <f>IF(OR($B3="당직",$B3="야간"),'cal1'!AE5,IF($B3="주간",'cal1'!S5,""))</f>
        <v/>
      </c>
      <c r="F3" t="str">
        <f>IF(OR($B3="당직",$B3="야간"),'cal1'!AF5,IF($B3="주간",'cal1'!T5,""))</f>
        <v/>
      </c>
      <c r="G3" t="str">
        <f>IF(OR($B3="당직",$B3="야간"),'cal1'!AG5,IF($B3="주간",'cal1'!U5,""))</f>
        <v/>
      </c>
      <c r="L3" t="str">
        <f>'cal1'!AJ5</f>
        <v/>
      </c>
      <c r="M3" t="str">
        <f t="shared" si="0"/>
        <v/>
      </c>
    </row>
    <row r="4" spans="1:13">
      <c r="A4" s="1">
        <f>'cal1'!B6</f>
        <v>46026</v>
      </c>
      <c r="B4" t="str">
        <f>'cal1'!I6</f>
        <v>당직</v>
      </c>
      <c r="C4" t="str">
        <f>IF(OR($B4="당직",$B4="야간"),'cal1'!AC6,IF($B4="주간",'cal1'!Q6,""))</f>
        <v>박성현</v>
      </c>
      <c r="D4" t="str">
        <f>IF(OR($B4="당직",$B4="야간"),'cal1'!AD6,IF($B4="주간",'cal1'!R6,""))</f>
        <v>허지웅</v>
      </c>
      <c r="E4" t="str">
        <f>IF(OR($B4="당직",$B4="야간"),'cal1'!AE6,IF($B4="주간",'cal1'!S6,""))</f>
        <v>정윤준</v>
      </c>
      <c r="F4" t="str">
        <f>IF(OR($B4="당직",$B4="야간"),'cal1'!AF6,IF($B4="주간",'cal1'!T6,""))</f>
        <v>이기수</v>
      </c>
      <c r="G4" t="str">
        <f>IF(OR($B4="당직",$B4="야간"),'cal1'!AG6,IF($B4="주간",'cal1'!U6,""))</f>
        <v>장혁진</v>
      </c>
      <c r="L4" t="str">
        <f>'cal1'!AJ6</f>
        <v/>
      </c>
      <c r="M4" t="str">
        <f t="shared" si="0"/>
        <v>[오늘의_근무 1/4(일)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5" spans="1:13">
      <c r="A5" s="1">
        <f>'cal1'!B7</f>
        <v>46027</v>
      </c>
      <c r="B5" t="str">
        <f>'cal1'!I7</f>
        <v>비번</v>
      </c>
      <c r="C5" t="str">
        <f>IF(OR($B5="당직",$B5="야간"),'cal1'!AC7,IF($B5="주간",'cal1'!Q7,""))</f>
        <v/>
      </c>
      <c r="D5" t="str">
        <f>IF(OR($B5="당직",$B5="야간"),'cal1'!AD7,IF($B5="주간",'cal1'!R7,""))</f>
        <v/>
      </c>
      <c r="E5" t="str">
        <f>IF(OR($B5="당직",$B5="야간"),'cal1'!AE7,IF($B5="주간",'cal1'!S7,""))</f>
        <v/>
      </c>
      <c r="F5" t="str">
        <f>IF(OR($B5="당직",$B5="야간"),'cal1'!AF7,IF($B5="주간",'cal1'!T7,""))</f>
        <v/>
      </c>
      <c r="G5" t="str">
        <f>IF(OR($B5="당직",$B5="야간"),'cal1'!AG7,IF($B5="주간",'cal1'!U7,""))</f>
        <v/>
      </c>
      <c r="L5" t="str">
        <f>'cal1'!AJ7</f>
        <v/>
      </c>
      <c r="M5" t="str">
        <f t="shared" si="0"/>
        <v/>
      </c>
    </row>
    <row r="6" spans="1:13">
      <c r="A6" s="1">
        <f>'cal1'!B8</f>
        <v>46028</v>
      </c>
      <c r="B6" t="str">
        <f>'cal1'!I8</f>
        <v>주간</v>
      </c>
      <c r="C6" t="str">
        <f>IF(OR($B6="당직",$B6="야간"),'cal1'!AC8,IF($B6="주간",'cal1'!Q8,""))</f>
        <v>허지웅</v>
      </c>
      <c r="D6" t="str">
        <f>IF(OR($B6="당직",$B6="야간"),'cal1'!AD8,IF($B6="주간",'cal1'!R8,""))</f>
        <v>정윤준</v>
      </c>
      <c r="E6" t="str">
        <f>IF(OR($B6="당직",$B6="야간"),'cal1'!AE8,IF($B6="주간",'cal1'!S8,""))</f>
        <v>이기수</v>
      </c>
      <c r="F6" t="str">
        <f>IF(OR($B6="당직",$B6="야간"),'cal1'!AF8,IF($B6="주간",'cal1'!T8,""))</f>
        <v>박성현</v>
      </c>
      <c r="G6" t="str">
        <f>IF(OR($B6="당직",$B6="야간"),'cal1'!AG8,IF($B6="주간",'cal1'!U8,""))</f>
        <v>이기수</v>
      </c>
      <c r="L6" t="str">
        <f>'cal1'!AJ8</f>
        <v/>
      </c>
      <c r="M6" t="str">
        <f t="shared" si="0"/>
        <v>[오늘의_근무 1/6(화)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7" spans="1:13">
      <c r="A7" s="1">
        <f>'cal1'!B9</f>
        <v>46029</v>
      </c>
      <c r="B7" t="str">
        <f>'cal1'!I9</f>
        <v>야간</v>
      </c>
      <c r="C7" t="str">
        <f>IF(OR($B7="당직",$B7="야간"),'cal1'!AC9,IF($B7="주간",'cal1'!Q9,""))</f>
        <v>이기수</v>
      </c>
      <c r="D7" t="str">
        <f>IF(OR($B7="당직",$B7="야간"),'cal1'!AD9,IF($B7="주간",'cal1'!R9,""))</f>
        <v>박성현</v>
      </c>
      <c r="E7" t="str">
        <f>IF(OR($B7="당직",$B7="야간"),'cal1'!AE9,IF($B7="주간",'cal1'!S9,""))</f>
        <v>허지웅</v>
      </c>
      <c r="F7" t="str">
        <f>IF(OR($B7="당직",$B7="야간"),'cal1'!AF9,IF($B7="주간",'cal1'!T9,""))</f>
        <v>정윤준</v>
      </c>
      <c r="G7" t="str">
        <f>IF(OR($B7="당직",$B7="야간"),'cal1'!AG9,IF($B7="주간",'cal1'!U9,""))</f>
        <v>이기수</v>
      </c>
      <c r="L7" t="str">
        <f>'cal1'!AJ9</f>
        <v>정윤준</v>
      </c>
      <c r="M7" t="str">
        <f t="shared" si="0"/>
        <v>[오늘의_근무 1/7(수)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8" spans="1:13">
      <c r="A8" s="1">
        <f>'cal1'!B10</f>
        <v>46030</v>
      </c>
      <c r="B8" t="str">
        <f>'cal1'!I10</f>
        <v>비번</v>
      </c>
      <c r="C8" t="str">
        <f>IF(OR($B8="당직",$B8="야간"),'cal1'!AC10,IF($B8="주간",'cal1'!Q10,""))</f>
        <v/>
      </c>
      <c r="D8" t="str">
        <f>IF(OR($B8="당직",$B8="야간"),'cal1'!AD10,IF($B8="주간",'cal1'!R10,""))</f>
        <v/>
      </c>
      <c r="E8" t="str">
        <f>IF(OR($B8="당직",$B8="야간"),'cal1'!AE10,IF($B8="주간",'cal1'!S10,""))</f>
        <v/>
      </c>
      <c r="F8" t="str">
        <f>IF(OR($B8="당직",$B8="야간"),'cal1'!AF10,IF($B8="주간",'cal1'!T10,""))</f>
        <v/>
      </c>
      <c r="G8" t="str">
        <f>IF(OR($B8="당직",$B8="야간"),'cal1'!AG10,IF($B8="주간",'cal1'!U10,""))</f>
        <v/>
      </c>
      <c r="L8" t="str">
        <f>'cal1'!AJ10</f>
        <v/>
      </c>
      <c r="M8" t="str">
        <f t="shared" si="0"/>
        <v/>
      </c>
    </row>
    <row r="9" spans="1:13">
      <c r="A9" s="1">
        <f>'cal1'!B11</f>
        <v>46031</v>
      </c>
      <c r="B9" t="str">
        <f>'cal1'!I11</f>
        <v>주간</v>
      </c>
      <c r="C9" t="str">
        <f>IF(OR($B9="당직",$B9="야간"),'cal1'!AC11,IF($B9="주간",'cal1'!Q11,""))</f>
        <v>박성현</v>
      </c>
      <c r="D9" t="str">
        <f>IF(OR($B9="당직",$B9="야간"),'cal1'!AD11,IF($B9="주간",'cal1'!R11,""))</f>
        <v>허지웅</v>
      </c>
      <c r="E9" t="str">
        <f>IF(OR($B9="당직",$B9="야간"),'cal1'!AE11,IF($B9="주간",'cal1'!S11,""))</f>
        <v>정윤준</v>
      </c>
      <c r="F9" t="str">
        <f>IF(OR($B9="당직",$B9="야간"),'cal1'!AF11,IF($B9="주간",'cal1'!T11,""))</f>
        <v>이기수</v>
      </c>
      <c r="G9" t="str">
        <f>IF(OR($B9="당직",$B9="야간"),'cal1'!AG11,IF($B9="주간",'cal1'!U11,""))</f>
        <v>정윤준</v>
      </c>
      <c r="L9" t="str">
        <f>'cal1'!AJ11</f>
        <v/>
      </c>
      <c r="M9" t="str">
        <f t="shared" si="0"/>
        <v>[오늘의_근무 1/9(금)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0" spans="1:13">
      <c r="A10" s="1">
        <f>'cal1'!B12</f>
        <v>46032</v>
      </c>
      <c r="B10" t="str">
        <f>'cal1'!I12</f>
        <v>당직</v>
      </c>
      <c r="C10" t="str">
        <f>IF(OR($B10="당직",$B10="야간"),'cal1'!AC12,IF($B10="주간",'cal1'!Q12,""))</f>
        <v>정윤준</v>
      </c>
      <c r="D10" t="str">
        <f>IF(OR($B10="당직",$B10="야간"),'cal1'!AD12,IF($B10="주간",'cal1'!R12,""))</f>
        <v>이기수</v>
      </c>
      <c r="E10" t="str">
        <f>IF(OR($B10="당직",$B10="야간"),'cal1'!AE12,IF($B10="주간",'cal1'!S12,""))</f>
        <v>박성현</v>
      </c>
      <c r="F10" t="str">
        <f>IF(OR($B10="당직",$B10="야간"),'cal1'!AF12,IF($B10="주간",'cal1'!T12,""))</f>
        <v>허지웅</v>
      </c>
      <c r="G10" t="e">
        <f>IF(OR($B10="당직",$B10="야간"),'cal1'!AG12,IF($B10="주간",'cal1'!U12,""))</f>
        <v>#VALUE!</v>
      </c>
      <c r="L10" t="str">
        <f>'cal1'!AJ12</f>
        <v/>
      </c>
      <c r="M10" t="str">
        <f t="shared" si="0"/>
        <v>[오늘의_근무 1/10(토)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1" spans="1:13">
      <c r="A11" s="1">
        <f>'cal1'!B13</f>
        <v>46033</v>
      </c>
      <c r="B11" t="str">
        <f>'cal1'!I13</f>
        <v>비번</v>
      </c>
      <c r="C11" t="str">
        <f>IF(OR($B11="당직",$B11="야간"),'cal1'!AC13,IF($B11="주간",'cal1'!Q13,""))</f>
        <v/>
      </c>
      <c r="D11" t="str">
        <f>IF(OR($B11="당직",$B11="야간"),'cal1'!AD13,IF($B11="주간",'cal1'!R13,""))</f>
        <v/>
      </c>
      <c r="E11" t="str">
        <f>IF(OR($B11="당직",$B11="야간"),'cal1'!AE13,IF($B11="주간",'cal1'!S13,""))</f>
        <v/>
      </c>
      <c r="F11" t="str">
        <f>IF(OR($B11="당직",$B11="야간"),'cal1'!AF13,IF($B11="주간",'cal1'!T13,""))</f>
        <v/>
      </c>
      <c r="G11" t="str">
        <f>IF(OR($B11="당직",$B11="야간"),'cal1'!AG13,IF($B11="주간",'cal1'!U13,""))</f>
        <v/>
      </c>
      <c r="L11" t="str">
        <f>'cal1'!AJ13</f>
        <v/>
      </c>
      <c r="M11" t="str">
        <f t="shared" si="0"/>
        <v/>
      </c>
    </row>
    <row r="12" spans="1:13">
      <c r="A12" s="1">
        <f>'cal1'!B14</f>
        <v>46034</v>
      </c>
      <c r="B12" t="str">
        <f>'cal1'!I14</f>
        <v>주간</v>
      </c>
      <c r="C12" t="str">
        <f>IF(OR($B12="당직",$B12="야간"),'cal1'!AC14,IF($B12="주간",'cal1'!Q14,""))</f>
        <v>이기수</v>
      </c>
      <c r="D12" t="str">
        <f>IF(OR($B12="당직",$B12="야간"),'cal1'!AD14,IF($B12="주간",'cal1'!R14,""))</f>
        <v>박성현</v>
      </c>
      <c r="E12" t="str">
        <f>IF(OR($B12="당직",$B12="야간"),'cal1'!AE14,IF($B12="주간",'cal1'!S14,""))</f>
        <v>허지웅</v>
      </c>
      <c r="F12" t="str">
        <f>IF(OR($B12="당직",$B12="야간"),'cal1'!AF14,IF($B12="주간",'cal1'!T14,""))</f>
        <v>정윤준</v>
      </c>
      <c r="G12" t="str">
        <f>IF(OR($B12="당직",$B12="야간"),'cal1'!AG14,IF($B12="주간",'cal1'!U14,""))</f>
        <v>허지웅</v>
      </c>
      <c r="L12" t="str">
        <f>'cal1'!AJ14</f>
        <v/>
      </c>
      <c r="M12" t="str">
        <f t="shared" si="0"/>
        <v>[오늘의_근무 1/12(월)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13" spans="1:13">
      <c r="A13" s="1">
        <f>'cal1'!B15</f>
        <v>46035</v>
      </c>
      <c r="B13" t="str">
        <f>'cal1'!I15</f>
        <v>야간</v>
      </c>
      <c r="C13" t="str">
        <f>IF(OR($B13="당직",$B13="야간"),'cal1'!AC15,IF($B13="주간",'cal1'!Q15,""))</f>
        <v>허지웅</v>
      </c>
      <c r="D13" t="str">
        <f>IF(OR($B13="당직",$B13="야간"),'cal1'!AD15,IF($B13="주간",'cal1'!R15,""))</f>
        <v>정윤준</v>
      </c>
      <c r="E13" t="str">
        <f>IF(OR($B13="당직",$B13="야간"),'cal1'!AE15,IF($B13="주간",'cal1'!S15,""))</f>
        <v>이기수</v>
      </c>
      <c r="F13" t="str">
        <f>IF(OR($B13="당직",$B13="야간"),'cal1'!AF15,IF($B13="주간",'cal1'!T15,""))</f>
        <v>박성현</v>
      </c>
      <c r="G13" t="str">
        <f>IF(OR($B13="당직",$B13="야간"),'cal1'!AG15,IF($B13="주간",'cal1'!U15,""))</f>
        <v>정윤준</v>
      </c>
      <c r="L13" t="str">
        <f>'cal1'!AJ15</f>
        <v/>
      </c>
      <c r="M13" t="str">
        <f t="shared" si="0"/>
        <v>[오늘의_근무 1/13(화)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4" spans="1:13">
      <c r="A14" s="1">
        <f>'cal1'!B16</f>
        <v>46036</v>
      </c>
      <c r="B14" t="str">
        <f>'cal1'!I16</f>
        <v>비번</v>
      </c>
      <c r="C14" t="str">
        <f>IF(OR($B14="당직",$B14="야간"),'cal1'!AC16,IF($B14="주간",'cal1'!Q16,""))</f>
        <v/>
      </c>
      <c r="D14" t="str">
        <f>IF(OR($B14="당직",$B14="야간"),'cal1'!AD16,IF($B14="주간",'cal1'!R16,""))</f>
        <v/>
      </c>
      <c r="E14" t="str">
        <f>IF(OR($B14="당직",$B14="야간"),'cal1'!AE16,IF($B14="주간",'cal1'!S16,""))</f>
        <v/>
      </c>
      <c r="F14" t="str">
        <f>IF(OR($B14="당직",$B14="야간"),'cal1'!AF16,IF($B14="주간",'cal1'!T16,""))</f>
        <v/>
      </c>
      <c r="G14" t="str">
        <f>IF(OR($B14="당직",$B14="야간"),'cal1'!AG16,IF($B14="주간",'cal1'!U16,""))</f>
        <v/>
      </c>
      <c r="L14" t="str">
        <f>'cal1'!AJ16</f>
        <v/>
      </c>
      <c r="M14" t="str">
        <f t="shared" si="0"/>
        <v/>
      </c>
    </row>
    <row r="15" spans="1:13">
      <c r="A15" s="1">
        <f>'cal1'!B17</f>
        <v>46037</v>
      </c>
      <c r="B15" t="str">
        <f>'cal1'!I17</f>
        <v>주간</v>
      </c>
      <c r="C15" t="str">
        <f>IF(OR($B15="당직",$B15="야간"),'cal1'!AC17,IF($B15="주간",'cal1'!Q17,""))</f>
        <v>정윤준</v>
      </c>
      <c r="D15" t="str">
        <f>IF(OR($B15="당직",$B15="야간"),'cal1'!AD17,IF($B15="주간",'cal1'!R17,""))</f>
        <v>이기수</v>
      </c>
      <c r="E15" t="str">
        <f>IF(OR($B15="당직",$B15="야간"),'cal1'!AE17,IF($B15="주간",'cal1'!S17,""))</f>
        <v>박성현</v>
      </c>
      <c r="F15" t="str">
        <f>IF(OR($B15="당직",$B15="야간"),'cal1'!AF17,IF($B15="주간",'cal1'!T17,""))</f>
        <v>허지웅</v>
      </c>
      <c r="G15" t="e">
        <f>IF(OR($B15="당직",$B15="야간"),'cal1'!AG17,IF($B15="주간",'cal1'!U17,""))</f>
        <v>#VALUE!</v>
      </c>
      <c r="L15" t="str">
        <f>'cal1'!AJ17</f>
        <v/>
      </c>
      <c r="M15" t="str">
        <f t="shared" si="0"/>
        <v>[오늘의_근무 1/15(목)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6" spans="1:13">
      <c r="A16" s="1">
        <f>'cal1'!B18</f>
        <v>46038</v>
      </c>
      <c r="B16" t="str">
        <f>'cal1'!I18</f>
        <v>야간</v>
      </c>
      <c r="C16" t="str">
        <f>IF(OR($B16="당직",$B16="야간"),'cal1'!AC18,IF($B16="주간",'cal1'!Q18,""))</f>
        <v>박성현</v>
      </c>
      <c r="D16" t="str">
        <f>IF(OR($B16="당직",$B16="야간"),'cal1'!AD18,IF($B16="주간",'cal1'!R18,""))</f>
        <v>허지웅</v>
      </c>
      <c r="E16" t="str">
        <f>IF(OR($B16="당직",$B16="야간"),'cal1'!AE18,IF($B16="주간",'cal1'!S18,""))</f>
        <v>정윤준</v>
      </c>
      <c r="F16" t="str">
        <f>IF(OR($B16="당직",$B16="야간"),'cal1'!AF18,IF($B16="주간",'cal1'!T18,""))</f>
        <v>이기수</v>
      </c>
      <c r="G16" t="str">
        <f>IF(OR($B16="당직",$B16="야간"),'cal1'!AG18,IF($B16="주간",'cal1'!U18,""))</f>
        <v>허지웅</v>
      </c>
      <c r="L16" t="str">
        <f>'cal1'!AJ18</f>
        <v/>
      </c>
      <c r="M16" t="str">
        <f t="shared" si="0"/>
        <v>[오늘의_근무 1/16(금)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7" spans="1:13">
      <c r="A17" s="1">
        <f>'cal1'!B19</f>
        <v>46039</v>
      </c>
      <c r="B17" t="str">
        <f>'cal1'!I19</f>
        <v>비번</v>
      </c>
      <c r="C17" t="str">
        <f>IF(OR($B17="당직",$B17="야간"),'cal1'!AC19,IF($B17="주간",'cal1'!Q19,""))</f>
        <v/>
      </c>
      <c r="D17" t="str">
        <f>IF(OR($B17="당직",$B17="야간"),'cal1'!AD19,IF($B17="주간",'cal1'!R19,""))</f>
        <v/>
      </c>
      <c r="E17" t="str">
        <f>IF(OR($B17="당직",$B17="야간"),'cal1'!AE19,IF($B17="주간",'cal1'!S19,""))</f>
        <v/>
      </c>
      <c r="F17" t="str">
        <f>IF(OR($B17="당직",$B17="야간"),'cal1'!AF19,IF($B17="주간",'cal1'!T19,""))</f>
        <v/>
      </c>
      <c r="G17" t="str">
        <f>IF(OR($B17="당직",$B17="야간"),'cal1'!AG19,IF($B17="주간",'cal1'!U19,""))</f>
        <v/>
      </c>
      <c r="L17" t="str">
        <f>'cal1'!AJ19</f>
        <v/>
      </c>
      <c r="M17" t="str">
        <f t="shared" si="0"/>
        <v/>
      </c>
    </row>
    <row r="18" spans="1:13">
      <c r="A18" s="1">
        <f>'cal1'!B20</f>
        <v>46040</v>
      </c>
      <c r="B18" t="str">
        <f>'cal1'!I20</f>
        <v>휴무</v>
      </c>
      <c r="C18" t="str">
        <f>IF(OR($B18="당직",$B18="야간"),'cal1'!AC20,IF($B18="주간",'cal1'!Q20,""))</f>
        <v/>
      </c>
      <c r="D18" t="str">
        <f>IF(OR($B18="당직",$B18="야간"),'cal1'!AD20,IF($B18="주간",'cal1'!R20,""))</f>
        <v/>
      </c>
      <c r="E18" t="str">
        <f>IF(OR($B18="당직",$B18="야간"),'cal1'!AE20,IF($B18="주간",'cal1'!S20,""))</f>
        <v/>
      </c>
      <c r="F18" t="str">
        <f>IF(OR($B18="당직",$B18="야간"),'cal1'!AF20,IF($B18="주간",'cal1'!T20,""))</f>
        <v/>
      </c>
      <c r="G18" t="str">
        <f>IF(OR($B18="당직",$B18="야간"),'cal1'!AG20,IF($B18="주간",'cal1'!U20,""))</f>
        <v/>
      </c>
      <c r="L18" t="str">
        <f>'cal1'!AJ20</f>
        <v/>
      </c>
      <c r="M18" t="str">
        <f t="shared" si="0"/>
        <v/>
      </c>
    </row>
    <row r="19" spans="1:13">
      <c r="A19" s="1">
        <f>'cal1'!B21</f>
        <v>46041</v>
      </c>
      <c r="B19" t="str">
        <f>'cal1'!I21</f>
        <v>야간</v>
      </c>
      <c r="C19" t="str">
        <f>IF(OR($B19="당직",$B19="야간"),'cal1'!AC21,IF($B19="주간",'cal1'!Q21,""))</f>
        <v>이기수</v>
      </c>
      <c r="D19" t="str">
        <f>IF(OR($B19="당직",$B19="야간"),'cal1'!AD21,IF($B19="주간",'cal1'!R21,""))</f>
        <v>박성현</v>
      </c>
      <c r="E19" t="str">
        <f>IF(OR($B19="당직",$B19="야간"),'cal1'!AE21,IF($B19="주간",'cal1'!S21,""))</f>
        <v>허지웅</v>
      </c>
      <c r="F19" t="str">
        <f>IF(OR($B19="당직",$B19="야간"),'cal1'!AF21,IF($B19="주간",'cal1'!T21,""))</f>
        <v>정윤준</v>
      </c>
      <c r="G19" t="str">
        <f>IF(OR($B19="당직",$B19="야간"),'cal1'!AG21,IF($B19="주간",'cal1'!U21,""))</f>
        <v>장혁진</v>
      </c>
      <c r="L19" t="str">
        <f>'cal1'!AJ21</f>
        <v>허지웅</v>
      </c>
      <c r="M19" t="str">
        <f t="shared" si="0"/>
        <v>[오늘의_근무 1/19(월)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20" spans="1:13">
      <c r="A20" s="1">
        <f>'cal1'!B22</f>
        <v>46042</v>
      </c>
      <c r="B20" t="str">
        <f>'cal1'!I22</f>
        <v>비번</v>
      </c>
      <c r="C20" t="str">
        <f>IF(OR($B20="당직",$B20="야간"),'cal1'!AC22,IF($B20="주간",'cal1'!Q22,""))</f>
        <v/>
      </c>
      <c r="D20" t="str">
        <f>IF(OR($B20="당직",$B20="야간"),'cal1'!AD22,IF($B20="주간",'cal1'!R22,""))</f>
        <v/>
      </c>
      <c r="E20" t="str">
        <f>IF(OR($B20="당직",$B20="야간"),'cal1'!AE22,IF($B20="주간",'cal1'!S22,""))</f>
        <v/>
      </c>
      <c r="F20" t="str">
        <f>IF(OR($B20="당직",$B20="야간"),'cal1'!AF22,IF($B20="주간",'cal1'!T22,""))</f>
        <v/>
      </c>
      <c r="G20" t="str">
        <f>IF(OR($B20="당직",$B20="야간"),'cal1'!AG22,IF($B20="주간",'cal1'!U22,""))</f>
        <v/>
      </c>
      <c r="L20" t="str">
        <f>'cal1'!AJ22</f>
        <v/>
      </c>
      <c r="M20" t="str">
        <f t="shared" si="0"/>
        <v/>
      </c>
    </row>
    <row r="21" spans="1:13">
      <c r="A21" s="1">
        <f>'cal1'!B23</f>
        <v>46043</v>
      </c>
      <c r="B21" t="str">
        <f>'cal1'!I23</f>
        <v>주간</v>
      </c>
      <c r="C21" t="str">
        <f>IF(OR($B21="당직",$B21="야간"),'cal1'!AC23,IF($B21="주간",'cal1'!Q23,""))</f>
        <v>허지웅</v>
      </c>
      <c r="D21" t="str">
        <f>IF(OR($B21="당직",$B21="야간"),'cal1'!AD23,IF($B21="주간",'cal1'!R23,""))</f>
        <v>정윤준</v>
      </c>
      <c r="E21" t="str">
        <f>IF(OR($B21="당직",$B21="야간"),'cal1'!AE23,IF($B21="주간",'cal1'!S23,""))</f>
        <v>이기수</v>
      </c>
      <c r="F21" t="str">
        <f>IF(OR($B21="당직",$B21="야간"),'cal1'!AF23,IF($B21="주간",'cal1'!T23,""))</f>
        <v>박성현</v>
      </c>
      <c r="G21" t="str">
        <f>IF(OR($B21="당직",$B21="야간"),'cal1'!AG23,IF($B21="주간",'cal1'!U23,""))</f>
        <v>장혁진</v>
      </c>
      <c r="L21" t="str">
        <f>'cal1'!AJ23</f>
        <v/>
      </c>
      <c r="M21" t="str">
        <f t="shared" si="0"/>
        <v>[오늘의_근무 1/21(수)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2" spans="1:13">
      <c r="A22" s="1">
        <f>'cal1'!B24</f>
        <v>46044</v>
      </c>
      <c r="B22" t="str">
        <f>'cal1'!I24</f>
        <v>야간</v>
      </c>
      <c r="C22" t="str">
        <f>IF(OR($B22="당직",$B22="야간"),'cal1'!AC24,IF($B22="주간",'cal1'!Q24,""))</f>
        <v>정윤준</v>
      </c>
      <c r="D22" t="str">
        <f>IF(OR($B22="당직",$B22="야간"),'cal1'!AD24,IF($B22="주간",'cal1'!R24,""))</f>
        <v>이기수</v>
      </c>
      <c r="E22" t="str">
        <f>IF(OR($B22="당직",$B22="야간"),'cal1'!AE24,IF($B22="주간",'cal1'!S24,""))</f>
        <v>박성현</v>
      </c>
      <c r="F22" t="str">
        <f>IF(OR($B22="당직",$B22="야간"),'cal1'!AF24,IF($B22="주간",'cal1'!T24,""))</f>
        <v>허지웅</v>
      </c>
      <c r="G22" t="str">
        <f>IF(OR($B22="당직",$B22="야간"),'cal1'!AG24,IF($B22="주간",'cal1'!U24,""))</f>
        <v>이기수</v>
      </c>
      <c r="L22" t="str">
        <f>'cal1'!AJ24</f>
        <v/>
      </c>
      <c r="M22" t="str">
        <f t="shared" si="0"/>
        <v>[오늘의_근무 1/22(목)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3" spans="1:13">
      <c r="A23" s="1">
        <f>'cal1'!B25</f>
        <v>46045</v>
      </c>
      <c r="B23" t="str">
        <f>'cal1'!I25</f>
        <v>비번</v>
      </c>
      <c r="C23" t="str">
        <f>IF(OR($B23="당직",$B23="야간"),'cal1'!AC25,IF($B23="주간",'cal1'!Q25,""))</f>
        <v/>
      </c>
      <c r="D23" t="str">
        <f>IF(OR($B23="당직",$B23="야간"),'cal1'!AD25,IF($B23="주간",'cal1'!R25,""))</f>
        <v/>
      </c>
      <c r="E23" t="str">
        <f>IF(OR($B23="당직",$B23="야간"),'cal1'!AE25,IF($B23="주간",'cal1'!S25,""))</f>
        <v/>
      </c>
      <c r="F23" t="str">
        <f>IF(OR($B23="당직",$B23="야간"),'cal1'!AF25,IF($B23="주간",'cal1'!T25,""))</f>
        <v/>
      </c>
      <c r="G23" t="str">
        <f>IF(OR($B23="당직",$B23="야간"),'cal1'!AG25,IF($B23="주간",'cal1'!U25,""))</f>
        <v/>
      </c>
      <c r="L23" t="str">
        <f>'cal1'!AJ25</f>
        <v/>
      </c>
      <c r="M23" t="str">
        <f t="shared" si="0"/>
        <v/>
      </c>
    </row>
    <row r="24" spans="1:13">
      <c r="A24" s="1">
        <f>'cal1'!B26</f>
        <v>46046</v>
      </c>
      <c r="B24" t="str">
        <f>'cal1'!I26</f>
        <v>휴무</v>
      </c>
      <c r="C24" t="str">
        <f>IF(OR($B24="당직",$B24="야간"),'cal1'!AC26,IF($B24="주간",'cal1'!Q26,""))</f>
        <v/>
      </c>
      <c r="D24" t="str">
        <f>IF(OR($B24="당직",$B24="야간"),'cal1'!AD26,IF($B24="주간",'cal1'!R26,""))</f>
        <v/>
      </c>
      <c r="E24" t="str">
        <f>IF(OR($B24="당직",$B24="야간"),'cal1'!AE26,IF($B24="주간",'cal1'!S26,""))</f>
        <v/>
      </c>
      <c r="F24" t="str">
        <f>IF(OR($B24="당직",$B24="야간"),'cal1'!AF26,IF($B24="주간",'cal1'!T26,""))</f>
        <v/>
      </c>
      <c r="G24" t="str">
        <f>IF(OR($B24="당직",$B24="야간"),'cal1'!AG26,IF($B24="주간",'cal1'!U26,""))</f>
        <v/>
      </c>
      <c r="L24" t="str">
        <f>'cal1'!AJ26</f>
        <v/>
      </c>
      <c r="M24" t="str">
        <f t="shared" si="0"/>
        <v/>
      </c>
    </row>
    <row r="25" spans="1:13">
      <c r="A25" s="1">
        <f>'cal1'!B27</f>
        <v>46047</v>
      </c>
      <c r="B25" t="str">
        <f>'cal1'!I27</f>
        <v>당직</v>
      </c>
      <c r="C25" t="str">
        <f>IF(OR($B25="당직",$B25="야간"),'cal1'!AC27,IF($B25="주간",'cal1'!Q27,""))</f>
        <v>허지웅</v>
      </c>
      <c r="D25" t="str">
        <f>IF(OR($B25="당직",$B25="야간"),'cal1'!AD27,IF($B25="주간",'cal1'!R27,""))</f>
        <v>정윤준</v>
      </c>
      <c r="E25" t="str">
        <f>IF(OR($B25="당직",$B25="야간"),'cal1'!AE27,IF($B25="주간",'cal1'!S27,""))</f>
        <v>이기수</v>
      </c>
      <c r="F25" t="str">
        <f>IF(OR($B25="당직",$B25="야간"),'cal1'!AF27,IF($B25="주간",'cal1'!T27,""))</f>
        <v>박성현</v>
      </c>
      <c r="G25" t="e">
        <f>IF(OR($B25="당직",$B25="야간"),'cal1'!AG27,IF($B25="주간",'cal1'!U27,""))</f>
        <v>#VALUE!</v>
      </c>
      <c r="L25" t="str">
        <f>'cal1'!AJ27</f>
        <v/>
      </c>
      <c r="M25" t="str">
        <f t="shared" si="0"/>
        <v>[오늘의_근무 1/25(일)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6" spans="1:13">
      <c r="A26" s="1">
        <f>'cal1'!B28</f>
        <v>46048</v>
      </c>
      <c r="B26" t="str">
        <f>'cal1'!I28</f>
        <v>비번</v>
      </c>
      <c r="C26" t="str">
        <f>IF(OR($B26="당직",$B26="야간"),'cal1'!AC28,IF($B26="주간",'cal1'!Q28,""))</f>
        <v/>
      </c>
      <c r="D26" t="str">
        <f>IF(OR($B26="당직",$B26="야간"),'cal1'!AD28,IF($B26="주간",'cal1'!R28,""))</f>
        <v/>
      </c>
      <c r="E26" t="str">
        <f>IF(OR($B26="당직",$B26="야간"),'cal1'!AE28,IF($B26="주간",'cal1'!S28,""))</f>
        <v/>
      </c>
      <c r="F26" t="str">
        <f>IF(OR($B26="당직",$B26="야간"),'cal1'!AF28,IF($B26="주간",'cal1'!T28,""))</f>
        <v/>
      </c>
      <c r="G26" t="str">
        <f>IF(OR($B26="당직",$B26="야간"),'cal1'!AG28,IF($B26="주간",'cal1'!U28,""))</f>
        <v/>
      </c>
      <c r="L26" t="str">
        <f>'cal1'!AJ28</f>
        <v/>
      </c>
      <c r="M26" t="str">
        <f t="shared" si="0"/>
        <v/>
      </c>
    </row>
    <row r="27" spans="1:13">
      <c r="A27" s="1">
        <f>'cal1'!B29</f>
        <v>46049</v>
      </c>
      <c r="B27" t="str">
        <f>'cal1'!I29</f>
        <v>주간</v>
      </c>
      <c r="C27" t="str">
        <f>IF(OR($B27="당직",$B27="야간"),'cal1'!AC29,IF($B27="주간",'cal1'!Q29,""))</f>
        <v>박성현</v>
      </c>
      <c r="D27" t="str">
        <f>IF(OR($B27="당직",$B27="야간"),'cal1'!AD29,IF($B27="주간",'cal1'!R29,""))</f>
        <v>허지웅</v>
      </c>
      <c r="E27" t="str">
        <f>IF(OR($B27="당직",$B27="야간"),'cal1'!AE29,IF($B27="주간",'cal1'!S29,""))</f>
        <v>정윤준</v>
      </c>
      <c r="F27" t="str">
        <f>IF(OR($B27="당직",$B27="야간"),'cal1'!AF29,IF($B27="주간",'cal1'!T29,""))</f>
        <v>이기수</v>
      </c>
      <c r="G27" t="str">
        <f>IF(OR($B27="당직",$B27="야간"),'cal1'!AG29,IF($B27="주간",'cal1'!U29,""))</f>
        <v>이기수</v>
      </c>
      <c r="L27" t="str">
        <f>'cal1'!AJ29</f>
        <v/>
      </c>
      <c r="M27" t="str">
        <f t="shared" si="0"/>
        <v>[오늘의_근무 1/27(화)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8" spans="1:13">
      <c r="A28" s="1">
        <f>'cal1'!B30</f>
        <v>46050</v>
      </c>
      <c r="B28" t="str">
        <f>'cal1'!I30</f>
        <v>야간</v>
      </c>
      <c r="C28" t="str">
        <f>IF(OR($B28="당직",$B28="야간"),'cal1'!AC30,IF($B28="주간",'cal1'!Q30,""))</f>
        <v>박성현</v>
      </c>
      <c r="D28" t="str">
        <f>IF(OR($B28="당직",$B28="야간"),'cal1'!AD30,IF($B28="주간",'cal1'!R30,""))</f>
        <v>허지웅</v>
      </c>
      <c r="E28" t="str">
        <f>IF(OR($B28="당직",$B28="야간"),'cal1'!AE30,IF($B28="주간",'cal1'!S30,""))</f>
        <v>정윤준</v>
      </c>
      <c r="F28" t="str">
        <f>IF(OR($B28="당직",$B28="야간"),'cal1'!AF30,IF($B28="주간",'cal1'!T30,""))</f>
        <v>이기수</v>
      </c>
      <c r="G28" t="str">
        <f>IF(OR($B28="당직",$B28="야간"),'cal1'!AG30,IF($B28="주간",'cal1'!U30,""))</f>
        <v>정윤준</v>
      </c>
      <c r="L28" t="str">
        <f>'cal1'!AJ30</f>
        <v/>
      </c>
      <c r="M28" t="str">
        <f t="shared" si="0"/>
        <v>[오늘의_근무 1/28(수)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9" spans="1:13">
      <c r="A29" s="1">
        <f>'cal1'!B31</f>
        <v>46051</v>
      </c>
      <c r="B29" t="str">
        <f>'cal1'!I31</f>
        <v>비번</v>
      </c>
      <c r="C29" t="str">
        <f>IF(OR($B29="당직",$B29="야간"),'cal1'!AC31,IF($B29="주간",'cal1'!Q31,""))</f>
        <v/>
      </c>
      <c r="D29" t="str">
        <f>IF(OR($B29="당직",$B29="야간"),'cal1'!AD31,IF($B29="주간",'cal1'!R31,""))</f>
        <v/>
      </c>
      <c r="E29" t="str">
        <f>IF(OR($B29="당직",$B29="야간"),'cal1'!AE31,IF($B29="주간",'cal1'!S31,""))</f>
        <v/>
      </c>
      <c r="F29" t="str">
        <f>IF(OR($B29="당직",$B29="야간"),'cal1'!AF31,IF($B29="주간",'cal1'!T31,""))</f>
        <v/>
      </c>
      <c r="G29" t="str">
        <f>IF(OR($B29="당직",$B29="야간"),'cal1'!AG31,IF($B29="주간",'cal1'!U31,""))</f>
        <v/>
      </c>
      <c r="L29" t="str">
        <f>'cal1'!AJ31</f>
        <v/>
      </c>
      <c r="M29" t="str">
        <f t="shared" si="0"/>
        <v/>
      </c>
    </row>
    <row r="30" spans="1:13">
      <c r="A30" s="1">
        <f>'cal1'!B32</f>
        <v>46052</v>
      </c>
      <c r="B30" t="str">
        <f>'cal1'!I32</f>
        <v>주간</v>
      </c>
      <c r="C30" t="str">
        <f>IF(OR($B30="당직",$B30="야간"),'cal1'!AC32,IF($B30="주간",'cal1'!Q32,""))</f>
        <v>이기수</v>
      </c>
      <c r="D30" t="str">
        <f>IF(OR($B30="당직",$B30="야간"),'cal1'!AD32,IF($B30="주간",'cal1'!R32,""))</f>
        <v>박성현</v>
      </c>
      <c r="E30" t="str">
        <f>IF(OR($B30="당직",$B30="야간"),'cal1'!AE32,IF($B30="주간",'cal1'!S32,""))</f>
        <v>허지웅</v>
      </c>
      <c r="F30" t="str">
        <f>IF(OR($B30="당직",$B30="야간"),'cal1'!AF32,IF($B30="주간",'cal1'!T32,""))</f>
        <v>정윤준</v>
      </c>
      <c r="G30" t="str">
        <f>IF(OR($B30="당직",$B30="야간"),'cal1'!AG32,IF($B30="주간",'cal1'!U32,""))</f>
        <v>정윤준</v>
      </c>
      <c r="L30" t="str">
        <f>'cal1'!AJ32</f>
        <v/>
      </c>
      <c r="M30" t="str">
        <f t="shared" si="0"/>
        <v>[오늘의_근무 1/30(금)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31" spans="1:13">
      <c r="A31" s="1">
        <f>'cal1'!B33</f>
        <v>46053</v>
      </c>
      <c r="B31" t="str">
        <f>'cal1'!I33</f>
        <v>당직</v>
      </c>
      <c r="C31" t="str">
        <f>IF(OR($B31="당직",$B31="야간"),'cal1'!AC33,IF($B31="주간",'cal1'!Q33,""))</f>
        <v>이기수</v>
      </c>
      <c r="D31" t="str">
        <f>IF(OR($B31="당직",$B31="야간"),'cal1'!AD33,IF($B31="주간",'cal1'!R33,""))</f>
        <v>박성현</v>
      </c>
      <c r="E31" t="str">
        <f>IF(OR($B31="당직",$B31="야간"),'cal1'!AE33,IF($B31="주간",'cal1'!S33,""))</f>
        <v>허지웅</v>
      </c>
      <c r="F31" t="str">
        <f>IF(OR($B31="당직",$B31="야간"),'cal1'!AF33,IF($B31="주간",'cal1'!T33,""))</f>
        <v>정윤준</v>
      </c>
      <c r="G31" t="str">
        <f>IF(OR($B31="당직",$B31="야간"),'cal1'!AG33,IF($B31="주간",'cal1'!U33,""))</f>
        <v>허지웅</v>
      </c>
      <c r="L31" t="str">
        <f>'cal1'!AJ33</f>
        <v>정윤준</v>
      </c>
      <c r="M31" t="str">
        <f t="shared" si="0"/>
        <v>[오늘의_근무 1/31(토) - 당직]\n▸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32" spans="1:13">
      <c r="A32" s="1">
        <f>'cal1'!B34</f>
        <v>46054</v>
      </c>
      <c r="B32" t="str">
        <f>'cal1'!I34</f>
        <v>비번</v>
      </c>
      <c r="C32" t="str">
        <f>IF(OR($B32="당직",$B32="야간"),'cal1'!AC34,IF($B32="주간",'cal1'!Q34,""))</f>
        <v/>
      </c>
      <c r="D32" t="str">
        <f>IF(OR($B32="당직",$B32="야간"),'cal1'!AD34,IF($B32="주간",'cal1'!R34,""))</f>
        <v/>
      </c>
      <c r="E32" t="str">
        <f>IF(OR($B32="당직",$B32="야간"),'cal1'!AE34,IF($B32="주간",'cal1'!S34,""))</f>
        <v/>
      </c>
      <c r="F32" t="str">
        <f>IF(OR($B32="당직",$B32="야간"),'cal1'!AF34,IF($B32="주간",'cal1'!T34,""))</f>
        <v/>
      </c>
      <c r="G32" t="str">
        <f>IF(OR($B32="당직",$B32="야간"),'cal1'!AG34,IF($B32="주간",'cal1'!U34,""))</f>
        <v/>
      </c>
      <c r="L32" t="str">
        <f>'cal1'!AJ34</f>
        <v/>
      </c>
      <c r="M32" t="str">
        <f t="shared" si="0"/>
        <v/>
      </c>
    </row>
    <row r="33" spans="1:13">
      <c r="A33" s="1">
        <f>'cal1'!B35</f>
        <v>46055</v>
      </c>
      <c r="B33" t="str">
        <f>'cal1'!I35</f>
        <v>주간</v>
      </c>
      <c r="C33" t="str">
        <f>IF(OR($B33="당직",$B33="야간"),'cal1'!AC35,IF($B33="주간",'cal1'!Q35,""))</f>
        <v>정윤준</v>
      </c>
      <c r="D33" t="str">
        <f>IF(OR($B33="당직",$B33="야간"),'cal1'!AD35,IF($B33="주간",'cal1'!R35,""))</f>
        <v>이기수</v>
      </c>
      <c r="E33" t="str">
        <f>IF(OR($B33="당직",$B33="야간"),'cal1'!AE35,IF($B33="주간",'cal1'!S35,""))</f>
        <v>박성현</v>
      </c>
      <c r="F33" t="str">
        <f>IF(OR($B33="당직",$B33="야간"),'cal1'!AF35,IF($B33="주간",'cal1'!T35,""))</f>
        <v>허지웅</v>
      </c>
      <c r="G33" t="str">
        <f>IF(OR($B33="당직",$B33="야간"),'cal1'!AG35,IF($B33="주간",'cal1'!U35,""))</f>
        <v>허지웅</v>
      </c>
      <c r="L33" t="str">
        <f>'cal1'!AJ35</f>
        <v/>
      </c>
      <c r="M33" t="str">
        <f t="shared" si="0"/>
        <v>[오늘의_근무 2/2(월)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4" spans="1:13">
      <c r="A34" s="1">
        <f>'cal1'!B36</f>
        <v>46056</v>
      </c>
      <c r="B34" t="str">
        <f>'cal1'!I36</f>
        <v>야간</v>
      </c>
      <c r="C34" t="str">
        <f>IF(OR($B34="당직",$B34="야간"),'cal1'!AC36,IF($B34="주간",'cal1'!Q36,""))</f>
        <v>정윤준</v>
      </c>
      <c r="D34" t="str">
        <f>IF(OR($B34="당직",$B34="야간"),'cal1'!AD36,IF($B34="주간",'cal1'!R36,""))</f>
        <v>이기수</v>
      </c>
      <c r="E34" t="str">
        <f>IF(OR($B34="당직",$B34="야간"),'cal1'!AE36,IF($B34="주간",'cal1'!S36,""))</f>
        <v>박성현</v>
      </c>
      <c r="F34" t="str">
        <f>IF(OR($B34="당직",$B34="야간"),'cal1'!AF36,IF($B34="주간",'cal1'!T36,""))</f>
        <v>허지웅</v>
      </c>
      <c r="G34" t="str">
        <f>IF(OR($B34="당직",$B34="야간"),'cal1'!AG36,IF($B34="주간",'cal1'!U36,""))</f>
        <v>장혁진</v>
      </c>
      <c r="L34" t="str">
        <f>'cal1'!AJ36</f>
        <v/>
      </c>
      <c r="M34" t="str">
        <f t="shared" si="0"/>
        <v>[오늘의_근무 2/3(화)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5" spans="1:13">
      <c r="A35" s="1">
        <f>'cal1'!B37</f>
        <v>46057</v>
      </c>
      <c r="B35" t="str">
        <f>'cal1'!I37</f>
        <v>비번</v>
      </c>
      <c r="C35" t="str">
        <f>IF(OR($B35="당직",$B35="야간"),'cal1'!AC37,IF($B35="주간",'cal1'!Q37,""))</f>
        <v/>
      </c>
      <c r="D35" t="str">
        <f>IF(OR($B35="당직",$B35="야간"),'cal1'!AD37,IF($B35="주간",'cal1'!R37,""))</f>
        <v/>
      </c>
      <c r="E35" t="str">
        <f>IF(OR($B35="당직",$B35="야간"),'cal1'!AE37,IF($B35="주간",'cal1'!S37,""))</f>
        <v/>
      </c>
      <c r="F35" t="str">
        <f>IF(OR($B35="당직",$B35="야간"),'cal1'!AF37,IF($B35="주간",'cal1'!T37,""))</f>
        <v/>
      </c>
      <c r="G35" t="str">
        <f>IF(OR($B35="당직",$B35="야간"),'cal1'!AG37,IF($B35="주간",'cal1'!U37,""))</f>
        <v/>
      </c>
      <c r="L35" t="str">
        <f>'cal1'!AJ37</f>
        <v/>
      </c>
      <c r="M35" t="str">
        <f t="shared" si="0"/>
        <v/>
      </c>
    </row>
    <row r="36" spans="1:13">
      <c r="A36" s="1">
        <f>'cal1'!B38</f>
        <v>46058</v>
      </c>
      <c r="B36" t="str">
        <f>'cal1'!I38</f>
        <v>주간</v>
      </c>
      <c r="C36" t="str">
        <f>IF(OR($B36="당직",$B36="야간"),'cal1'!AC38,IF($B36="주간",'cal1'!Q38,""))</f>
        <v>허지웅</v>
      </c>
      <c r="D36" t="str">
        <f>IF(OR($B36="당직",$B36="야간"),'cal1'!AD38,IF($B36="주간",'cal1'!R38,""))</f>
        <v>정윤준</v>
      </c>
      <c r="E36" t="str">
        <f>IF(OR($B36="당직",$B36="야간"),'cal1'!AE38,IF($B36="주간",'cal1'!S38,""))</f>
        <v>이기수</v>
      </c>
      <c r="F36" t="str">
        <f>IF(OR($B36="당직",$B36="야간"),'cal1'!AF38,IF($B36="주간",'cal1'!T38,""))</f>
        <v>박성현</v>
      </c>
      <c r="G36" t="e">
        <f>IF(OR($B36="당직",$B36="야간"),'cal1'!AG38,IF($B36="주간",'cal1'!U38,""))</f>
        <v>#VALUE!</v>
      </c>
      <c r="L36" t="str">
        <f>'cal1'!AJ38</f>
        <v/>
      </c>
      <c r="M36" t="str">
        <f t="shared" si="0"/>
        <v>[오늘의_근무 2/5(목)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7" spans="1:13">
      <c r="A37" s="1">
        <f>'cal1'!B39</f>
        <v>46059</v>
      </c>
      <c r="B37" t="str">
        <f>'cal1'!I39</f>
        <v>야간</v>
      </c>
      <c r="C37" t="str">
        <f>IF(OR($B37="당직",$B37="야간"),'cal1'!AC39,IF($B37="주간",'cal1'!Q39,""))</f>
        <v>허지웅</v>
      </c>
      <c r="D37" t="str">
        <f>IF(OR($B37="당직",$B37="야간"),'cal1'!AD39,IF($B37="주간",'cal1'!R39,""))</f>
        <v>정윤준</v>
      </c>
      <c r="E37" t="str">
        <f>IF(OR($B37="당직",$B37="야간"),'cal1'!AE39,IF($B37="주간",'cal1'!S39,""))</f>
        <v>이기수</v>
      </c>
      <c r="F37" t="str">
        <f>IF(OR($B37="당직",$B37="야간"),'cal1'!AF39,IF($B37="주간",'cal1'!T39,""))</f>
        <v>박성현</v>
      </c>
      <c r="G37" t="str">
        <f>IF(OR($B37="당직",$B37="야간"),'cal1'!AG39,IF($B37="주간",'cal1'!U39,""))</f>
        <v>이기수</v>
      </c>
      <c r="L37" t="str">
        <f>'cal1'!AJ39</f>
        <v/>
      </c>
      <c r="M37" t="str">
        <f t="shared" si="0"/>
        <v>[오늘의_근무 2/6(금)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8" spans="1:13">
      <c r="A38" s="1">
        <f>'cal1'!B40</f>
        <v>46060</v>
      </c>
      <c r="B38" t="str">
        <f>'cal1'!I40</f>
        <v>비번</v>
      </c>
      <c r="C38" t="str">
        <f>IF(OR($B38="당직",$B38="야간"),'cal1'!AC40,IF($B38="주간",'cal1'!Q40,""))</f>
        <v/>
      </c>
      <c r="D38" t="str">
        <f>IF(OR($B38="당직",$B38="야간"),'cal1'!AD40,IF($B38="주간",'cal1'!R40,""))</f>
        <v/>
      </c>
      <c r="E38" t="str">
        <f>IF(OR($B38="당직",$B38="야간"),'cal1'!AE40,IF($B38="주간",'cal1'!S40,""))</f>
        <v/>
      </c>
      <c r="F38" t="str">
        <f>IF(OR($B38="당직",$B38="야간"),'cal1'!AF40,IF($B38="주간",'cal1'!T40,""))</f>
        <v/>
      </c>
      <c r="G38" t="str">
        <f>IF(OR($B38="당직",$B38="야간"),'cal1'!AG40,IF($B38="주간",'cal1'!U40,""))</f>
        <v/>
      </c>
      <c r="L38" t="str">
        <f>'cal1'!AJ40</f>
        <v/>
      </c>
      <c r="M38" t="str">
        <f t="shared" si="0"/>
        <v/>
      </c>
    </row>
    <row r="39" spans="1:13">
      <c r="A39" s="1">
        <f>'cal1'!B41</f>
        <v>46061</v>
      </c>
      <c r="B39" t="str">
        <f>'cal1'!I41</f>
        <v>휴무</v>
      </c>
      <c r="C39" t="str">
        <f>IF(OR($B39="당직",$B39="야간"),'cal1'!AC41,IF($B39="주간",'cal1'!Q41,""))</f>
        <v/>
      </c>
      <c r="D39" t="str">
        <f>IF(OR($B39="당직",$B39="야간"),'cal1'!AD41,IF($B39="주간",'cal1'!R41,""))</f>
        <v/>
      </c>
      <c r="E39" t="str">
        <f>IF(OR($B39="당직",$B39="야간"),'cal1'!AE41,IF($B39="주간",'cal1'!S41,""))</f>
        <v/>
      </c>
      <c r="F39" t="str">
        <f>IF(OR($B39="당직",$B39="야간"),'cal1'!AF41,IF($B39="주간",'cal1'!T41,""))</f>
        <v/>
      </c>
      <c r="G39" t="str">
        <f>IF(OR($B39="당직",$B39="야간"),'cal1'!AG41,IF($B39="주간",'cal1'!U41,""))</f>
        <v/>
      </c>
      <c r="L39" t="str">
        <f>'cal1'!AJ41</f>
        <v/>
      </c>
      <c r="M39" t="str">
        <f t="shared" si="0"/>
        <v/>
      </c>
    </row>
    <row r="40" spans="1:13">
      <c r="A40" s="1">
        <f>'cal1'!B42</f>
        <v>46062</v>
      </c>
      <c r="B40" t="str">
        <f>'cal1'!I42</f>
        <v>야간</v>
      </c>
      <c r="C40" t="str">
        <f>IF(OR($B40="당직",$B40="야간"),'cal1'!AC42,IF($B40="주간",'cal1'!Q42,""))</f>
        <v>박성현</v>
      </c>
      <c r="D40" t="str">
        <f>IF(OR($B40="당직",$B40="야간"),'cal1'!AD42,IF($B40="주간",'cal1'!R42,""))</f>
        <v>허지웅</v>
      </c>
      <c r="E40" t="str">
        <f>IF(OR($B40="당직",$B40="야간"),'cal1'!AE42,IF($B40="주간",'cal1'!S42,""))</f>
        <v>정윤준</v>
      </c>
      <c r="F40" t="str">
        <f>IF(OR($B40="당직",$B40="야간"),'cal1'!AF42,IF($B40="주간",'cal1'!T42,""))</f>
        <v>이기수</v>
      </c>
      <c r="G40" t="e">
        <f>IF(OR($B40="당직",$B40="야간"),'cal1'!AG42,IF($B40="주간",'cal1'!U42,""))</f>
        <v>#VALUE!</v>
      </c>
      <c r="L40" t="str">
        <f>'cal1'!AJ42</f>
        <v/>
      </c>
      <c r="M40" t="str">
        <f t="shared" si="0"/>
        <v>[오늘의_근무 2/9(월)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41" spans="1:13">
      <c r="A41" s="1">
        <f>'cal1'!B43</f>
        <v>46063</v>
      </c>
      <c r="B41" t="str">
        <f>'cal1'!I43</f>
        <v>비번</v>
      </c>
      <c r="C41" t="str">
        <f>IF(OR($B41="당직",$B41="야간"),'cal1'!AC43,IF($B41="주간",'cal1'!Q43,""))</f>
        <v/>
      </c>
      <c r="D41" t="str">
        <f>IF(OR($B41="당직",$B41="야간"),'cal1'!AD43,IF($B41="주간",'cal1'!R43,""))</f>
        <v/>
      </c>
      <c r="E41" t="str">
        <f>IF(OR($B41="당직",$B41="야간"),'cal1'!AE43,IF($B41="주간",'cal1'!S43,""))</f>
        <v/>
      </c>
      <c r="F41" t="str">
        <f>IF(OR($B41="당직",$B41="야간"),'cal1'!AF43,IF($B41="주간",'cal1'!T43,""))</f>
        <v/>
      </c>
      <c r="G41" t="str">
        <f>IF(OR($B41="당직",$B41="야간"),'cal1'!AG43,IF($B41="주간",'cal1'!U43,""))</f>
        <v/>
      </c>
      <c r="L41" t="str">
        <f>'cal1'!AJ43</f>
        <v/>
      </c>
      <c r="M41" t="str">
        <f t="shared" si="0"/>
        <v/>
      </c>
    </row>
    <row r="42" spans="1:13">
      <c r="A42" s="1">
        <f>'cal1'!B44</f>
        <v>46064</v>
      </c>
      <c r="B42" t="str">
        <f>'cal1'!I44</f>
        <v>주간</v>
      </c>
      <c r="C42" t="str">
        <f>IF(OR($B42="당직",$B42="야간"),'cal1'!AC44,IF($B42="주간",'cal1'!Q44,""))</f>
        <v>박성현</v>
      </c>
      <c r="D42" t="str">
        <f>IF(OR($B42="당직",$B42="야간"),'cal1'!AD44,IF($B42="주간",'cal1'!R44,""))</f>
        <v>허지웅</v>
      </c>
      <c r="E42" t="str">
        <f>IF(OR($B42="당직",$B42="야간"),'cal1'!AE44,IF($B42="주간",'cal1'!S44,""))</f>
        <v>정윤준</v>
      </c>
      <c r="F42" t="str">
        <f>IF(OR($B42="당직",$B42="야간"),'cal1'!AF44,IF($B42="주간",'cal1'!T44,""))</f>
        <v>이기수</v>
      </c>
      <c r="G42" t="str">
        <f>IF(OR($B42="당직",$B42="야간"),'cal1'!AG44,IF($B42="주간",'cal1'!U44,""))</f>
        <v>장혁진</v>
      </c>
      <c r="L42" t="str">
        <f>'cal1'!AJ44</f>
        <v/>
      </c>
      <c r="M42" t="str">
        <f t="shared" si="0"/>
        <v>[오늘의_근무 2/11(수)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43" spans="1:13">
      <c r="A43" s="1">
        <f>'cal1'!B45</f>
        <v>46065</v>
      </c>
      <c r="B43" t="str">
        <f>'cal1'!I45</f>
        <v>야간</v>
      </c>
      <c r="C43" t="str">
        <f>IF(OR($B43="당직",$B43="야간"),'cal1'!AC45,IF($B43="주간",'cal1'!Q45,""))</f>
        <v>이기수</v>
      </c>
      <c r="D43" t="str">
        <f>IF(OR($B43="당직",$B43="야간"),'cal1'!AD45,IF($B43="주간",'cal1'!R45,""))</f>
        <v>박성현</v>
      </c>
      <c r="E43" t="str">
        <f>IF(OR($B43="당직",$B43="야간"),'cal1'!AE45,IF($B43="주간",'cal1'!S45,""))</f>
        <v>허지웅</v>
      </c>
      <c r="F43" t="str">
        <f>IF(OR($B43="당직",$B43="야간"),'cal1'!AF45,IF($B43="주간",'cal1'!T45,""))</f>
        <v>정윤준</v>
      </c>
      <c r="G43" t="str">
        <f>IF(OR($B43="당직",$B43="야간"),'cal1'!AG45,IF($B43="주간",'cal1'!U45,""))</f>
        <v>정윤준</v>
      </c>
      <c r="L43" t="str">
        <f>'cal1'!AJ45</f>
        <v>허지웅</v>
      </c>
      <c r="M43" t="str">
        <f t="shared" si="0"/>
        <v>[오늘의_근무 2/12(목)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44" spans="1:13">
      <c r="A44" s="1">
        <f>'cal1'!B46</f>
        <v>46066</v>
      </c>
      <c r="B44" t="str">
        <f>'cal1'!I46</f>
        <v>비번</v>
      </c>
      <c r="C44" t="str">
        <f>IF(OR($B44="당직",$B44="야간"),'cal1'!AC46,IF($B44="주간",'cal1'!Q46,""))</f>
        <v/>
      </c>
      <c r="D44" t="str">
        <f>IF(OR($B44="당직",$B44="야간"),'cal1'!AD46,IF($B44="주간",'cal1'!R46,""))</f>
        <v/>
      </c>
      <c r="E44" t="str">
        <f>IF(OR($B44="당직",$B44="야간"),'cal1'!AE46,IF($B44="주간",'cal1'!S46,""))</f>
        <v/>
      </c>
      <c r="F44" t="str">
        <f>IF(OR($B44="당직",$B44="야간"),'cal1'!AF46,IF($B44="주간",'cal1'!T46,""))</f>
        <v/>
      </c>
      <c r="G44" t="str">
        <f>IF(OR($B44="당직",$B44="야간"),'cal1'!AG46,IF($B44="주간",'cal1'!U46,""))</f>
        <v/>
      </c>
      <c r="L44" t="str">
        <f>'cal1'!AJ46</f>
        <v/>
      </c>
      <c r="M44" t="str">
        <f t="shared" si="0"/>
        <v/>
      </c>
    </row>
    <row r="45" spans="1:13">
      <c r="A45" s="1">
        <f>'cal1'!B47</f>
        <v>46067</v>
      </c>
      <c r="B45" t="str">
        <f>'cal1'!I47</f>
        <v>휴무</v>
      </c>
      <c r="C45" t="str">
        <f>IF(OR($B45="당직",$B45="야간"),'cal1'!AC47,IF($B45="주간",'cal1'!Q47,""))</f>
        <v/>
      </c>
      <c r="D45" t="str">
        <f>IF(OR($B45="당직",$B45="야간"),'cal1'!AD47,IF($B45="주간",'cal1'!R47,""))</f>
        <v/>
      </c>
      <c r="E45" t="str">
        <f>IF(OR($B45="당직",$B45="야간"),'cal1'!AE47,IF($B45="주간",'cal1'!S47,""))</f>
        <v/>
      </c>
      <c r="F45" t="str">
        <f>IF(OR($B45="당직",$B45="야간"),'cal1'!AF47,IF($B45="주간",'cal1'!T47,""))</f>
        <v/>
      </c>
      <c r="G45" t="str">
        <f>IF(OR($B45="당직",$B45="야간"),'cal1'!AG47,IF($B45="주간",'cal1'!U47,""))</f>
        <v/>
      </c>
      <c r="L45" t="str">
        <f>'cal1'!AJ47</f>
        <v/>
      </c>
      <c r="M45" t="str">
        <f t="shared" si="0"/>
        <v/>
      </c>
    </row>
    <row r="46" spans="1:13">
      <c r="A46" s="1">
        <f>'cal1'!B48</f>
        <v>46068</v>
      </c>
      <c r="B46" t="str">
        <f>'cal1'!I48</f>
        <v>당직</v>
      </c>
      <c r="C46" t="str">
        <f>IF(OR($B46="당직",$B46="야간"),'cal1'!AC48,IF($B46="주간",'cal1'!Q48,""))</f>
        <v>정윤준</v>
      </c>
      <c r="D46" t="str">
        <f>IF(OR($B46="당직",$B46="야간"),'cal1'!AD48,IF($B46="주간",'cal1'!R48,""))</f>
        <v>이기수</v>
      </c>
      <c r="E46" t="str">
        <f>IF(OR($B46="당직",$B46="야간"),'cal1'!AE48,IF($B46="주간",'cal1'!S48,""))</f>
        <v>박성현</v>
      </c>
      <c r="F46" t="str">
        <f>IF(OR($B46="당직",$B46="야간"),'cal1'!AF48,IF($B46="주간",'cal1'!T48,""))</f>
        <v>허지웅</v>
      </c>
      <c r="G46" t="str">
        <f>IF(OR($B46="당직",$B46="야간"),'cal1'!AG48,IF($B46="주간",'cal1'!U48,""))</f>
        <v>허지웅</v>
      </c>
      <c r="L46" t="str">
        <f>'cal1'!AJ48</f>
        <v/>
      </c>
      <c r="M46" t="str">
        <f t="shared" si="0"/>
        <v>[오늘의_근무 2/15(일)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47" spans="1:13">
      <c r="A47" s="1">
        <f>'cal1'!B49</f>
        <v>46069</v>
      </c>
      <c r="B47" t="str">
        <f>'cal1'!I49</f>
        <v>비번</v>
      </c>
      <c r="C47" t="str">
        <f>IF(OR($B47="당직",$B47="야간"),'cal1'!AC49,IF($B47="주간",'cal1'!Q49,""))</f>
        <v/>
      </c>
      <c r="D47" t="str">
        <f>IF(OR($B47="당직",$B47="야간"),'cal1'!AD49,IF($B47="주간",'cal1'!R49,""))</f>
        <v/>
      </c>
      <c r="E47" t="str">
        <f>IF(OR($B47="당직",$B47="야간"),'cal1'!AE49,IF($B47="주간",'cal1'!S49,""))</f>
        <v/>
      </c>
      <c r="F47" t="str">
        <f>IF(OR($B47="당직",$B47="야간"),'cal1'!AF49,IF($B47="주간",'cal1'!T49,""))</f>
        <v/>
      </c>
      <c r="G47" t="str">
        <f>IF(OR($B47="당직",$B47="야간"),'cal1'!AG49,IF($B47="주간",'cal1'!U49,""))</f>
        <v/>
      </c>
      <c r="L47" t="str">
        <f>'cal1'!AJ49</f>
        <v/>
      </c>
      <c r="M47" t="str">
        <f t="shared" si="0"/>
        <v/>
      </c>
    </row>
    <row r="48" spans="1:13">
      <c r="A48" s="1">
        <f>'cal1'!B50</f>
        <v>46070</v>
      </c>
      <c r="B48" t="str">
        <f>'cal1'!I50</f>
        <v>휴무</v>
      </c>
      <c r="C48" t="str">
        <f>IF(OR($B48="당직",$B48="야간"),'cal1'!AC50,IF($B48="주간",'cal1'!Q50,""))</f>
        <v/>
      </c>
      <c r="D48" t="str">
        <f>IF(OR($B48="당직",$B48="야간"),'cal1'!AD50,IF($B48="주간",'cal1'!R50,""))</f>
        <v/>
      </c>
      <c r="E48" t="str">
        <f>IF(OR($B48="당직",$B48="야간"),'cal1'!AE50,IF($B48="주간",'cal1'!S50,""))</f>
        <v/>
      </c>
      <c r="F48" t="str">
        <f>IF(OR($B48="당직",$B48="야간"),'cal1'!AF50,IF($B48="주간",'cal1'!T50,""))</f>
        <v/>
      </c>
      <c r="G48" t="str">
        <f>IF(OR($B48="당직",$B48="야간"),'cal1'!AG50,IF($B48="주간",'cal1'!U50,""))</f>
        <v/>
      </c>
      <c r="L48" t="str">
        <f>'cal1'!AJ50</f>
        <v/>
      </c>
      <c r="M48" t="str">
        <f t="shared" si="0"/>
        <v/>
      </c>
    </row>
    <row r="49" spans="1:13">
      <c r="A49" s="1">
        <f>'cal1'!B51</f>
        <v>46071</v>
      </c>
      <c r="B49" t="str">
        <f>'cal1'!I51</f>
        <v>당직</v>
      </c>
      <c r="C49" t="str">
        <f>IF(OR($B49="당직",$B49="야간"),'cal1'!AC51,IF($B49="주간",'cal1'!Q51,""))</f>
        <v>허지웅</v>
      </c>
      <c r="D49" t="str">
        <f>IF(OR($B49="당직",$B49="야간"),'cal1'!AD51,IF($B49="주간",'cal1'!R51,""))</f>
        <v>정윤준</v>
      </c>
      <c r="E49" t="str">
        <f>IF(OR($B49="당직",$B49="야간"),'cal1'!AE51,IF($B49="주간",'cal1'!S51,""))</f>
        <v>이기수</v>
      </c>
      <c r="F49" t="str">
        <f>IF(OR($B49="당직",$B49="야간"),'cal1'!AF51,IF($B49="주간",'cal1'!T51,""))</f>
        <v>박성현</v>
      </c>
      <c r="G49" t="str">
        <f>IF(OR($B49="당직",$B49="야간"),'cal1'!AG51,IF($B49="주간",'cal1'!U51,""))</f>
        <v>장혁진</v>
      </c>
      <c r="L49" t="str">
        <f>'cal1'!AJ51</f>
        <v/>
      </c>
      <c r="M49" t="str">
        <f t="shared" si="0"/>
        <v>[오늘의_근무 2/18(수)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50" spans="1:13">
      <c r="A50" s="1">
        <f>'cal1'!B52</f>
        <v>46072</v>
      </c>
      <c r="B50" t="str">
        <f>'cal1'!I52</f>
        <v>비번</v>
      </c>
      <c r="C50" t="str">
        <f>IF(OR($B50="당직",$B50="야간"),'cal1'!AC52,IF($B50="주간",'cal1'!Q52,""))</f>
        <v/>
      </c>
      <c r="D50" t="str">
        <f>IF(OR($B50="당직",$B50="야간"),'cal1'!AD52,IF($B50="주간",'cal1'!R52,""))</f>
        <v/>
      </c>
      <c r="E50" t="str">
        <f>IF(OR($B50="당직",$B50="야간"),'cal1'!AE52,IF($B50="주간",'cal1'!S52,""))</f>
        <v/>
      </c>
      <c r="F50" t="str">
        <f>IF(OR($B50="당직",$B50="야간"),'cal1'!AF52,IF($B50="주간",'cal1'!T52,""))</f>
        <v/>
      </c>
      <c r="G50" t="str">
        <f>IF(OR($B50="당직",$B50="야간"),'cal1'!AG52,IF($B50="주간",'cal1'!U52,""))</f>
        <v/>
      </c>
      <c r="L50" t="str">
        <f>'cal1'!AJ52</f>
        <v/>
      </c>
      <c r="M50" t="str">
        <f t="shared" si="0"/>
        <v/>
      </c>
    </row>
    <row r="51" spans="1:13">
      <c r="A51" s="1">
        <f>'cal1'!B53</f>
        <v>46073</v>
      </c>
      <c r="B51" t="str">
        <f>'cal1'!I53</f>
        <v>주간</v>
      </c>
      <c r="C51" t="str">
        <f>IF(OR($B51="당직",$B51="야간"),'cal1'!AC53,IF($B51="주간",'cal1'!Q53,""))</f>
        <v>이기수</v>
      </c>
      <c r="D51" t="str">
        <f>IF(OR($B51="당직",$B51="야간"),'cal1'!AD53,IF($B51="주간",'cal1'!R53,""))</f>
        <v>박성현</v>
      </c>
      <c r="E51" t="str">
        <f>IF(OR($B51="당직",$B51="야간"),'cal1'!AE53,IF($B51="주간",'cal1'!S53,""))</f>
        <v>허지웅</v>
      </c>
      <c r="F51" t="str">
        <f>IF(OR($B51="당직",$B51="야간"),'cal1'!AF53,IF($B51="주간",'cal1'!T53,""))</f>
        <v>정윤준</v>
      </c>
      <c r="G51" t="str">
        <f>IF(OR($B51="당직",$B51="야간"),'cal1'!AG53,IF($B51="주간",'cal1'!U53,""))</f>
        <v>이기수</v>
      </c>
      <c r="L51" t="str">
        <f>'cal1'!AJ53</f>
        <v/>
      </c>
      <c r="M51" t="str">
        <f t="shared" si="0"/>
        <v>[오늘의_근무 2/20(금)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52" spans="1:13">
      <c r="A52" s="1">
        <f>'cal1'!B54</f>
        <v>46074</v>
      </c>
      <c r="B52" t="str">
        <f>'cal1'!I54</f>
        <v>당직</v>
      </c>
      <c r="C52" t="str">
        <f>IF(OR($B52="당직",$B52="야간"),'cal1'!AC54,IF($B52="주간",'cal1'!Q54,""))</f>
        <v>박성현</v>
      </c>
      <c r="D52" t="str">
        <f>IF(OR($B52="당직",$B52="야간"),'cal1'!AD54,IF($B52="주간",'cal1'!R54,""))</f>
        <v>허지웅</v>
      </c>
      <c r="E52" t="str">
        <f>IF(OR($B52="당직",$B52="야간"),'cal1'!AE54,IF($B52="주간",'cal1'!S54,""))</f>
        <v>정윤준</v>
      </c>
      <c r="F52" t="str">
        <f>IF(OR($B52="당직",$B52="야간"),'cal1'!AF54,IF($B52="주간",'cal1'!T54,""))</f>
        <v>이기수</v>
      </c>
      <c r="G52" t="str">
        <f>IF(OR($B52="당직",$B52="야간"),'cal1'!AG54,IF($B52="주간",'cal1'!U54,""))</f>
        <v>이기수</v>
      </c>
      <c r="L52" t="str">
        <f>'cal1'!AJ54</f>
        <v/>
      </c>
      <c r="M52" t="str">
        <f t="shared" si="0"/>
        <v>[오늘의_근무 2/21(토)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53" spans="1:13">
      <c r="A53" s="1">
        <f>'cal1'!B55</f>
        <v>46075</v>
      </c>
      <c r="B53" t="str">
        <f>'cal1'!I55</f>
        <v>비번</v>
      </c>
      <c r="C53" t="str">
        <f>IF(OR($B53="당직",$B53="야간"),'cal1'!AC55,IF($B53="주간",'cal1'!Q55,""))</f>
        <v/>
      </c>
      <c r="D53" t="str">
        <f>IF(OR($B53="당직",$B53="야간"),'cal1'!AD55,IF($B53="주간",'cal1'!R55,""))</f>
        <v/>
      </c>
      <c r="E53" t="str">
        <f>IF(OR($B53="당직",$B53="야간"),'cal1'!AE55,IF($B53="주간",'cal1'!S55,""))</f>
        <v/>
      </c>
      <c r="F53" t="str">
        <f>IF(OR($B53="당직",$B53="야간"),'cal1'!AF55,IF($B53="주간",'cal1'!T55,""))</f>
        <v/>
      </c>
      <c r="G53" t="str">
        <f>IF(OR($B53="당직",$B53="야간"),'cal1'!AG55,IF($B53="주간",'cal1'!U55,""))</f>
        <v/>
      </c>
      <c r="L53" t="str">
        <f>'cal1'!AJ55</f>
        <v/>
      </c>
      <c r="M53" t="str">
        <f t="shared" si="0"/>
        <v/>
      </c>
    </row>
    <row r="54" spans="1:13">
      <c r="A54" s="1">
        <f>'cal1'!B56</f>
        <v>46076</v>
      </c>
      <c r="B54" t="str">
        <f>'cal1'!I56</f>
        <v>주간</v>
      </c>
      <c r="C54" t="str">
        <f>IF(OR($B54="당직",$B54="야간"),'cal1'!AC56,IF($B54="주간",'cal1'!Q56,""))</f>
        <v>정윤준</v>
      </c>
      <c r="D54" t="str">
        <f>IF(OR($B54="당직",$B54="야간"),'cal1'!AD56,IF($B54="주간",'cal1'!R56,""))</f>
        <v>이기수</v>
      </c>
      <c r="E54" t="str">
        <f>IF(OR($B54="당직",$B54="야간"),'cal1'!AE56,IF($B54="주간",'cal1'!S56,""))</f>
        <v>박성현</v>
      </c>
      <c r="F54" t="str">
        <f>IF(OR($B54="당직",$B54="야간"),'cal1'!AF56,IF($B54="주간",'cal1'!T56,""))</f>
        <v>허지웅</v>
      </c>
      <c r="G54" t="str">
        <f>IF(OR($B54="당직",$B54="야간"),'cal1'!AG56,IF($B54="주간",'cal1'!U56,""))</f>
        <v>정윤준</v>
      </c>
      <c r="L54" t="str">
        <f>'cal1'!AJ56</f>
        <v/>
      </c>
      <c r="M54" t="str">
        <f t="shared" si="0"/>
        <v>[오늘의_근무 2/23(월)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55" spans="1:13">
      <c r="A55" s="1">
        <f>'cal1'!B57</f>
        <v>46077</v>
      </c>
      <c r="B55" t="str">
        <f>'cal1'!I57</f>
        <v>야간</v>
      </c>
      <c r="C55" t="str">
        <f>IF(OR($B55="당직",$B55="야간"),'cal1'!AC57,IF($B55="주간",'cal1'!Q57,""))</f>
        <v>이기수</v>
      </c>
      <c r="D55" t="str">
        <f>IF(OR($B55="당직",$B55="야간"),'cal1'!AD57,IF($B55="주간",'cal1'!R57,""))</f>
        <v>박성현</v>
      </c>
      <c r="E55" t="str">
        <f>IF(OR($B55="당직",$B55="야간"),'cal1'!AE57,IF($B55="주간",'cal1'!S57,""))</f>
        <v>허지웅</v>
      </c>
      <c r="F55" t="str">
        <f>IF(OR($B55="당직",$B55="야간"),'cal1'!AF57,IF($B55="주간",'cal1'!T57,""))</f>
        <v>정윤준</v>
      </c>
      <c r="G55" t="e">
        <f>IF(OR($B55="당직",$B55="야간"),'cal1'!AG57,IF($B55="주간",'cal1'!U57,""))</f>
        <v>#VALUE!</v>
      </c>
      <c r="L55" t="str">
        <f>'cal1'!AJ57</f>
        <v>정윤준</v>
      </c>
      <c r="M55" t="str">
        <f t="shared" si="0"/>
        <v>[오늘의_근무 2/24(화)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56" spans="1:13">
      <c r="A56" s="1">
        <f>'cal1'!B58</f>
        <v>46078</v>
      </c>
      <c r="B56" t="str">
        <f>'cal1'!I58</f>
        <v>비번</v>
      </c>
      <c r="C56" t="str">
        <f>IF(OR($B56="당직",$B56="야간"),'cal1'!AC58,IF($B56="주간",'cal1'!Q58,""))</f>
        <v/>
      </c>
      <c r="D56" t="str">
        <f>IF(OR($B56="당직",$B56="야간"),'cal1'!AD58,IF($B56="주간",'cal1'!R58,""))</f>
        <v/>
      </c>
      <c r="E56" t="str">
        <f>IF(OR($B56="당직",$B56="야간"),'cal1'!AE58,IF($B56="주간",'cal1'!S58,""))</f>
        <v/>
      </c>
      <c r="F56" t="str">
        <f>IF(OR($B56="당직",$B56="야간"),'cal1'!AF58,IF($B56="주간",'cal1'!T58,""))</f>
        <v/>
      </c>
      <c r="G56" t="str">
        <f>IF(OR($B56="당직",$B56="야간"),'cal1'!AG58,IF($B56="주간",'cal1'!U58,""))</f>
        <v/>
      </c>
      <c r="L56" t="str">
        <f>'cal1'!AJ58</f>
        <v/>
      </c>
      <c r="M56" t="str">
        <f t="shared" si="0"/>
        <v/>
      </c>
    </row>
    <row r="57" spans="1:13">
      <c r="A57" s="1">
        <f>'cal1'!B59</f>
        <v>46079</v>
      </c>
      <c r="B57" t="str">
        <f>'cal1'!I59</f>
        <v>주간</v>
      </c>
      <c r="C57" t="str">
        <f>IF(OR($B57="당직",$B57="야간"),'cal1'!AC59,IF($B57="주간",'cal1'!Q59,""))</f>
        <v>허지웅</v>
      </c>
      <c r="D57" t="str">
        <f>IF(OR($B57="당직",$B57="야간"),'cal1'!AD59,IF($B57="주간",'cal1'!R59,""))</f>
        <v>정윤준</v>
      </c>
      <c r="E57" t="str">
        <f>IF(OR($B57="당직",$B57="야간"),'cal1'!AE59,IF($B57="주간",'cal1'!S59,""))</f>
        <v>이기수</v>
      </c>
      <c r="F57" t="str">
        <f>IF(OR($B57="당직",$B57="야간"),'cal1'!AF59,IF($B57="주간",'cal1'!T59,""))</f>
        <v>박성현</v>
      </c>
      <c r="G57" t="str">
        <f>IF(OR($B57="당직",$B57="야간"),'cal1'!AG59,IF($B57="주간",'cal1'!U59,""))</f>
        <v>허지웅</v>
      </c>
      <c r="L57" t="str">
        <f>'cal1'!AJ59</f>
        <v/>
      </c>
      <c r="M57" t="str">
        <f t="shared" si="0"/>
        <v>[오늘의_근무 2/26(목)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58" spans="1:13">
      <c r="A58" s="1">
        <f>'cal1'!B60</f>
        <v>46080</v>
      </c>
      <c r="B58" t="str">
        <f>'cal1'!I60</f>
        <v>야간</v>
      </c>
      <c r="C58" t="str">
        <f>IF(OR($B58="당직",$B58="야간"),'cal1'!AC60,IF($B58="주간",'cal1'!Q60,""))</f>
        <v>정윤준</v>
      </c>
      <c r="D58" t="str">
        <f>IF(OR($B58="당직",$B58="야간"),'cal1'!AD60,IF($B58="주간",'cal1'!R60,""))</f>
        <v>이기수</v>
      </c>
      <c r="E58" t="str">
        <f>IF(OR($B58="당직",$B58="야간"),'cal1'!AE60,IF($B58="주간",'cal1'!S60,""))</f>
        <v>박성현</v>
      </c>
      <c r="F58" t="str">
        <f>IF(OR($B58="당직",$B58="야간"),'cal1'!AF60,IF($B58="주간",'cal1'!T60,""))</f>
        <v>허지웅</v>
      </c>
      <c r="G58" t="str">
        <f>IF(OR($B58="당직",$B58="야간"),'cal1'!AG60,IF($B58="주간",'cal1'!U60,""))</f>
        <v>정윤준</v>
      </c>
      <c r="L58" t="str">
        <f>'cal1'!AJ60</f>
        <v/>
      </c>
      <c r="M58" t="str">
        <f t="shared" si="0"/>
        <v>[오늘의_근무 2/27(금)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59" spans="1:13">
      <c r="A59" s="1">
        <f>'cal1'!B61</f>
        <v>46081</v>
      </c>
      <c r="B59" t="str">
        <f>'cal1'!I61</f>
        <v>비번</v>
      </c>
      <c r="C59" t="str">
        <f>IF(OR($B59="당직",$B59="야간"),'cal1'!AC61,IF($B59="주간",'cal1'!Q61,""))</f>
        <v/>
      </c>
      <c r="D59" t="str">
        <f>IF(OR($B59="당직",$B59="야간"),'cal1'!AD61,IF($B59="주간",'cal1'!R61,""))</f>
        <v/>
      </c>
      <c r="E59" t="str">
        <f>IF(OR($B59="당직",$B59="야간"),'cal1'!AE61,IF($B59="주간",'cal1'!S61,""))</f>
        <v/>
      </c>
      <c r="F59" t="str">
        <f>IF(OR($B59="당직",$B59="야간"),'cal1'!AF61,IF($B59="주간",'cal1'!T61,""))</f>
        <v/>
      </c>
      <c r="G59" t="str">
        <f>IF(OR($B59="당직",$B59="야간"),'cal1'!AG61,IF($B59="주간",'cal1'!U61,""))</f>
        <v/>
      </c>
      <c r="L59" t="str">
        <f>'cal1'!AJ61</f>
        <v/>
      </c>
      <c r="M59" t="str">
        <f t="shared" si="0"/>
        <v/>
      </c>
    </row>
    <row r="60" spans="1:13">
      <c r="A60" s="1">
        <f>'cal1'!B62</f>
        <v>46082</v>
      </c>
      <c r="B60" t="str">
        <f>'cal1'!I62</f>
        <v>휴무</v>
      </c>
      <c r="C60" t="str">
        <f>IF(OR($B60="당직",$B60="야간"),'cal1'!AC62,IF($B60="주간",'cal1'!Q62,""))</f>
        <v/>
      </c>
      <c r="D60" t="str">
        <f>IF(OR($B60="당직",$B60="야간"),'cal1'!AD62,IF($B60="주간",'cal1'!R62,""))</f>
        <v/>
      </c>
      <c r="E60" t="str">
        <f>IF(OR($B60="당직",$B60="야간"),'cal1'!AE62,IF($B60="주간",'cal1'!S62,""))</f>
        <v/>
      </c>
      <c r="F60" t="str">
        <f>IF(OR($B60="당직",$B60="야간"),'cal1'!AF62,IF($B60="주간",'cal1'!T62,""))</f>
        <v/>
      </c>
      <c r="G60" t="str">
        <f>IF(OR($B60="당직",$B60="야간"),'cal1'!AG62,IF($B60="주간",'cal1'!U62,""))</f>
        <v/>
      </c>
      <c r="L60" t="str">
        <f>'cal1'!AJ62</f>
        <v/>
      </c>
      <c r="M60" t="str">
        <f t="shared" si="0"/>
        <v/>
      </c>
    </row>
    <row r="61" spans="1:13">
      <c r="A61" s="1">
        <f>'cal1'!B63</f>
        <v>46083</v>
      </c>
      <c r="B61" t="str">
        <f>'cal1'!I63</f>
        <v>당직</v>
      </c>
      <c r="C61" t="str">
        <f>IF(OR($B61="당직",$B61="야간"),'cal1'!AC63,IF($B61="주간",'cal1'!Q63,""))</f>
        <v>허지웅</v>
      </c>
      <c r="D61" t="str">
        <f>IF(OR($B61="당직",$B61="야간"),'cal1'!AD63,IF($B61="주간",'cal1'!R63,""))</f>
        <v>정윤준</v>
      </c>
      <c r="E61" t="str">
        <f>IF(OR($B61="당직",$B61="야간"),'cal1'!AE63,IF($B61="주간",'cal1'!S63,""))</f>
        <v>이기수</v>
      </c>
      <c r="F61" t="str">
        <f>IF(OR($B61="당직",$B61="야간"),'cal1'!AF63,IF($B61="주간",'cal1'!T63,""))</f>
        <v>박성현</v>
      </c>
      <c r="G61" t="str">
        <f>IF(OR($B61="당직",$B61="야간"),'cal1'!AG63,IF($B61="주간",'cal1'!U63,""))</f>
        <v>허지웅</v>
      </c>
      <c r="L61" t="str">
        <f>'cal1'!AJ63</f>
        <v/>
      </c>
      <c r="M61" t="str">
        <f t="shared" si="0"/>
        <v>[오늘의_근무 3/2(월)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62" spans="1:13">
      <c r="A62" s="1">
        <f>'cal1'!B64</f>
        <v>46084</v>
      </c>
      <c r="B62" t="str">
        <f>'cal1'!I64</f>
        <v>비번</v>
      </c>
      <c r="C62" t="str">
        <f>IF(OR($B62="당직",$B62="야간"),'cal1'!AC64,IF($B62="주간",'cal1'!Q64,""))</f>
        <v/>
      </c>
      <c r="D62" t="str">
        <f>IF(OR($B62="당직",$B62="야간"),'cal1'!AD64,IF($B62="주간",'cal1'!R64,""))</f>
        <v/>
      </c>
      <c r="E62" t="str">
        <f>IF(OR($B62="당직",$B62="야간"),'cal1'!AE64,IF($B62="주간",'cal1'!S64,""))</f>
        <v/>
      </c>
      <c r="F62" t="str">
        <f>IF(OR($B62="당직",$B62="야간"),'cal1'!AF64,IF($B62="주간",'cal1'!T64,""))</f>
        <v/>
      </c>
      <c r="G62" t="str">
        <f>IF(OR($B62="당직",$B62="야간"),'cal1'!AG64,IF($B62="주간",'cal1'!U64,""))</f>
        <v/>
      </c>
      <c r="L62" t="str">
        <f>'cal1'!AJ64</f>
        <v/>
      </c>
      <c r="M62" t="str">
        <f t="shared" si="0"/>
        <v/>
      </c>
    </row>
    <row r="63" spans="1:13">
      <c r="A63" s="1">
        <f>'cal1'!B65</f>
        <v>46085</v>
      </c>
      <c r="B63" t="str">
        <f>'cal1'!I65</f>
        <v>주간</v>
      </c>
      <c r="C63" t="str">
        <f>IF(OR($B63="당직",$B63="야간"),'cal1'!AC65,IF($B63="주간",'cal1'!Q65,""))</f>
        <v>박성현</v>
      </c>
      <c r="D63" t="str">
        <f>IF(OR($B63="당직",$B63="야간"),'cal1'!AD65,IF($B63="주간",'cal1'!R65,""))</f>
        <v>허지웅</v>
      </c>
      <c r="E63" t="str">
        <f>IF(OR($B63="당직",$B63="야간"),'cal1'!AE65,IF($B63="주간",'cal1'!S65,""))</f>
        <v>정윤준</v>
      </c>
      <c r="F63" t="str">
        <f>IF(OR($B63="당직",$B63="야간"),'cal1'!AF65,IF($B63="주간",'cal1'!T65,""))</f>
        <v>이기수</v>
      </c>
      <c r="G63" t="e">
        <f>IF(OR($B63="당직",$B63="야간"),'cal1'!AG65,IF($B63="주간",'cal1'!U65,""))</f>
        <v>#VALUE!</v>
      </c>
      <c r="L63" t="str">
        <f>'cal1'!AJ65</f>
        <v/>
      </c>
      <c r="M63" t="str">
        <f t="shared" si="0"/>
        <v>[오늘의_근무 3/4(수)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64" spans="1:13">
      <c r="A64" s="1">
        <f>'cal1'!B66</f>
        <v>46086</v>
      </c>
      <c r="B64" t="str">
        <f>'cal1'!I66</f>
        <v>야간</v>
      </c>
      <c r="C64" t="str">
        <f>IF(OR($B64="당직",$B64="야간"),'cal1'!AC66,IF($B64="주간",'cal1'!Q66,""))</f>
        <v>박성현</v>
      </c>
      <c r="D64" t="str">
        <f>IF(OR($B64="당직",$B64="야간"),'cal1'!AD66,IF($B64="주간",'cal1'!R66,""))</f>
        <v>허지웅</v>
      </c>
      <c r="E64" t="str">
        <f>IF(OR($B64="당직",$B64="야간"),'cal1'!AE66,IF($B64="주간",'cal1'!S66,""))</f>
        <v>정윤준</v>
      </c>
      <c r="F64" t="str">
        <f>IF(OR($B64="당직",$B64="야간"),'cal1'!AF66,IF($B64="주간",'cal1'!T66,""))</f>
        <v>이기수</v>
      </c>
      <c r="G64" t="str">
        <f>IF(OR($B64="당직",$B64="야간"),'cal1'!AG66,IF($B64="주간",'cal1'!U66,""))</f>
        <v>장혁진</v>
      </c>
      <c r="L64" t="str">
        <f>'cal1'!AJ66</f>
        <v/>
      </c>
      <c r="M64" t="str">
        <f t="shared" si="0"/>
        <v>[오늘의_근무 3/5(목)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65" spans="1:13">
      <c r="A65" s="1">
        <f>'cal1'!B67</f>
        <v>46087</v>
      </c>
      <c r="B65" t="str">
        <f>'cal1'!I67</f>
        <v>비번</v>
      </c>
      <c r="C65" t="str">
        <f>IF(OR($B65="당직",$B65="야간"),'cal1'!AC67,IF($B65="주간",'cal1'!Q67,""))</f>
        <v/>
      </c>
      <c r="D65" t="str">
        <f>IF(OR($B65="당직",$B65="야간"),'cal1'!AD67,IF($B65="주간",'cal1'!R67,""))</f>
        <v/>
      </c>
      <c r="E65" t="str">
        <f>IF(OR($B65="당직",$B65="야간"),'cal1'!AE67,IF($B65="주간",'cal1'!S67,""))</f>
        <v/>
      </c>
      <c r="F65" t="str">
        <f>IF(OR($B65="당직",$B65="야간"),'cal1'!AF67,IF($B65="주간",'cal1'!T67,""))</f>
        <v/>
      </c>
      <c r="G65" t="str">
        <f>IF(OR($B65="당직",$B65="야간"),'cal1'!AG67,IF($B65="주간",'cal1'!U67,""))</f>
        <v/>
      </c>
      <c r="L65" t="str">
        <f>'cal1'!AJ67</f>
        <v/>
      </c>
      <c r="M65" t="str">
        <f t="shared" si="0"/>
        <v/>
      </c>
    </row>
    <row r="66" spans="1:13">
      <c r="A66" s="1">
        <f>'cal1'!B68</f>
        <v>46088</v>
      </c>
      <c r="B66" t="str">
        <f>'cal1'!I68</f>
        <v>휴무</v>
      </c>
      <c r="C66" t="str">
        <f>IF(OR($B66="당직",$B66="야간"),'cal1'!AC68,IF($B66="주간",'cal1'!Q68,""))</f>
        <v/>
      </c>
      <c r="D66" t="str">
        <f>IF(OR($B66="당직",$B66="야간"),'cal1'!AD68,IF($B66="주간",'cal1'!R68,""))</f>
        <v/>
      </c>
      <c r="E66" t="str">
        <f>IF(OR($B66="당직",$B66="야간"),'cal1'!AE68,IF($B66="주간",'cal1'!S68,""))</f>
        <v/>
      </c>
      <c r="F66" t="str">
        <f>IF(OR($B66="당직",$B66="야간"),'cal1'!AF68,IF($B66="주간",'cal1'!T68,""))</f>
        <v/>
      </c>
      <c r="G66" t="str">
        <f>IF(OR($B66="당직",$B66="야간"),'cal1'!AG68,IF($B66="주간",'cal1'!U68,""))</f>
        <v/>
      </c>
      <c r="L66" t="str">
        <f>'cal1'!AJ68</f>
        <v/>
      </c>
      <c r="M66" t="str">
        <f t="shared" ref="M66:M129" si="1">IF(C66="","","[오늘의_근무 " &amp; TEXT(A66,"m/d(aaa)") &amp; " - " &amp; B66 &amp; "]\n▸ 산업지원동 : " &amp; C66 &amp; "\n▸ 글로벌센터 : " &amp; D66 &amp; "\n▸ 외        곽1 : " &amp; E66 &amp; "\n▸ 외        곽2 : " &amp; F66 &amp; "\n\n-------------------------\n🏠 용역원실   : " &amp; L66 &amp; "\n-------------------------\n\n🔗 시간표 확인\nhttps://bio.oxisnail.top\nhttps://bio.oxisnail.top/timetable.html")</f>
        <v/>
      </c>
    </row>
    <row r="67" spans="1:13">
      <c r="A67" s="1">
        <f>'cal1'!B69</f>
        <v>46089</v>
      </c>
      <c r="B67" t="str">
        <f>'cal1'!I69</f>
        <v>당직</v>
      </c>
      <c r="C67" t="str">
        <f>IF(OR($B67="당직",$B67="야간"),'cal1'!AC69,IF($B67="주간",'cal1'!Q69,""))</f>
        <v>이기수</v>
      </c>
      <c r="D67" t="str">
        <f>IF(OR($B67="당직",$B67="야간"),'cal1'!AD69,IF($B67="주간",'cal1'!R69,""))</f>
        <v>박성현</v>
      </c>
      <c r="E67" t="str">
        <f>IF(OR($B67="당직",$B67="야간"),'cal1'!AE69,IF($B67="주간",'cal1'!S69,""))</f>
        <v>허지웅</v>
      </c>
      <c r="F67" t="str">
        <f>IF(OR($B67="당직",$B67="야간"),'cal1'!AF69,IF($B67="주간",'cal1'!T69,""))</f>
        <v>정윤준</v>
      </c>
      <c r="G67" t="str">
        <f>IF(OR($B67="당직",$B67="야간"),'cal1'!AG69,IF($B67="주간",'cal1'!U69,""))</f>
        <v>이기수</v>
      </c>
      <c r="L67" t="str">
        <f>'cal1'!AJ69</f>
        <v>허지웅</v>
      </c>
      <c r="M67" t="str">
        <f t="shared" si="1"/>
        <v>[오늘의_근무 3/8(일) - 당직]\n▸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68" spans="1:13">
      <c r="A68" s="1">
        <f>'cal1'!B70</f>
        <v>46090</v>
      </c>
      <c r="B68" t="str">
        <f>'cal1'!I70</f>
        <v>비번</v>
      </c>
      <c r="C68" t="str">
        <f>IF(OR($B68="당직",$B68="야간"),'cal1'!AC70,IF($B68="주간",'cal1'!Q70,""))</f>
        <v/>
      </c>
      <c r="D68" t="str">
        <f>IF(OR($B68="당직",$B68="야간"),'cal1'!AD70,IF($B68="주간",'cal1'!R70,""))</f>
        <v/>
      </c>
      <c r="E68" t="str">
        <f>IF(OR($B68="당직",$B68="야간"),'cal1'!AE70,IF($B68="주간",'cal1'!S70,""))</f>
        <v/>
      </c>
      <c r="F68" t="str">
        <f>IF(OR($B68="당직",$B68="야간"),'cal1'!AF70,IF($B68="주간",'cal1'!T70,""))</f>
        <v/>
      </c>
      <c r="G68" t="str">
        <f>IF(OR($B68="당직",$B68="야간"),'cal1'!AG70,IF($B68="주간",'cal1'!U70,""))</f>
        <v/>
      </c>
      <c r="L68" t="str">
        <f>'cal1'!AJ70</f>
        <v/>
      </c>
      <c r="M68" t="str">
        <f t="shared" si="1"/>
        <v/>
      </c>
    </row>
    <row r="69" spans="1:13">
      <c r="A69" s="1">
        <f>'cal1'!B71</f>
        <v>46091</v>
      </c>
      <c r="B69" t="str">
        <f>'cal1'!I71</f>
        <v>주간</v>
      </c>
      <c r="C69" t="str">
        <f>IF(OR($B69="당직",$B69="야간"),'cal1'!AC71,IF($B69="주간",'cal1'!Q71,""))</f>
        <v>이기수</v>
      </c>
      <c r="D69" t="str">
        <f>IF(OR($B69="당직",$B69="야간"),'cal1'!AD71,IF($B69="주간",'cal1'!R71,""))</f>
        <v>박성현</v>
      </c>
      <c r="E69" t="str">
        <f>IF(OR($B69="당직",$B69="야간"),'cal1'!AE71,IF($B69="주간",'cal1'!S71,""))</f>
        <v>허지웅</v>
      </c>
      <c r="F69" t="str">
        <f>IF(OR($B69="당직",$B69="야간"),'cal1'!AF71,IF($B69="주간",'cal1'!T71,""))</f>
        <v>정윤준</v>
      </c>
      <c r="G69" t="str">
        <f>IF(OR($B69="당직",$B69="야간"),'cal1'!AG71,IF($B69="주간",'cal1'!U71,""))</f>
        <v>장혁진</v>
      </c>
      <c r="L69" t="str">
        <f>'cal1'!AJ71</f>
        <v/>
      </c>
      <c r="M69" t="str">
        <f t="shared" si="1"/>
        <v>[오늘의_근무 3/10(화)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70" spans="1:13">
      <c r="A70" s="1">
        <f>'cal1'!B72</f>
        <v>46092</v>
      </c>
      <c r="B70" t="str">
        <f>'cal1'!I72</f>
        <v>야간</v>
      </c>
      <c r="C70" t="str">
        <f>IF(OR($B70="당직",$B70="야간"),'cal1'!AC72,IF($B70="주간",'cal1'!Q72,""))</f>
        <v>정윤준</v>
      </c>
      <c r="D70" t="str">
        <f>IF(OR($B70="당직",$B70="야간"),'cal1'!AD72,IF($B70="주간",'cal1'!R72,""))</f>
        <v>이기수</v>
      </c>
      <c r="E70" t="str">
        <f>IF(OR($B70="당직",$B70="야간"),'cal1'!AE72,IF($B70="주간",'cal1'!S72,""))</f>
        <v>박성현</v>
      </c>
      <c r="F70" t="str">
        <f>IF(OR($B70="당직",$B70="야간"),'cal1'!AF72,IF($B70="주간",'cal1'!T72,""))</f>
        <v>허지웅</v>
      </c>
      <c r="G70" t="e">
        <f>IF(OR($B70="당직",$B70="야간"),'cal1'!AG72,IF($B70="주간",'cal1'!U72,""))</f>
        <v>#VALUE!</v>
      </c>
      <c r="L70" t="str">
        <f>'cal1'!AJ72</f>
        <v/>
      </c>
      <c r="M70" t="str">
        <f t="shared" si="1"/>
        <v>[오늘의_근무 3/11(수)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71" spans="1:13">
      <c r="A71" s="1">
        <f>'cal1'!B73</f>
        <v>46093</v>
      </c>
      <c r="B71" t="str">
        <f>'cal1'!I73</f>
        <v>비번</v>
      </c>
      <c r="C71" t="str">
        <f>IF(OR($B71="당직",$B71="야간"),'cal1'!AC73,IF($B71="주간",'cal1'!Q73,""))</f>
        <v/>
      </c>
      <c r="D71" t="str">
        <f>IF(OR($B71="당직",$B71="야간"),'cal1'!AD73,IF($B71="주간",'cal1'!R73,""))</f>
        <v/>
      </c>
      <c r="E71" t="str">
        <f>IF(OR($B71="당직",$B71="야간"),'cal1'!AE73,IF($B71="주간",'cal1'!S73,""))</f>
        <v/>
      </c>
      <c r="F71" t="str">
        <f>IF(OR($B71="당직",$B71="야간"),'cal1'!AF73,IF($B71="주간",'cal1'!T73,""))</f>
        <v/>
      </c>
      <c r="G71" t="str">
        <f>IF(OR($B71="당직",$B71="야간"),'cal1'!AG73,IF($B71="주간",'cal1'!U73,""))</f>
        <v/>
      </c>
      <c r="L71" t="str">
        <f>'cal1'!AJ73</f>
        <v/>
      </c>
      <c r="M71" t="str">
        <f t="shared" si="1"/>
        <v/>
      </c>
    </row>
    <row r="72" spans="1:13">
      <c r="A72" s="1">
        <f>'cal1'!B74</f>
        <v>46094</v>
      </c>
      <c r="B72" t="str">
        <f>'cal1'!I74</f>
        <v>주간</v>
      </c>
      <c r="C72" t="str">
        <f>IF(OR($B72="당직",$B72="야간"),'cal1'!AC74,IF($B72="주간",'cal1'!Q74,""))</f>
        <v>정윤준</v>
      </c>
      <c r="D72" t="str">
        <f>IF(OR($B72="당직",$B72="야간"),'cal1'!AD74,IF($B72="주간",'cal1'!R74,""))</f>
        <v>이기수</v>
      </c>
      <c r="E72" t="str">
        <f>IF(OR($B72="당직",$B72="야간"),'cal1'!AE74,IF($B72="주간",'cal1'!S74,""))</f>
        <v>박성현</v>
      </c>
      <c r="F72" t="str">
        <f>IF(OR($B72="당직",$B72="야간"),'cal1'!AF74,IF($B72="주간",'cal1'!T74,""))</f>
        <v>허지웅</v>
      </c>
      <c r="G72" t="str">
        <f>IF(OR($B72="당직",$B72="야간"),'cal1'!AG74,IF($B72="주간",'cal1'!U74,""))</f>
        <v>이기수</v>
      </c>
      <c r="L72" t="str">
        <f>'cal1'!AJ74</f>
        <v/>
      </c>
      <c r="M72" t="str">
        <f t="shared" si="1"/>
        <v>[오늘의_근무 3/13(금)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73" spans="1:13">
      <c r="A73" s="1">
        <f>'cal1'!B75</f>
        <v>46095</v>
      </c>
      <c r="B73" t="str">
        <f>'cal1'!I75</f>
        <v>당직</v>
      </c>
      <c r="C73" t="str">
        <f>IF(OR($B73="당직",$B73="야간"),'cal1'!AC75,IF($B73="주간",'cal1'!Q75,""))</f>
        <v>허지웅</v>
      </c>
      <c r="D73" t="str">
        <f>IF(OR($B73="당직",$B73="야간"),'cal1'!AD75,IF($B73="주간",'cal1'!R75,""))</f>
        <v>정윤준</v>
      </c>
      <c r="E73" t="str">
        <f>IF(OR($B73="당직",$B73="야간"),'cal1'!AE75,IF($B73="주간",'cal1'!S75,""))</f>
        <v>이기수</v>
      </c>
      <c r="F73" t="str">
        <f>IF(OR($B73="당직",$B73="야간"),'cal1'!AF75,IF($B73="주간",'cal1'!T75,""))</f>
        <v>박성현</v>
      </c>
      <c r="G73" t="str">
        <f>IF(OR($B73="당직",$B73="야간"),'cal1'!AG75,IF($B73="주간",'cal1'!U75,""))</f>
        <v>정윤준</v>
      </c>
      <c r="L73" t="str">
        <f>'cal1'!AJ75</f>
        <v/>
      </c>
      <c r="M73" t="str">
        <f t="shared" si="1"/>
        <v>[오늘의_근무 3/14(토)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74" spans="1:13">
      <c r="A74" s="1">
        <f>'cal1'!B76</f>
        <v>46096</v>
      </c>
      <c r="B74" t="str">
        <f>'cal1'!I76</f>
        <v>비번</v>
      </c>
      <c r="C74" t="str">
        <f>IF(OR($B74="당직",$B74="야간"),'cal1'!AC76,IF($B74="주간",'cal1'!Q76,""))</f>
        <v/>
      </c>
      <c r="D74" t="str">
        <f>IF(OR($B74="당직",$B74="야간"),'cal1'!AD76,IF($B74="주간",'cal1'!R76,""))</f>
        <v/>
      </c>
      <c r="E74" t="str">
        <f>IF(OR($B74="당직",$B74="야간"),'cal1'!AE76,IF($B74="주간",'cal1'!S76,""))</f>
        <v/>
      </c>
      <c r="F74" t="str">
        <f>IF(OR($B74="당직",$B74="야간"),'cal1'!AF76,IF($B74="주간",'cal1'!T76,""))</f>
        <v/>
      </c>
      <c r="G74" t="str">
        <f>IF(OR($B74="당직",$B74="야간"),'cal1'!AG76,IF($B74="주간",'cal1'!U76,""))</f>
        <v/>
      </c>
      <c r="L74" t="str">
        <f>'cal1'!AJ76</f>
        <v/>
      </c>
      <c r="M74" t="str">
        <f t="shared" si="1"/>
        <v/>
      </c>
    </row>
    <row r="75" spans="1:13">
      <c r="A75" s="1">
        <f>'cal1'!B77</f>
        <v>46097</v>
      </c>
      <c r="B75" t="str">
        <f>'cal1'!I77</f>
        <v>주간</v>
      </c>
      <c r="C75" t="str">
        <f>IF(OR($B75="당직",$B75="야간"),'cal1'!AC77,IF($B75="주간",'cal1'!Q77,""))</f>
        <v>허지웅</v>
      </c>
      <c r="D75" t="str">
        <f>IF(OR($B75="당직",$B75="야간"),'cal1'!AD77,IF($B75="주간",'cal1'!R77,""))</f>
        <v>정윤준</v>
      </c>
      <c r="E75" t="str">
        <f>IF(OR($B75="당직",$B75="야간"),'cal1'!AE77,IF($B75="주간",'cal1'!S77,""))</f>
        <v>이기수</v>
      </c>
      <c r="F75" t="str">
        <f>IF(OR($B75="당직",$B75="야간"),'cal1'!AF77,IF($B75="주간",'cal1'!T77,""))</f>
        <v>박성현</v>
      </c>
      <c r="G75" t="str">
        <f>IF(OR($B75="당직",$B75="야간"),'cal1'!AG77,IF($B75="주간",'cal1'!U77,""))</f>
        <v>정윤준</v>
      </c>
      <c r="L75" t="str">
        <f>'cal1'!AJ77</f>
        <v/>
      </c>
      <c r="M75" t="str">
        <f t="shared" si="1"/>
        <v>[오늘의_근무 3/16(월)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76" spans="1:13">
      <c r="A76" s="1">
        <f>'cal1'!B78</f>
        <v>46098</v>
      </c>
      <c r="B76" t="str">
        <f>'cal1'!I78</f>
        <v>야간</v>
      </c>
      <c r="C76" t="str">
        <f>IF(OR($B76="당직",$B76="야간"),'cal1'!AC78,IF($B76="주간",'cal1'!Q78,""))</f>
        <v>박성현</v>
      </c>
      <c r="D76" t="str">
        <f>IF(OR($B76="당직",$B76="야간"),'cal1'!AD78,IF($B76="주간",'cal1'!R78,""))</f>
        <v>허지웅</v>
      </c>
      <c r="E76" t="str">
        <f>IF(OR($B76="당직",$B76="야간"),'cal1'!AE78,IF($B76="주간",'cal1'!S78,""))</f>
        <v>정윤준</v>
      </c>
      <c r="F76" t="str">
        <f>IF(OR($B76="당직",$B76="야간"),'cal1'!AF78,IF($B76="주간",'cal1'!T78,""))</f>
        <v>이기수</v>
      </c>
      <c r="G76" t="str">
        <f>IF(OR($B76="당직",$B76="야간"),'cal1'!AG78,IF($B76="주간",'cal1'!U78,""))</f>
        <v>허지웅</v>
      </c>
      <c r="L76" t="str">
        <f>'cal1'!AJ78</f>
        <v/>
      </c>
      <c r="M76" t="str">
        <f t="shared" si="1"/>
        <v>[오늘의_근무 3/17(화)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77" spans="1:13">
      <c r="A77" s="1">
        <f>'cal1'!B79</f>
        <v>46099</v>
      </c>
      <c r="B77" t="str">
        <f>'cal1'!I79</f>
        <v>비번</v>
      </c>
      <c r="C77" t="str">
        <f>IF(OR($B77="당직",$B77="야간"),'cal1'!AC79,IF($B77="주간",'cal1'!Q79,""))</f>
        <v/>
      </c>
      <c r="D77" t="str">
        <f>IF(OR($B77="당직",$B77="야간"),'cal1'!AD79,IF($B77="주간",'cal1'!R79,""))</f>
        <v/>
      </c>
      <c r="E77" t="str">
        <f>IF(OR($B77="당직",$B77="야간"),'cal1'!AE79,IF($B77="주간",'cal1'!S79,""))</f>
        <v/>
      </c>
      <c r="F77" t="str">
        <f>IF(OR($B77="당직",$B77="야간"),'cal1'!AF79,IF($B77="주간",'cal1'!T79,""))</f>
        <v/>
      </c>
      <c r="G77" t="str">
        <f>IF(OR($B77="당직",$B77="야간"),'cal1'!AG79,IF($B77="주간",'cal1'!U79,""))</f>
        <v/>
      </c>
      <c r="L77" t="str">
        <f>'cal1'!AJ79</f>
        <v/>
      </c>
      <c r="M77" t="str">
        <f t="shared" si="1"/>
        <v/>
      </c>
    </row>
    <row r="78" spans="1:13">
      <c r="A78" s="1">
        <f>'cal1'!B80</f>
        <v>46100</v>
      </c>
      <c r="B78" t="str">
        <f>'cal1'!I80</f>
        <v>주간</v>
      </c>
      <c r="C78" t="str">
        <f>IF(OR($B78="당직",$B78="야간"),'cal1'!AC80,IF($B78="주간",'cal1'!Q80,""))</f>
        <v>박성현</v>
      </c>
      <c r="D78" t="str">
        <f>IF(OR($B78="당직",$B78="야간"),'cal1'!AD80,IF($B78="주간",'cal1'!R80,""))</f>
        <v>허지웅</v>
      </c>
      <c r="E78" t="str">
        <f>IF(OR($B78="당직",$B78="야간"),'cal1'!AE80,IF($B78="주간",'cal1'!S80,""))</f>
        <v>정윤준</v>
      </c>
      <c r="F78" t="str">
        <f>IF(OR($B78="당직",$B78="야간"),'cal1'!AF80,IF($B78="주간",'cal1'!T80,""))</f>
        <v>이기수</v>
      </c>
      <c r="G78" t="str">
        <f>IF(OR($B78="당직",$B78="야간"),'cal1'!AG80,IF($B78="주간",'cal1'!U80,""))</f>
        <v>허지웅</v>
      </c>
      <c r="L78" t="str">
        <f>'cal1'!AJ80</f>
        <v/>
      </c>
      <c r="M78" t="str">
        <f t="shared" si="1"/>
        <v>[오늘의_근무 3/19(목)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79" spans="1:13">
      <c r="A79" s="1">
        <f>'cal1'!B81</f>
        <v>46101</v>
      </c>
      <c r="B79" t="str">
        <f>'cal1'!I81</f>
        <v>야간</v>
      </c>
      <c r="C79" t="str">
        <f>IF(OR($B79="당직",$B79="야간"),'cal1'!AC81,IF($B79="주간",'cal1'!Q81,""))</f>
        <v>이기수</v>
      </c>
      <c r="D79" t="str">
        <f>IF(OR($B79="당직",$B79="야간"),'cal1'!AD81,IF($B79="주간",'cal1'!R81,""))</f>
        <v>박성현</v>
      </c>
      <c r="E79" t="str">
        <f>IF(OR($B79="당직",$B79="야간"),'cal1'!AE81,IF($B79="주간",'cal1'!S81,""))</f>
        <v>허지웅</v>
      </c>
      <c r="F79" t="str">
        <f>IF(OR($B79="당직",$B79="야간"),'cal1'!AF81,IF($B79="주간",'cal1'!T81,""))</f>
        <v>정윤준</v>
      </c>
      <c r="G79" t="str">
        <f>IF(OR($B79="당직",$B79="야간"),'cal1'!AG81,IF($B79="주간",'cal1'!U81,""))</f>
        <v>장혁진</v>
      </c>
      <c r="L79" t="str">
        <f>'cal1'!AJ81</f>
        <v>정윤준</v>
      </c>
      <c r="M79" t="str">
        <f t="shared" si="1"/>
        <v>[오늘의_근무 3/20(금)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80" spans="1:13">
      <c r="A80" s="1">
        <f>'cal1'!B82</f>
        <v>46102</v>
      </c>
      <c r="B80" t="str">
        <f>'cal1'!I82</f>
        <v>비번</v>
      </c>
      <c r="C80" t="str">
        <f>IF(OR($B80="당직",$B80="야간"),'cal1'!AC82,IF($B80="주간",'cal1'!Q82,""))</f>
        <v/>
      </c>
      <c r="D80" t="str">
        <f>IF(OR($B80="당직",$B80="야간"),'cal1'!AD82,IF($B80="주간",'cal1'!R82,""))</f>
        <v/>
      </c>
      <c r="E80" t="str">
        <f>IF(OR($B80="당직",$B80="야간"),'cal1'!AE82,IF($B80="주간",'cal1'!S82,""))</f>
        <v/>
      </c>
      <c r="F80" t="str">
        <f>IF(OR($B80="당직",$B80="야간"),'cal1'!AF82,IF($B80="주간",'cal1'!T82,""))</f>
        <v/>
      </c>
      <c r="G80" t="str">
        <f>IF(OR($B80="당직",$B80="야간"),'cal1'!AG82,IF($B80="주간",'cal1'!U82,""))</f>
        <v/>
      </c>
      <c r="L80" t="str">
        <f>'cal1'!AJ82</f>
        <v/>
      </c>
      <c r="M80" t="str">
        <f t="shared" si="1"/>
        <v/>
      </c>
    </row>
    <row r="81" spans="1:13">
      <c r="A81" s="1">
        <f>'cal1'!B83</f>
        <v>46103</v>
      </c>
      <c r="B81" t="str">
        <f>'cal1'!I83</f>
        <v>휴무</v>
      </c>
      <c r="C81" t="str">
        <f>IF(OR($B81="당직",$B81="야간"),'cal1'!AC83,IF($B81="주간",'cal1'!Q83,""))</f>
        <v/>
      </c>
      <c r="D81" t="str">
        <f>IF(OR($B81="당직",$B81="야간"),'cal1'!AD83,IF($B81="주간",'cal1'!R83,""))</f>
        <v/>
      </c>
      <c r="E81" t="str">
        <f>IF(OR($B81="당직",$B81="야간"),'cal1'!AE83,IF($B81="주간",'cal1'!S83,""))</f>
        <v/>
      </c>
      <c r="F81" t="str">
        <f>IF(OR($B81="당직",$B81="야간"),'cal1'!AF83,IF($B81="주간",'cal1'!T83,""))</f>
        <v/>
      </c>
      <c r="G81" t="str">
        <f>IF(OR($B81="당직",$B81="야간"),'cal1'!AG83,IF($B81="주간",'cal1'!U83,""))</f>
        <v/>
      </c>
      <c r="L81" t="str">
        <f>'cal1'!AJ83</f>
        <v/>
      </c>
      <c r="M81" t="str">
        <f t="shared" si="1"/>
        <v/>
      </c>
    </row>
    <row r="82" spans="1:13">
      <c r="A82" s="1">
        <f>'cal1'!B84</f>
        <v>46104</v>
      </c>
      <c r="B82" t="str">
        <f>'cal1'!I84</f>
        <v>야간</v>
      </c>
      <c r="C82" t="str">
        <f>IF(OR($B82="당직",$B82="야간"),'cal1'!AC84,IF($B82="주간",'cal1'!Q84,""))</f>
        <v>정윤준</v>
      </c>
      <c r="D82" t="str">
        <f>IF(OR($B82="당직",$B82="야간"),'cal1'!AD84,IF($B82="주간",'cal1'!R84,""))</f>
        <v>이기수</v>
      </c>
      <c r="E82" t="str">
        <f>IF(OR($B82="당직",$B82="야간"),'cal1'!AE84,IF($B82="주간",'cal1'!S84,""))</f>
        <v>박성현</v>
      </c>
      <c r="F82" t="str">
        <f>IF(OR($B82="당직",$B82="야간"),'cal1'!AF84,IF($B82="주간",'cal1'!T84,""))</f>
        <v>허지웅</v>
      </c>
      <c r="G82" t="str">
        <f>IF(OR($B82="당직",$B82="야간"),'cal1'!AG84,IF($B82="주간",'cal1'!U84,""))</f>
        <v>이기수</v>
      </c>
      <c r="L82" t="str">
        <f>'cal1'!AJ84</f>
        <v/>
      </c>
      <c r="M82" t="str">
        <f t="shared" si="1"/>
        <v>[오늘의_근무 3/23(월)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83" spans="1:13">
      <c r="A83" s="1">
        <f>'cal1'!B85</f>
        <v>46105</v>
      </c>
      <c r="B83" t="str">
        <f>'cal1'!I85</f>
        <v>비번</v>
      </c>
      <c r="C83" t="str">
        <f>IF(OR($B83="당직",$B83="야간"),'cal1'!AC85,IF($B83="주간",'cal1'!Q85,""))</f>
        <v/>
      </c>
      <c r="D83" t="str">
        <f>IF(OR($B83="당직",$B83="야간"),'cal1'!AD85,IF($B83="주간",'cal1'!R85,""))</f>
        <v/>
      </c>
      <c r="E83" t="str">
        <f>IF(OR($B83="당직",$B83="야간"),'cal1'!AE85,IF($B83="주간",'cal1'!S85,""))</f>
        <v/>
      </c>
      <c r="F83" t="str">
        <f>IF(OR($B83="당직",$B83="야간"),'cal1'!AF85,IF($B83="주간",'cal1'!T85,""))</f>
        <v/>
      </c>
      <c r="G83" t="str">
        <f>IF(OR($B83="당직",$B83="야간"),'cal1'!AG85,IF($B83="주간",'cal1'!U85,""))</f>
        <v/>
      </c>
      <c r="L83" t="str">
        <f>'cal1'!AJ85</f>
        <v/>
      </c>
      <c r="M83" t="str">
        <f t="shared" si="1"/>
        <v/>
      </c>
    </row>
    <row r="84" spans="1:13">
      <c r="A84" s="1">
        <f>'cal1'!B86</f>
        <v>46106</v>
      </c>
      <c r="B84" t="str">
        <f>'cal1'!I86</f>
        <v>주간</v>
      </c>
      <c r="C84" t="str">
        <f>IF(OR($B84="당직",$B84="야간"),'cal1'!AC86,IF($B84="주간",'cal1'!Q86,""))</f>
        <v>이기수</v>
      </c>
      <c r="D84" t="str">
        <f>IF(OR($B84="당직",$B84="야간"),'cal1'!AD86,IF($B84="주간",'cal1'!R86,""))</f>
        <v>박성현</v>
      </c>
      <c r="E84" t="str">
        <f>IF(OR($B84="당직",$B84="야간"),'cal1'!AE86,IF($B84="주간",'cal1'!S86,""))</f>
        <v>허지웅</v>
      </c>
      <c r="F84" t="str">
        <f>IF(OR($B84="당직",$B84="야간"),'cal1'!AF86,IF($B84="주간",'cal1'!T86,""))</f>
        <v>정윤준</v>
      </c>
      <c r="G84" t="e">
        <f>IF(OR($B84="당직",$B84="야간"),'cal1'!AG86,IF($B84="주간",'cal1'!U86,""))</f>
        <v>#VALUE!</v>
      </c>
      <c r="L84" t="str">
        <f>'cal1'!AJ86</f>
        <v/>
      </c>
      <c r="M84" t="str">
        <f t="shared" si="1"/>
        <v>[오늘의_근무 3/25(수)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85" spans="1:13">
      <c r="A85" s="1">
        <f>'cal1'!B87</f>
        <v>46107</v>
      </c>
      <c r="B85" t="str">
        <f>'cal1'!I87</f>
        <v>야간</v>
      </c>
      <c r="C85" t="str">
        <f>IF(OR($B85="당직",$B85="야간"),'cal1'!AC87,IF($B85="주간",'cal1'!Q87,""))</f>
        <v>허지웅</v>
      </c>
      <c r="D85" t="str">
        <f>IF(OR($B85="당직",$B85="야간"),'cal1'!AD87,IF($B85="주간",'cal1'!R87,""))</f>
        <v>정윤준</v>
      </c>
      <c r="E85" t="str">
        <f>IF(OR($B85="당직",$B85="야간"),'cal1'!AE87,IF($B85="주간",'cal1'!S87,""))</f>
        <v>이기수</v>
      </c>
      <c r="F85" t="str">
        <f>IF(OR($B85="당직",$B85="야간"),'cal1'!AF87,IF($B85="주간",'cal1'!T87,""))</f>
        <v>박성현</v>
      </c>
      <c r="G85" t="e">
        <f>IF(OR($B85="당직",$B85="야간"),'cal1'!AG87,IF($B85="주간",'cal1'!U87,""))</f>
        <v>#VALUE!</v>
      </c>
      <c r="L85" t="str">
        <f>'cal1'!AJ87</f>
        <v/>
      </c>
      <c r="M85" t="str">
        <f t="shared" si="1"/>
        <v>[오늘의_근무 3/26(목)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86" spans="1:13">
      <c r="A86" s="1">
        <f>'cal1'!B88</f>
        <v>46108</v>
      </c>
      <c r="B86" t="str">
        <f>'cal1'!I88</f>
        <v>비번</v>
      </c>
      <c r="C86" t="str">
        <f>IF(OR($B86="당직",$B86="야간"),'cal1'!AC88,IF($B86="주간",'cal1'!Q88,""))</f>
        <v/>
      </c>
      <c r="D86" t="str">
        <f>IF(OR($B86="당직",$B86="야간"),'cal1'!AD88,IF($B86="주간",'cal1'!R88,""))</f>
        <v/>
      </c>
      <c r="E86" t="str">
        <f>IF(OR($B86="당직",$B86="야간"),'cal1'!AE88,IF($B86="주간",'cal1'!S88,""))</f>
        <v/>
      </c>
      <c r="F86" t="str">
        <f>IF(OR($B86="당직",$B86="야간"),'cal1'!AF88,IF($B86="주간",'cal1'!T88,""))</f>
        <v/>
      </c>
      <c r="G86" t="str">
        <f>IF(OR($B86="당직",$B86="야간"),'cal1'!AG88,IF($B86="주간",'cal1'!U88,""))</f>
        <v/>
      </c>
      <c r="L86" t="str">
        <f>'cal1'!AJ88</f>
        <v/>
      </c>
      <c r="M86" t="str">
        <f t="shared" si="1"/>
        <v/>
      </c>
    </row>
    <row r="87" spans="1:13">
      <c r="A87" s="1">
        <f>'cal1'!B89</f>
        <v>46109</v>
      </c>
      <c r="B87" t="str">
        <f>'cal1'!I89</f>
        <v>휴무</v>
      </c>
      <c r="C87" t="str">
        <f>IF(OR($B87="당직",$B87="야간"),'cal1'!AC89,IF($B87="주간",'cal1'!Q89,""))</f>
        <v/>
      </c>
      <c r="D87" t="str">
        <f>IF(OR($B87="당직",$B87="야간"),'cal1'!AD89,IF($B87="주간",'cal1'!R89,""))</f>
        <v/>
      </c>
      <c r="E87" t="str">
        <f>IF(OR($B87="당직",$B87="야간"),'cal1'!AE89,IF($B87="주간",'cal1'!S89,""))</f>
        <v/>
      </c>
      <c r="F87" t="str">
        <f>IF(OR($B87="당직",$B87="야간"),'cal1'!AF89,IF($B87="주간",'cal1'!T89,""))</f>
        <v/>
      </c>
      <c r="G87" t="str">
        <f>IF(OR($B87="당직",$B87="야간"),'cal1'!AG89,IF($B87="주간",'cal1'!U89,""))</f>
        <v/>
      </c>
      <c r="L87" t="str">
        <f>'cal1'!AJ89</f>
        <v/>
      </c>
      <c r="M87" t="str">
        <f t="shared" si="1"/>
        <v/>
      </c>
    </row>
    <row r="88" spans="1:13">
      <c r="A88" s="1">
        <f>'cal1'!B90</f>
        <v>46110</v>
      </c>
      <c r="B88" t="str">
        <f>'cal1'!I90</f>
        <v>당직</v>
      </c>
      <c r="C88" t="str">
        <f>IF(OR($B88="당직",$B88="야간"),'cal1'!AC90,IF($B88="주간",'cal1'!Q90,""))</f>
        <v>박성현</v>
      </c>
      <c r="D88" t="str">
        <f>IF(OR($B88="당직",$B88="야간"),'cal1'!AD90,IF($B88="주간",'cal1'!R90,""))</f>
        <v>허지웅</v>
      </c>
      <c r="E88" t="str">
        <f>IF(OR($B88="당직",$B88="야간"),'cal1'!AE90,IF($B88="주간",'cal1'!S90,""))</f>
        <v>정윤준</v>
      </c>
      <c r="F88" t="str">
        <f>IF(OR($B88="당직",$B88="야간"),'cal1'!AF90,IF($B88="주간",'cal1'!T90,""))</f>
        <v>이기수</v>
      </c>
      <c r="G88" t="str">
        <f>IF(OR($B88="당직",$B88="야간"),'cal1'!AG90,IF($B88="주간",'cal1'!U90,""))</f>
        <v>정윤준</v>
      </c>
      <c r="L88" t="str">
        <f>'cal1'!AJ90</f>
        <v/>
      </c>
      <c r="M88" t="str">
        <f t="shared" si="1"/>
        <v>[오늘의_근무 3/29(일)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89" spans="1:13">
      <c r="A89" s="1">
        <f>'cal1'!B91</f>
        <v>46111</v>
      </c>
      <c r="B89" t="str">
        <f>'cal1'!I91</f>
        <v>비번</v>
      </c>
      <c r="C89" t="str">
        <f>IF(OR($B89="당직",$B89="야간"),'cal1'!AC91,IF($B89="주간",'cal1'!Q91,""))</f>
        <v/>
      </c>
      <c r="D89" t="str">
        <f>IF(OR($B89="당직",$B89="야간"),'cal1'!AD91,IF($B89="주간",'cal1'!R91,""))</f>
        <v/>
      </c>
      <c r="E89" t="str">
        <f>IF(OR($B89="당직",$B89="야간"),'cal1'!AE91,IF($B89="주간",'cal1'!S91,""))</f>
        <v/>
      </c>
      <c r="F89" t="str">
        <f>IF(OR($B89="당직",$B89="야간"),'cal1'!AF91,IF($B89="주간",'cal1'!T91,""))</f>
        <v/>
      </c>
      <c r="G89" t="str">
        <f>IF(OR($B89="당직",$B89="야간"),'cal1'!AG91,IF($B89="주간",'cal1'!U91,""))</f>
        <v/>
      </c>
      <c r="L89" t="str">
        <f>'cal1'!AJ91</f>
        <v/>
      </c>
      <c r="M89" t="str">
        <f t="shared" si="1"/>
        <v/>
      </c>
    </row>
    <row r="90" spans="1:13">
      <c r="A90" s="1">
        <f>'cal1'!B92</f>
        <v>46112</v>
      </c>
      <c r="B90" t="str">
        <f>'cal1'!I92</f>
        <v>주간</v>
      </c>
      <c r="C90" t="str">
        <f>IF(OR($B90="당직",$B90="야간"),'cal1'!AC92,IF($B90="주간",'cal1'!Q92,""))</f>
        <v>정윤준</v>
      </c>
      <c r="D90" t="str">
        <f>IF(OR($B90="당직",$B90="야간"),'cal1'!AD92,IF($B90="주간",'cal1'!R92,""))</f>
        <v>이기수</v>
      </c>
      <c r="E90" t="str">
        <f>IF(OR($B90="당직",$B90="야간"),'cal1'!AE92,IF($B90="주간",'cal1'!S92,""))</f>
        <v>박성현</v>
      </c>
      <c r="F90" t="str">
        <f>IF(OR($B90="당직",$B90="야간"),'cal1'!AF92,IF($B90="주간",'cal1'!T92,""))</f>
        <v>허지웅</v>
      </c>
      <c r="G90" t="str">
        <f>IF(OR($B90="당직",$B90="야간"),'cal1'!AG92,IF($B90="주간",'cal1'!U92,""))</f>
        <v>장혁진</v>
      </c>
      <c r="L90" t="str">
        <f>'cal1'!AJ92</f>
        <v/>
      </c>
      <c r="M90" t="str">
        <f t="shared" si="1"/>
        <v>[오늘의_근무 3/31(화)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91" spans="1:13">
      <c r="A91" s="1">
        <f>'cal1'!B93</f>
        <v>46113</v>
      </c>
      <c r="B91" t="str">
        <f>'cal1'!I93</f>
        <v>야간</v>
      </c>
      <c r="C91" t="str">
        <f>IF(OR($B91="당직",$B91="야간"),'cal1'!AC93,IF($B91="주간",'cal1'!Q93,""))</f>
        <v>이기수</v>
      </c>
      <c r="D91" t="str">
        <f>IF(OR($B91="당직",$B91="야간"),'cal1'!AD93,IF($B91="주간",'cal1'!R93,""))</f>
        <v>박성현</v>
      </c>
      <c r="E91" t="str">
        <f>IF(OR($B91="당직",$B91="야간"),'cal1'!AE93,IF($B91="주간",'cal1'!S93,""))</f>
        <v>허지웅</v>
      </c>
      <c r="F91" t="str">
        <f>IF(OR($B91="당직",$B91="야간"),'cal1'!AF93,IF($B91="주간",'cal1'!T93,""))</f>
        <v>정윤준</v>
      </c>
      <c r="G91" t="str">
        <f>IF(OR($B91="당직",$B91="야간"),'cal1'!AG93,IF($B91="주간",'cal1'!U93,""))</f>
        <v>허지웅</v>
      </c>
      <c r="L91" t="str">
        <f>'cal1'!AJ93</f>
        <v>허지웅</v>
      </c>
      <c r="M91" t="str">
        <f t="shared" si="1"/>
        <v>[오늘의_근무 4/1(수)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92" spans="1:13">
      <c r="A92" s="1">
        <f>'cal1'!B94</f>
        <v>46114</v>
      </c>
      <c r="B92" t="str">
        <f>'cal1'!I94</f>
        <v>비번</v>
      </c>
      <c r="C92" t="str">
        <f>IF(OR($B92="당직",$B92="야간"),'cal1'!AC94,IF($B92="주간",'cal1'!Q94,""))</f>
        <v/>
      </c>
      <c r="D92" t="str">
        <f>IF(OR($B92="당직",$B92="야간"),'cal1'!AD94,IF($B92="주간",'cal1'!R94,""))</f>
        <v/>
      </c>
      <c r="E92" t="str">
        <f>IF(OR($B92="당직",$B92="야간"),'cal1'!AE94,IF($B92="주간",'cal1'!S94,""))</f>
        <v/>
      </c>
      <c r="F92" t="str">
        <f>IF(OR($B92="당직",$B92="야간"),'cal1'!AF94,IF($B92="주간",'cal1'!T94,""))</f>
        <v/>
      </c>
      <c r="G92" t="str">
        <f>IF(OR($B92="당직",$B92="야간"),'cal1'!AG94,IF($B92="주간",'cal1'!U94,""))</f>
        <v/>
      </c>
      <c r="L92" t="str">
        <f>'cal1'!AJ94</f>
        <v/>
      </c>
      <c r="M92" t="str">
        <f t="shared" si="1"/>
        <v/>
      </c>
    </row>
    <row r="93" spans="1:13">
      <c r="A93" s="1">
        <f>'cal1'!B95</f>
        <v>46115</v>
      </c>
      <c r="B93" t="str">
        <f>'cal1'!I95</f>
        <v>주간</v>
      </c>
      <c r="C93" t="str">
        <f>IF(OR($B93="당직",$B93="야간"),'cal1'!AC95,IF($B93="주간",'cal1'!Q95,""))</f>
        <v>허지웅</v>
      </c>
      <c r="D93" t="str">
        <f>IF(OR($B93="당직",$B93="야간"),'cal1'!AD95,IF($B93="주간",'cal1'!R95,""))</f>
        <v>정윤준</v>
      </c>
      <c r="E93" t="str">
        <f>IF(OR($B93="당직",$B93="야간"),'cal1'!AE95,IF($B93="주간",'cal1'!S95,""))</f>
        <v>이기수</v>
      </c>
      <c r="F93" t="str">
        <f>IF(OR($B93="당직",$B93="야간"),'cal1'!AF95,IF($B93="주간",'cal1'!T95,""))</f>
        <v>박성현</v>
      </c>
      <c r="G93" t="str">
        <f>IF(OR($B93="당직",$B93="야간"),'cal1'!AG95,IF($B93="주간",'cal1'!U95,""))</f>
        <v>이기수</v>
      </c>
      <c r="L93" t="str">
        <f>'cal1'!AJ95</f>
        <v/>
      </c>
      <c r="M93" t="str">
        <f t="shared" si="1"/>
        <v>[오늘의_근무 4/3(금)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94" spans="1:13">
      <c r="A94" s="1">
        <f>'cal1'!B96</f>
        <v>46116</v>
      </c>
      <c r="B94" t="str">
        <f>'cal1'!I96</f>
        <v>당직</v>
      </c>
      <c r="C94" t="str">
        <f>IF(OR($B94="당직",$B94="야간"),'cal1'!AC96,IF($B94="주간",'cal1'!Q96,""))</f>
        <v>정윤준</v>
      </c>
      <c r="D94" t="str">
        <f>IF(OR($B94="당직",$B94="야간"),'cal1'!AD96,IF($B94="주간",'cal1'!R96,""))</f>
        <v>이기수</v>
      </c>
      <c r="E94" t="str">
        <f>IF(OR($B94="당직",$B94="야간"),'cal1'!AE96,IF($B94="주간",'cal1'!S96,""))</f>
        <v>박성현</v>
      </c>
      <c r="F94" t="str">
        <f>IF(OR($B94="당직",$B94="야간"),'cal1'!AF96,IF($B94="주간",'cal1'!T96,""))</f>
        <v>허지웅</v>
      </c>
      <c r="G94" t="str">
        <f>IF(OR($B94="당직",$B94="야간"),'cal1'!AG96,IF($B94="주간",'cal1'!U96,""))</f>
        <v>장혁진</v>
      </c>
      <c r="L94" t="str">
        <f>'cal1'!AJ96</f>
        <v/>
      </c>
      <c r="M94" t="str">
        <f t="shared" si="1"/>
        <v>[오늘의_근무 4/4(토)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95" spans="1:13">
      <c r="A95" s="1">
        <f>'cal1'!B97</f>
        <v>46117</v>
      </c>
      <c r="B95" t="str">
        <f>'cal1'!I97</f>
        <v>비번</v>
      </c>
      <c r="C95" t="str">
        <f>IF(OR($B95="당직",$B95="야간"),'cal1'!AC97,IF($B95="주간",'cal1'!Q97,""))</f>
        <v/>
      </c>
      <c r="D95" t="str">
        <f>IF(OR($B95="당직",$B95="야간"),'cal1'!AD97,IF($B95="주간",'cal1'!R97,""))</f>
        <v/>
      </c>
      <c r="E95" t="str">
        <f>IF(OR($B95="당직",$B95="야간"),'cal1'!AE97,IF($B95="주간",'cal1'!S97,""))</f>
        <v/>
      </c>
      <c r="F95" t="str">
        <f>IF(OR($B95="당직",$B95="야간"),'cal1'!AF97,IF($B95="주간",'cal1'!T97,""))</f>
        <v/>
      </c>
      <c r="G95" t="str">
        <f>IF(OR($B95="당직",$B95="야간"),'cal1'!AG97,IF($B95="주간",'cal1'!U97,""))</f>
        <v/>
      </c>
      <c r="L95" t="str">
        <f>'cal1'!AJ97</f>
        <v/>
      </c>
      <c r="M95" t="str">
        <f t="shared" si="1"/>
        <v/>
      </c>
    </row>
    <row r="96" spans="1:13">
      <c r="A96" s="1">
        <f>'cal1'!B98</f>
        <v>46118</v>
      </c>
      <c r="B96" t="str">
        <f>'cal1'!I98</f>
        <v>주간</v>
      </c>
      <c r="C96" t="str">
        <f>IF(OR($B96="당직",$B96="야간"),'cal1'!AC98,IF($B96="주간",'cal1'!Q98,""))</f>
        <v>박성현</v>
      </c>
      <c r="D96" t="str">
        <f>IF(OR($B96="당직",$B96="야간"),'cal1'!AD98,IF($B96="주간",'cal1'!R98,""))</f>
        <v>허지웅</v>
      </c>
      <c r="E96" t="str">
        <f>IF(OR($B96="당직",$B96="야간"),'cal1'!AE98,IF($B96="주간",'cal1'!S98,""))</f>
        <v>정윤준</v>
      </c>
      <c r="F96" t="str">
        <f>IF(OR($B96="당직",$B96="야간"),'cal1'!AF98,IF($B96="주간",'cal1'!T98,""))</f>
        <v>이기수</v>
      </c>
      <c r="G96" t="str">
        <f>IF(OR($B96="당직",$B96="야간"),'cal1'!AG98,IF($B96="주간",'cal1'!U98,""))</f>
        <v>정윤준</v>
      </c>
      <c r="L96" t="str">
        <f>'cal1'!AJ98</f>
        <v/>
      </c>
      <c r="M96" t="str">
        <f t="shared" si="1"/>
        <v>[오늘의_근무 4/6(월)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97" spans="1:13">
      <c r="A97" s="1">
        <f>'cal1'!B99</f>
        <v>46119</v>
      </c>
      <c r="B97" t="str">
        <f>'cal1'!I99</f>
        <v>야간</v>
      </c>
      <c r="C97" t="str">
        <f>IF(OR($B97="당직",$B97="야간"),'cal1'!AC99,IF($B97="주간",'cal1'!Q99,""))</f>
        <v>허지웅</v>
      </c>
      <c r="D97" t="str">
        <f>IF(OR($B97="당직",$B97="야간"),'cal1'!AD99,IF($B97="주간",'cal1'!R99,""))</f>
        <v>정윤준</v>
      </c>
      <c r="E97" t="str">
        <f>IF(OR($B97="당직",$B97="야간"),'cal1'!AE99,IF($B97="주간",'cal1'!S99,""))</f>
        <v>이기수</v>
      </c>
      <c r="F97" t="str">
        <f>IF(OR($B97="당직",$B97="야간"),'cal1'!AF99,IF($B97="주간",'cal1'!T99,""))</f>
        <v>박성현</v>
      </c>
      <c r="G97" t="str">
        <f>IF(OR($B97="당직",$B97="야간"),'cal1'!AG99,IF($B97="주간",'cal1'!U99,""))</f>
        <v>이기수</v>
      </c>
      <c r="L97" t="str">
        <f>'cal1'!AJ99</f>
        <v/>
      </c>
      <c r="M97" t="str">
        <f t="shared" si="1"/>
        <v>[오늘의_근무 4/7(화)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98" spans="1:13">
      <c r="A98" s="1">
        <f>'cal1'!B100</f>
        <v>46120</v>
      </c>
      <c r="B98" t="str">
        <f>'cal1'!I100</f>
        <v>비번</v>
      </c>
      <c r="C98" t="str">
        <f>IF(OR($B98="당직",$B98="야간"),'cal1'!AC100,IF($B98="주간",'cal1'!Q100,""))</f>
        <v/>
      </c>
      <c r="D98" t="str">
        <f>IF(OR($B98="당직",$B98="야간"),'cal1'!AD100,IF($B98="주간",'cal1'!R100,""))</f>
        <v/>
      </c>
      <c r="E98" t="str">
        <f>IF(OR($B98="당직",$B98="야간"),'cal1'!AE100,IF($B98="주간",'cal1'!S100,""))</f>
        <v/>
      </c>
      <c r="F98" t="str">
        <f>IF(OR($B98="당직",$B98="야간"),'cal1'!AF100,IF($B98="주간",'cal1'!T100,""))</f>
        <v/>
      </c>
      <c r="G98" t="str">
        <f>IF(OR($B98="당직",$B98="야간"),'cal1'!AG100,IF($B98="주간",'cal1'!U100,""))</f>
        <v/>
      </c>
      <c r="L98" t="str">
        <f>'cal1'!AJ100</f>
        <v/>
      </c>
      <c r="M98" t="str">
        <f t="shared" si="1"/>
        <v/>
      </c>
    </row>
    <row r="99" spans="1:13">
      <c r="A99" s="1">
        <f>'cal1'!B101</f>
        <v>46121</v>
      </c>
      <c r="B99" t="str">
        <f>'cal1'!I101</f>
        <v>주간</v>
      </c>
      <c r="C99" t="str">
        <f>IF(OR($B99="당직",$B99="야간"),'cal1'!AC101,IF($B99="주간",'cal1'!Q101,""))</f>
        <v>이기수</v>
      </c>
      <c r="D99" t="str">
        <f>IF(OR($B99="당직",$B99="야간"),'cal1'!AD101,IF($B99="주간",'cal1'!R101,""))</f>
        <v>박성현</v>
      </c>
      <c r="E99" t="str">
        <f>IF(OR($B99="당직",$B99="야간"),'cal1'!AE101,IF($B99="주간",'cal1'!S101,""))</f>
        <v>허지웅</v>
      </c>
      <c r="F99" t="str">
        <f>IF(OR($B99="당직",$B99="야간"),'cal1'!AF101,IF($B99="주간",'cal1'!T101,""))</f>
        <v>정윤준</v>
      </c>
      <c r="G99" t="str">
        <f>IF(OR($B99="당직",$B99="야간"),'cal1'!AG101,IF($B99="주간",'cal1'!U101,""))</f>
        <v>허지웅</v>
      </c>
      <c r="L99" t="str">
        <f>'cal1'!AJ101</f>
        <v/>
      </c>
      <c r="M99" t="str">
        <f t="shared" si="1"/>
        <v>[오늘의_근무 4/9(목)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100" spans="1:13">
      <c r="A100" s="1">
        <f>'cal1'!B102</f>
        <v>46122</v>
      </c>
      <c r="B100" t="str">
        <f>'cal1'!I102</f>
        <v>야간</v>
      </c>
      <c r="C100" t="str">
        <f>IF(OR($B100="당직",$B100="야간"),'cal1'!AC102,IF($B100="주간",'cal1'!Q102,""))</f>
        <v>박성현</v>
      </c>
      <c r="D100" t="str">
        <f>IF(OR($B100="당직",$B100="야간"),'cal1'!AD102,IF($B100="주간",'cal1'!R102,""))</f>
        <v>허지웅</v>
      </c>
      <c r="E100" t="str">
        <f>IF(OR($B100="당직",$B100="야간"),'cal1'!AE102,IF($B100="주간",'cal1'!S102,""))</f>
        <v>정윤준</v>
      </c>
      <c r="F100" t="str">
        <f>IF(OR($B100="당직",$B100="야간"),'cal1'!AF102,IF($B100="주간",'cal1'!T102,""))</f>
        <v>이기수</v>
      </c>
      <c r="G100" t="e">
        <f>IF(OR($B100="당직",$B100="야간"),'cal1'!AG102,IF($B100="주간",'cal1'!U102,""))</f>
        <v>#VALUE!</v>
      </c>
      <c r="L100" t="str">
        <f>'cal1'!AJ102</f>
        <v/>
      </c>
      <c r="M100" t="str">
        <f t="shared" si="1"/>
        <v>[오늘의_근무 4/10(금)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01" spans="1:13">
      <c r="A101" s="1">
        <f>'cal1'!B103</f>
        <v>46123</v>
      </c>
      <c r="B101" t="str">
        <f>'cal1'!I103</f>
        <v>비번</v>
      </c>
      <c r="C101" t="str">
        <f>IF(OR($B101="당직",$B101="야간"),'cal1'!AC103,IF($B101="주간",'cal1'!Q103,""))</f>
        <v/>
      </c>
      <c r="D101" t="str">
        <f>IF(OR($B101="당직",$B101="야간"),'cal1'!AD103,IF($B101="주간",'cal1'!R103,""))</f>
        <v/>
      </c>
      <c r="E101" t="str">
        <f>IF(OR($B101="당직",$B101="야간"),'cal1'!AE103,IF($B101="주간",'cal1'!S103,""))</f>
        <v/>
      </c>
      <c r="F101" t="str">
        <f>IF(OR($B101="당직",$B101="야간"),'cal1'!AF103,IF($B101="주간",'cal1'!T103,""))</f>
        <v/>
      </c>
      <c r="G101" t="str">
        <f>IF(OR($B101="당직",$B101="야간"),'cal1'!AG103,IF($B101="주간",'cal1'!U103,""))</f>
        <v/>
      </c>
      <c r="L101" t="str">
        <f>'cal1'!AJ103</f>
        <v/>
      </c>
      <c r="M101" t="str">
        <f t="shared" si="1"/>
        <v/>
      </c>
    </row>
    <row r="102" spans="1:13">
      <c r="A102" s="1">
        <f>'cal1'!B104</f>
        <v>46124</v>
      </c>
      <c r="B102" t="str">
        <f>'cal1'!I104</f>
        <v>휴무</v>
      </c>
      <c r="C102" t="str">
        <f>IF(OR($B102="당직",$B102="야간"),'cal1'!AC104,IF($B102="주간",'cal1'!Q104,""))</f>
        <v/>
      </c>
      <c r="D102" t="str">
        <f>IF(OR($B102="당직",$B102="야간"),'cal1'!AD104,IF($B102="주간",'cal1'!R104,""))</f>
        <v/>
      </c>
      <c r="E102" t="str">
        <f>IF(OR($B102="당직",$B102="야간"),'cal1'!AE104,IF($B102="주간",'cal1'!S104,""))</f>
        <v/>
      </c>
      <c r="F102" t="str">
        <f>IF(OR($B102="당직",$B102="야간"),'cal1'!AF104,IF($B102="주간",'cal1'!T104,""))</f>
        <v/>
      </c>
      <c r="G102" t="str">
        <f>IF(OR($B102="당직",$B102="야간"),'cal1'!AG104,IF($B102="주간",'cal1'!U104,""))</f>
        <v/>
      </c>
      <c r="L102" t="str">
        <f>'cal1'!AJ104</f>
        <v/>
      </c>
      <c r="M102" t="str">
        <f t="shared" si="1"/>
        <v/>
      </c>
    </row>
    <row r="103" spans="1:13">
      <c r="A103" s="1">
        <f>'cal1'!B105</f>
        <v>46125</v>
      </c>
      <c r="B103" t="str">
        <f>'cal1'!I105</f>
        <v>야간</v>
      </c>
      <c r="C103" t="str">
        <f>IF(OR($B103="당직",$B103="야간"),'cal1'!AC105,IF($B103="주간",'cal1'!Q105,""))</f>
        <v>이기수</v>
      </c>
      <c r="D103" t="str">
        <f>IF(OR($B103="당직",$B103="야간"),'cal1'!AD105,IF($B103="주간",'cal1'!R105,""))</f>
        <v>박성현</v>
      </c>
      <c r="E103" t="str">
        <f>IF(OR($B103="당직",$B103="야간"),'cal1'!AE105,IF($B103="주간",'cal1'!S105,""))</f>
        <v>허지웅</v>
      </c>
      <c r="F103" t="str">
        <f>IF(OR($B103="당직",$B103="야간"),'cal1'!AF105,IF($B103="주간",'cal1'!T105,""))</f>
        <v>정윤준</v>
      </c>
      <c r="G103" t="str">
        <f>IF(OR($B103="당직",$B103="야간"),'cal1'!AG105,IF($B103="주간",'cal1'!U105,""))</f>
        <v>정윤준</v>
      </c>
      <c r="L103" t="str">
        <f>'cal1'!AJ105</f>
        <v>정윤준</v>
      </c>
      <c r="M103" t="str">
        <f t="shared" si="1"/>
        <v>[오늘의_근무 4/13(월)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104" spans="1:13">
      <c r="A104" s="1">
        <f>'cal1'!B106</f>
        <v>46126</v>
      </c>
      <c r="B104" t="str">
        <f>'cal1'!I106</f>
        <v>비번</v>
      </c>
      <c r="C104" t="str">
        <f>IF(OR($B104="당직",$B104="야간"),'cal1'!AC106,IF($B104="주간",'cal1'!Q106,""))</f>
        <v/>
      </c>
      <c r="D104" t="str">
        <f>IF(OR($B104="당직",$B104="야간"),'cal1'!AD106,IF($B104="주간",'cal1'!R106,""))</f>
        <v/>
      </c>
      <c r="E104" t="str">
        <f>IF(OR($B104="당직",$B104="야간"),'cal1'!AE106,IF($B104="주간",'cal1'!S106,""))</f>
        <v/>
      </c>
      <c r="F104" t="str">
        <f>IF(OR($B104="당직",$B104="야간"),'cal1'!AF106,IF($B104="주간",'cal1'!T106,""))</f>
        <v/>
      </c>
      <c r="G104" t="str">
        <f>IF(OR($B104="당직",$B104="야간"),'cal1'!AG106,IF($B104="주간",'cal1'!U106,""))</f>
        <v/>
      </c>
      <c r="L104" t="str">
        <f>'cal1'!AJ106</f>
        <v/>
      </c>
      <c r="M104" t="str">
        <f t="shared" si="1"/>
        <v/>
      </c>
    </row>
    <row r="105" spans="1:13">
      <c r="A105" s="1">
        <f>'cal1'!B107</f>
        <v>46127</v>
      </c>
      <c r="B105" t="str">
        <f>'cal1'!I107</f>
        <v>주간</v>
      </c>
      <c r="C105" t="str">
        <f>IF(OR($B105="당직",$B105="야간"),'cal1'!AC107,IF($B105="주간",'cal1'!Q107,""))</f>
        <v>정윤준</v>
      </c>
      <c r="D105" t="str">
        <f>IF(OR($B105="당직",$B105="야간"),'cal1'!AD107,IF($B105="주간",'cal1'!R107,""))</f>
        <v>이기수</v>
      </c>
      <c r="E105" t="str">
        <f>IF(OR($B105="당직",$B105="야간"),'cal1'!AE107,IF($B105="주간",'cal1'!S107,""))</f>
        <v>박성현</v>
      </c>
      <c r="F105" t="str">
        <f>IF(OR($B105="당직",$B105="야간"),'cal1'!AF107,IF($B105="주간",'cal1'!T107,""))</f>
        <v>허지웅</v>
      </c>
      <c r="G105" t="e">
        <f>IF(OR($B105="당직",$B105="야간"),'cal1'!AG107,IF($B105="주간",'cal1'!U107,""))</f>
        <v>#VALUE!</v>
      </c>
      <c r="L105" t="str">
        <f>'cal1'!AJ107</f>
        <v/>
      </c>
      <c r="M105" t="str">
        <f t="shared" si="1"/>
        <v>[오늘의_근무 4/15(수)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06" spans="1:13">
      <c r="A106" s="1">
        <f>'cal1'!B108</f>
        <v>46128</v>
      </c>
      <c r="B106" t="str">
        <f>'cal1'!I108</f>
        <v>야간</v>
      </c>
      <c r="C106" t="str">
        <f>IF(OR($B106="당직",$B106="야간"),'cal1'!AC108,IF($B106="주간",'cal1'!Q108,""))</f>
        <v>정윤준</v>
      </c>
      <c r="D106" t="str">
        <f>IF(OR($B106="당직",$B106="야간"),'cal1'!AD108,IF($B106="주간",'cal1'!R108,""))</f>
        <v>이기수</v>
      </c>
      <c r="E106" t="str">
        <f>IF(OR($B106="당직",$B106="야간"),'cal1'!AE108,IF($B106="주간",'cal1'!S108,""))</f>
        <v>박성현</v>
      </c>
      <c r="F106" t="str">
        <f>IF(OR($B106="당직",$B106="야간"),'cal1'!AF108,IF($B106="주간",'cal1'!T108,""))</f>
        <v>허지웅</v>
      </c>
      <c r="G106" t="str">
        <f>IF(OR($B106="당직",$B106="야간"),'cal1'!AG108,IF($B106="주간",'cal1'!U108,""))</f>
        <v>허지웅</v>
      </c>
      <c r="L106" t="str">
        <f>'cal1'!AJ108</f>
        <v/>
      </c>
      <c r="M106" t="str">
        <f t="shared" si="1"/>
        <v>[오늘의_근무 4/16(목)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07" spans="1:13">
      <c r="A107" s="1">
        <f>'cal1'!B109</f>
        <v>46129</v>
      </c>
      <c r="B107" t="str">
        <f>'cal1'!I109</f>
        <v>비번</v>
      </c>
      <c r="C107" t="str">
        <f>IF(OR($B107="당직",$B107="야간"),'cal1'!AC109,IF($B107="주간",'cal1'!Q109,""))</f>
        <v/>
      </c>
      <c r="D107" t="str">
        <f>IF(OR($B107="당직",$B107="야간"),'cal1'!AD109,IF($B107="주간",'cal1'!R109,""))</f>
        <v/>
      </c>
      <c r="E107" t="str">
        <f>IF(OR($B107="당직",$B107="야간"),'cal1'!AE109,IF($B107="주간",'cal1'!S109,""))</f>
        <v/>
      </c>
      <c r="F107" t="str">
        <f>IF(OR($B107="당직",$B107="야간"),'cal1'!AF109,IF($B107="주간",'cal1'!T109,""))</f>
        <v/>
      </c>
      <c r="G107" t="str">
        <f>IF(OR($B107="당직",$B107="야간"),'cal1'!AG109,IF($B107="주간",'cal1'!U109,""))</f>
        <v/>
      </c>
      <c r="L107" t="str">
        <f>'cal1'!AJ109</f>
        <v/>
      </c>
      <c r="M107" t="str">
        <f t="shared" si="1"/>
        <v/>
      </c>
    </row>
    <row r="108" spans="1:13">
      <c r="A108" s="1">
        <f>'cal1'!B110</f>
        <v>46130</v>
      </c>
      <c r="B108" t="str">
        <f>'cal1'!I110</f>
        <v>휴무</v>
      </c>
      <c r="C108" t="str">
        <f>IF(OR($B108="당직",$B108="야간"),'cal1'!AC110,IF($B108="주간",'cal1'!Q110,""))</f>
        <v/>
      </c>
      <c r="D108" t="str">
        <f>IF(OR($B108="당직",$B108="야간"),'cal1'!AD110,IF($B108="주간",'cal1'!R110,""))</f>
        <v/>
      </c>
      <c r="E108" t="str">
        <f>IF(OR($B108="당직",$B108="야간"),'cal1'!AE110,IF($B108="주간",'cal1'!S110,""))</f>
        <v/>
      </c>
      <c r="F108" t="str">
        <f>IF(OR($B108="당직",$B108="야간"),'cal1'!AF110,IF($B108="주간",'cal1'!T110,""))</f>
        <v/>
      </c>
      <c r="G108" t="str">
        <f>IF(OR($B108="당직",$B108="야간"),'cal1'!AG110,IF($B108="주간",'cal1'!U110,""))</f>
        <v/>
      </c>
      <c r="L108" t="str">
        <f>'cal1'!AJ110</f>
        <v/>
      </c>
      <c r="M108" t="str">
        <f t="shared" si="1"/>
        <v/>
      </c>
    </row>
    <row r="109" spans="1:13">
      <c r="A109" s="1">
        <f>'cal1'!B111</f>
        <v>46131</v>
      </c>
      <c r="B109" t="str">
        <f>'cal1'!I111</f>
        <v>당직</v>
      </c>
      <c r="C109" t="str">
        <f>IF(OR($B109="당직",$B109="야간"),'cal1'!AC111,IF($B109="주간",'cal1'!Q111,""))</f>
        <v>허지웅</v>
      </c>
      <c r="D109" t="str">
        <f>IF(OR($B109="당직",$B109="야간"),'cal1'!AD111,IF($B109="주간",'cal1'!R111,""))</f>
        <v>정윤준</v>
      </c>
      <c r="E109" t="str">
        <f>IF(OR($B109="당직",$B109="야간"),'cal1'!AE111,IF($B109="주간",'cal1'!S111,""))</f>
        <v>이기수</v>
      </c>
      <c r="F109" t="str">
        <f>IF(OR($B109="당직",$B109="야간"),'cal1'!AF111,IF($B109="주간",'cal1'!T111,""))</f>
        <v>박성현</v>
      </c>
      <c r="G109" t="str">
        <f>IF(OR($B109="당직",$B109="야간"),'cal1'!AG111,IF($B109="주간",'cal1'!U111,""))</f>
        <v>장혁진</v>
      </c>
      <c r="L109" t="str">
        <f>'cal1'!AJ111</f>
        <v/>
      </c>
      <c r="M109" t="str">
        <f t="shared" si="1"/>
        <v>[오늘의_근무 4/19(일)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10" spans="1:13">
      <c r="A110" s="1">
        <f>'cal1'!B112</f>
        <v>46132</v>
      </c>
      <c r="B110" t="str">
        <f>'cal1'!I112</f>
        <v>비번</v>
      </c>
      <c r="C110" t="str">
        <f>IF(OR($B110="당직",$B110="야간"),'cal1'!AC112,IF($B110="주간",'cal1'!Q112,""))</f>
        <v/>
      </c>
      <c r="D110" t="str">
        <f>IF(OR($B110="당직",$B110="야간"),'cal1'!AD112,IF($B110="주간",'cal1'!R112,""))</f>
        <v/>
      </c>
      <c r="E110" t="str">
        <f>IF(OR($B110="당직",$B110="야간"),'cal1'!AE112,IF($B110="주간",'cal1'!S112,""))</f>
        <v/>
      </c>
      <c r="F110" t="str">
        <f>IF(OR($B110="당직",$B110="야간"),'cal1'!AF112,IF($B110="주간",'cal1'!T112,""))</f>
        <v/>
      </c>
      <c r="G110" t="str">
        <f>IF(OR($B110="당직",$B110="야간"),'cal1'!AG112,IF($B110="주간",'cal1'!U112,""))</f>
        <v/>
      </c>
      <c r="L110" t="str">
        <f>'cal1'!AJ112</f>
        <v/>
      </c>
      <c r="M110" t="str">
        <f t="shared" si="1"/>
        <v/>
      </c>
    </row>
    <row r="111" spans="1:13">
      <c r="A111" s="1">
        <f>'cal1'!B113</f>
        <v>46133</v>
      </c>
      <c r="B111" t="str">
        <f>'cal1'!I113</f>
        <v>주간</v>
      </c>
      <c r="C111" t="str">
        <f>IF(OR($B111="당직",$B111="야간"),'cal1'!AC113,IF($B111="주간",'cal1'!Q113,""))</f>
        <v>허지웅</v>
      </c>
      <c r="D111" t="str">
        <f>IF(OR($B111="당직",$B111="야간"),'cal1'!AD113,IF($B111="주간",'cal1'!R113,""))</f>
        <v>정윤준</v>
      </c>
      <c r="E111" t="str">
        <f>IF(OR($B111="당직",$B111="야간"),'cal1'!AE113,IF($B111="주간",'cal1'!S113,""))</f>
        <v>이기수</v>
      </c>
      <c r="F111" t="str">
        <f>IF(OR($B111="당직",$B111="야간"),'cal1'!AF113,IF($B111="주간",'cal1'!T113,""))</f>
        <v>박성현</v>
      </c>
      <c r="G111" t="str">
        <f>IF(OR($B111="당직",$B111="야간"),'cal1'!AG113,IF($B111="주간",'cal1'!U113,""))</f>
        <v>장혁진</v>
      </c>
      <c r="L111" t="str">
        <f>'cal1'!AJ113</f>
        <v/>
      </c>
      <c r="M111" t="str">
        <f t="shared" si="1"/>
        <v>[오늘의_근무 4/21(화)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12" spans="1:13">
      <c r="A112" s="1">
        <f>'cal1'!B114</f>
        <v>46134</v>
      </c>
      <c r="B112" t="str">
        <f>'cal1'!I114</f>
        <v>야간</v>
      </c>
      <c r="C112" t="str">
        <f>IF(OR($B112="당직",$B112="야간"),'cal1'!AC114,IF($B112="주간",'cal1'!Q114,""))</f>
        <v>박성현</v>
      </c>
      <c r="D112" t="str">
        <f>IF(OR($B112="당직",$B112="야간"),'cal1'!AD114,IF($B112="주간",'cal1'!R114,""))</f>
        <v>허지웅</v>
      </c>
      <c r="E112" t="str">
        <f>IF(OR($B112="당직",$B112="야간"),'cal1'!AE114,IF($B112="주간",'cal1'!S114,""))</f>
        <v>정윤준</v>
      </c>
      <c r="F112" t="str">
        <f>IF(OR($B112="당직",$B112="야간"),'cal1'!AF114,IF($B112="주간",'cal1'!T114,""))</f>
        <v>이기수</v>
      </c>
      <c r="G112" t="str">
        <f>IF(OR($B112="당직",$B112="야간"),'cal1'!AG114,IF($B112="주간",'cal1'!U114,""))</f>
        <v>이기수</v>
      </c>
      <c r="L112" t="str">
        <f>'cal1'!AJ114</f>
        <v/>
      </c>
      <c r="M112" t="str">
        <f t="shared" si="1"/>
        <v>[오늘의_근무 4/22(수)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13" spans="1:13">
      <c r="A113" s="1">
        <f>'cal1'!B115</f>
        <v>46135</v>
      </c>
      <c r="B113" t="str">
        <f>'cal1'!I115</f>
        <v>비번</v>
      </c>
      <c r="C113" t="str">
        <f>IF(OR($B113="당직",$B113="야간"),'cal1'!AC115,IF($B113="주간",'cal1'!Q115,""))</f>
        <v/>
      </c>
      <c r="D113" t="str">
        <f>IF(OR($B113="당직",$B113="야간"),'cal1'!AD115,IF($B113="주간",'cal1'!R115,""))</f>
        <v/>
      </c>
      <c r="E113" t="str">
        <f>IF(OR($B113="당직",$B113="야간"),'cal1'!AE115,IF($B113="주간",'cal1'!S115,""))</f>
        <v/>
      </c>
      <c r="F113" t="str">
        <f>IF(OR($B113="당직",$B113="야간"),'cal1'!AF115,IF($B113="주간",'cal1'!T115,""))</f>
        <v/>
      </c>
      <c r="G113" t="str">
        <f>IF(OR($B113="당직",$B113="야간"),'cal1'!AG115,IF($B113="주간",'cal1'!U115,""))</f>
        <v/>
      </c>
      <c r="L113" t="str">
        <f>'cal1'!AJ115</f>
        <v/>
      </c>
      <c r="M113" t="str">
        <f t="shared" si="1"/>
        <v/>
      </c>
    </row>
    <row r="114" spans="1:13">
      <c r="A114" s="1">
        <f>'cal1'!B116</f>
        <v>46136</v>
      </c>
      <c r="B114" t="str">
        <f>'cal1'!I116</f>
        <v>주간</v>
      </c>
      <c r="C114" t="str">
        <f>IF(OR($B114="당직",$B114="야간"),'cal1'!AC116,IF($B114="주간",'cal1'!Q116,""))</f>
        <v>박성현</v>
      </c>
      <c r="D114" t="str">
        <f>IF(OR($B114="당직",$B114="야간"),'cal1'!AD116,IF($B114="주간",'cal1'!R116,""))</f>
        <v>허지웅</v>
      </c>
      <c r="E114" t="str">
        <f>IF(OR($B114="당직",$B114="야간"),'cal1'!AE116,IF($B114="주간",'cal1'!S116,""))</f>
        <v>정윤준</v>
      </c>
      <c r="F114" t="str">
        <f>IF(OR($B114="당직",$B114="야간"),'cal1'!AF116,IF($B114="주간",'cal1'!T116,""))</f>
        <v>이기수</v>
      </c>
      <c r="G114" t="str">
        <f>IF(OR($B114="당직",$B114="야간"),'cal1'!AG116,IF($B114="주간",'cal1'!U116,""))</f>
        <v>이기수</v>
      </c>
      <c r="L114" t="str">
        <f>'cal1'!AJ116</f>
        <v/>
      </c>
      <c r="M114" t="str">
        <f t="shared" si="1"/>
        <v>[오늘의_근무 4/24(금)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15" spans="1:13">
      <c r="A115" s="1">
        <f>'cal1'!B117</f>
        <v>46137</v>
      </c>
      <c r="B115" t="str">
        <f>'cal1'!I117</f>
        <v>당직</v>
      </c>
      <c r="C115" t="str">
        <f>IF(OR($B115="당직",$B115="야간"),'cal1'!AC117,IF($B115="주간",'cal1'!Q117,""))</f>
        <v>이기수</v>
      </c>
      <c r="D115" t="str">
        <f>IF(OR($B115="당직",$B115="야간"),'cal1'!AD117,IF($B115="주간",'cal1'!R117,""))</f>
        <v>박성현</v>
      </c>
      <c r="E115" t="str">
        <f>IF(OR($B115="당직",$B115="야간"),'cal1'!AE117,IF($B115="주간",'cal1'!S117,""))</f>
        <v>허지웅</v>
      </c>
      <c r="F115" t="str">
        <f>IF(OR($B115="당직",$B115="야간"),'cal1'!AF117,IF($B115="주간",'cal1'!T117,""))</f>
        <v>정윤준</v>
      </c>
      <c r="G115" t="e">
        <f>IF(OR($B115="당직",$B115="야간"),'cal1'!AG117,IF($B115="주간",'cal1'!U117,""))</f>
        <v>#VALUE!</v>
      </c>
      <c r="L115" t="str">
        <f>'cal1'!AJ117</f>
        <v>허지웅</v>
      </c>
      <c r="M115" t="str">
        <f t="shared" si="1"/>
        <v>[오늘의_근무 4/25(토) - 당직]\n▸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116" spans="1:13">
      <c r="A116" s="1">
        <f>'cal1'!B118</f>
        <v>46138</v>
      </c>
      <c r="B116" t="str">
        <f>'cal1'!I118</f>
        <v>비번</v>
      </c>
      <c r="C116" t="str">
        <f>IF(OR($B116="당직",$B116="야간"),'cal1'!AC118,IF($B116="주간",'cal1'!Q118,""))</f>
        <v/>
      </c>
      <c r="D116" t="str">
        <f>IF(OR($B116="당직",$B116="야간"),'cal1'!AD118,IF($B116="주간",'cal1'!R118,""))</f>
        <v/>
      </c>
      <c r="E116" t="str">
        <f>IF(OR($B116="당직",$B116="야간"),'cal1'!AE118,IF($B116="주간",'cal1'!S118,""))</f>
        <v/>
      </c>
      <c r="F116" t="str">
        <f>IF(OR($B116="당직",$B116="야간"),'cal1'!AF118,IF($B116="주간",'cal1'!T118,""))</f>
        <v/>
      </c>
      <c r="G116" t="str">
        <f>IF(OR($B116="당직",$B116="야간"),'cal1'!AG118,IF($B116="주간",'cal1'!U118,""))</f>
        <v/>
      </c>
      <c r="L116" t="str">
        <f>'cal1'!AJ118</f>
        <v/>
      </c>
      <c r="M116" t="str">
        <f t="shared" si="1"/>
        <v/>
      </c>
    </row>
    <row r="117" spans="1:13">
      <c r="A117" s="1">
        <f>'cal1'!B119</f>
        <v>46139</v>
      </c>
      <c r="B117" t="str">
        <f>'cal1'!I119</f>
        <v>주간</v>
      </c>
      <c r="C117" t="str">
        <f>IF(OR($B117="당직",$B117="야간"),'cal1'!AC119,IF($B117="주간",'cal1'!Q119,""))</f>
        <v>이기수</v>
      </c>
      <c r="D117" t="str">
        <f>IF(OR($B117="당직",$B117="야간"),'cal1'!AD119,IF($B117="주간",'cal1'!R119,""))</f>
        <v>박성현</v>
      </c>
      <c r="E117" t="str">
        <f>IF(OR($B117="당직",$B117="야간"),'cal1'!AE119,IF($B117="주간",'cal1'!S119,""))</f>
        <v>허지웅</v>
      </c>
      <c r="F117" t="str">
        <f>IF(OR($B117="당직",$B117="야간"),'cal1'!AF119,IF($B117="주간",'cal1'!T119,""))</f>
        <v>정윤준</v>
      </c>
      <c r="G117" t="str">
        <f>IF(OR($B117="당직",$B117="야간"),'cal1'!AG119,IF($B117="주간",'cal1'!U119,""))</f>
        <v>정윤준</v>
      </c>
      <c r="L117" t="str">
        <f>'cal1'!AJ119</f>
        <v/>
      </c>
      <c r="M117" t="str">
        <f t="shared" si="1"/>
        <v>[오늘의_근무 4/27(월)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118" spans="1:13">
      <c r="A118" s="1">
        <f>'cal1'!B120</f>
        <v>46140</v>
      </c>
      <c r="B118" t="str">
        <f>'cal1'!I120</f>
        <v>야간</v>
      </c>
      <c r="C118" t="str">
        <f>IF(OR($B118="당직",$B118="야간"),'cal1'!AC120,IF($B118="주간",'cal1'!Q120,""))</f>
        <v>정윤준</v>
      </c>
      <c r="D118" t="str">
        <f>IF(OR($B118="당직",$B118="야간"),'cal1'!AD120,IF($B118="주간",'cal1'!R120,""))</f>
        <v>이기수</v>
      </c>
      <c r="E118" t="str">
        <f>IF(OR($B118="당직",$B118="야간"),'cal1'!AE120,IF($B118="주간",'cal1'!S120,""))</f>
        <v>박성현</v>
      </c>
      <c r="F118" t="str">
        <f>IF(OR($B118="당직",$B118="야간"),'cal1'!AF120,IF($B118="주간",'cal1'!T120,""))</f>
        <v>허지웅</v>
      </c>
      <c r="G118" t="str">
        <f>IF(OR($B118="당직",$B118="야간"),'cal1'!AG120,IF($B118="주간",'cal1'!U120,""))</f>
        <v>정윤준</v>
      </c>
      <c r="L118" t="str">
        <f>'cal1'!AJ120</f>
        <v/>
      </c>
      <c r="M118" t="str">
        <f t="shared" si="1"/>
        <v>[오늘의_근무 4/28(화)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19" spans="1:13">
      <c r="A119" s="1">
        <f>'cal1'!B121</f>
        <v>46141</v>
      </c>
      <c r="B119" t="str">
        <f>'cal1'!I121</f>
        <v>비번</v>
      </c>
      <c r="C119" t="str">
        <f>IF(OR($B119="당직",$B119="야간"),'cal1'!AC121,IF($B119="주간",'cal1'!Q121,""))</f>
        <v/>
      </c>
      <c r="D119" t="str">
        <f>IF(OR($B119="당직",$B119="야간"),'cal1'!AD121,IF($B119="주간",'cal1'!R121,""))</f>
        <v/>
      </c>
      <c r="E119" t="str">
        <f>IF(OR($B119="당직",$B119="야간"),'cal1'!AE121,IF($B119="주간",'cal1'!S121,""))</f>
        <v/>
      </c>
      <c r="F119" t="str">
        <f>IF(OR($B119="당직",$B119="야간"),'cal1'!AF121,IF($B119="주간",'cal1'!T121,""))</f>
        <v/>
      </c>
      <c r="G119" t="str">
        <f>IF(OR($B119="당직",$B119="야간"),'cal1'!AG121,IF($B119="주간",'cal1'!U121,""))</f>
        <v/>
      </c>
      <c r="L119" t="str">
        <f>'cal1'!AJ121</f>
        <v/>
      </c>
      <c r="M119" t="str">
        <f t="shared" si="1"/>
        <v/>
      </c>
    </row>
    <row r="120" spans="1:13">
      <c r="A120" s="1">
        <f>'cal1'!B122</f>
        <v>46142</v>
      </c>
      <c r="B120" t="str">
        <f>'cal1'!I122</f>
        <v>주간</v>
      </c>
      <c r="C120" t="str">
        <f>IF(OR($B120="당직",$B120="야간"),'cal1'!AC122,IF($B120="주간",'cal1'!Q122,""))</f>
        <v>정윤준</v>
      </c>
      <c r="D120" t="str">
        <f>IF(OR($B120="당직",$B120="야간"),'cal1'!AD122,IF($B120="주간",'cal1'!R122,""))</f>
        <v>이기수</v>
      </c>
      <c r="E120" t="str">
        <f>IF(OR($B120="당직",$B120="야간"),'cal1'!AE122,IF($B120="주간",'cal1'!S122,""))</f>
        <v>박성현</v>
      </c>
      <c r="F120" t="str">
        <f>IF(OR($B120="당직",$B120="야간"),'cal1'!AF122,IF($B120="주간",'cal1'!T122,""))</f>
        <v>허지웅</v>
      </c>
      <c r="G120" t="str">
        <f>IF(OR($B120="당직",$B120="야간"),'cal1'!AG122,IF($B120="주간",'cal1'!U122,""))</f>
        <v>허지웅</v>
      </c>
      <c r="L120" t="str">
        <f>'cal1'!AJ122</f>
        <v/>
      </c>
      <c r="M120" t="str">
        <f t="shared" si="1"/>
        <v>[오늘의_근무 4/30(목)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21" spans="1:13">
      <c r="A121" s="1">
        <f>'cal1'!B123</f>
        <v>46143</v>
      </c>
      <c r="B121" t="str">
        <f>'cal1'!I123</f>
        <v>당직</v>
      </c>
      <c r="C121" t="str">
        <f>IF(OR($B121="당직",$B121="야간"),'cal1'!AC123,IF($B121="주간",'cal1'!Q123,""))</f>
        <v>허지웅</v>
      </c>
      <c r="D121" t="str">
        <f>IF(OR($B121="당직",$B121="야간"),'cal1'!AD123,IF($B121="주간",'cal1'!R123,""))</f>
        <v>정윤준</v>
      </c>
      <c r="E121" t="str">
        <f>IF(OR($B121="당직",$B121="야간"),'cal1'!AE123,IF($B121="주간",'cal1'!S123,""))</f>
        <v>이기수</v>
      </c>
      <c r="F121" t="str">
        <f>IF(OR($B121="당직",$B121="야간"),'cal1'!AF123,IF($B121="주간",'cal1'!T123,""))</f>
        <v>박성현</v>
      </c>
      <c r="G121" t="str">
        <f>IF(OR($B121="당직",$B121="야간"),'cal1'!AG123,IF($B121="주간",'cal1'!U123,""))</f>
        <v>허지웅</v>
      </c>
      <c r="L121" t="str">
        <f>'cal1'!AJ123</f>
        <v/>
      </c>
      <c r="M121" t="str">
        <f t="shared" si="1"/>
        <v>[오늘의_근무 5/1(금)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22" spans="1:13">
      <c r="A122" s="1">
        <f>'cal1'!B124</f>
        <v>46144</v>
      </c>
      <c r="B122" t="str">
        <f>'cal1'!I124</f>
        <v>비번</v>
      </c>
      <c r="C122" t="str">
        <f>IF(OR($B122="당직",$B122="야간"),'cal1'!AC124,IF($B122="주간",'cal1'!Q124,""))</f>
        <v/>
      </c>
      <c r="D122" t="str">
        <f>IF(OR($B122="당직",$B122="야간"),'cal1'!AD124,IF($B122="주간",'cal1'!R124,""))</f>
        <v/>
      </c>
      <c r="E122" t="str">
        <f>IF(OR($B122="당직",$B122="야간"),'cal1'!AE124,IF($B122="주간",'cal1'!S124,""))</f>
        <v/>
      </c>
      <c r="F122" t="str">
        <f>IF(OR($B122="당직",$B122="야간"),'cal1'!AF124,IF($B122="주간",'cal1'!T124,""))</f>
        <v/>
      </c>
      <c r="G122" t="str">
        <f>IF(OR($B122="당직",$B122="야간"),'cal1'!AG124,IF($B122="주간",'cal1'!U124,""))</f>
        <v/>
      </c>
      <c r="L122" t="str">
        <f>'cal1'!AJ124</f>
        <v/>
      </c>
      <c r="M122" t="str">
        <f t="shared" si="1"/>
        <v/>
      </c>
    </row>
    <row r="123" spans="1:13">
      <c r="A123" s="1">
        <f>'cal1'!B125</f>
        <v>46145</v>
      </c>
      <c r="B123" t="str">
        <f>'cal1'!I125</f>
        <v>휴무</v>
      </c>
      <c r="C123" t="str">
        <f>IF(OR($B123="당직",$B123="야간"),'cal1'!AC125,IF($B123="주간",'cal1'!Q125,""))</f>
        <v/>
      </c>
      <c r="D123" t="str">
        <f>IF(OR($B123="당직",$B123="야간"),'cal1'!AD125,IF($B123="주간",'cal1'!R125,""))</f>
        <v/>
      </c>
      <c r="E123" t="str">
        <f>IF(OR($B123="당직",$B123="야간"),'cal1'!AE125,IF($B123="주간",'cal1'!S125,""))</f>
        <v/>
      </c>
      <c r="F123" t="str">
        <f>IF(OR($B123="당직",$B123="야간"),'cal1'!AF125,IF($B123="주간",'cal1'!T125,""))</f>
        <v/>
      </c>
      <c r="G123" t="str">
        <f>IF(OR($B123="당직",$B123="야간"),'cal1'!AG125,IF($B123="주간",'cal1'!U125,""))</f>
        <v/>
      </c>
      <c r="L123" t="str">
        <f>'cal1'!AJ125</f>
        <v/>
      </c>
      <c r="M123" t="str">
        <f t="shared" si="1"/>
        <v/>
      </c>
    </row>
    <row r="124" spans="1:13">
      <c r="A124" s="1">
        <f>'cal1'!B126</f>
        <v>46146</v>
      </c>
      <c r="B124" t="str">
        <f>'cal1'!I126</f>
        <v>야간</v>
      </c>
      <c r="C124" t="str">
        <f>IF(OR($B124="당직",$B124="야간"),'cal1'!AC126,IF($B124="주간",'cal1'!Q126,""))</f>
        <v>박성현</v>
      </c>
      <c r="D124" t="str">
        <f>IF(OR($B124="당직",$B124="야간"),'cal1'!AD126,IF($B124="주간",'cal1'!R126,""))</f>
        <v>허지웅</v>
      </c>
      <c r="E124" t="str">
        <f>IF(OR($B124="당직",$B124="야간"),'cal1'!AE126,IF($B124="주간",'cal1'!S126,""))</f>
        <v>정윤준</v>
      </c>
      <c r="F124" t="str">
        <f>IF(OR($B124="당직",$B124="야간"),'cal1'!AF126,IF($B124="주간",'cal1'!T126,""))</f>
        <v>이기수</v>
      </c>
      <c r="G124" t="str">
        <f>IF(OR($B124="당직",$B124="야간"),'cal1'!AG126,IF($B124="주간",'cal1'!U126,""))</f>
        <v>장혁진</v>
      </c>
      <c r="L124" t="str">
        <f>'cal1'!AJ126</f>
        <v/>
      </c>
      <c r="M124" t="str">
        <f t="shared" si="1"/>
        <v>[오늘의_근무 5/4(월)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25" spans="1:13">
      <c r="A125" s="1">
        <f>'cal1'!B127</f>
        <v>46147</v>
      </c>
      <c r="B125" t="str">
        <f>'cal1'!I127</f>
        <v>비번</v>
      </c>
      <c r="C125" t="str">
        <f>IF(OR($B125="당직",$B125="야간"),'cal1'!AC127,IF($B125="주간",'cal1'!Q127,""))</f>
        <v/>
      </c>
      <c r="D125" t="str">
        <f>IF(OR($B125="당직",$B125="야간"),'cal1'!AD127,IF($B125="주간",'cal1'!R127,""))</f>
        <v/>
      </c>
      <c r="E125" t="str">
        <f>IF(OR($B125="당직",$B125="야간"),'cal1'!AE127,IF($B125="주간",'cal1'!S127,""))</f>
        <v/>
      </c>
      <c r="F125" t="str">
        <f>IF(OR($B125="당직",$B125="야간"),'cal1'!AF127,IF($B125="주간",'cal1'!T127,""))</f>
        <v/>
      </c>
      <c r="G125" t="str">
        <f>IF(OR($B125="당직",$B125="야간"),'cal1'!AG127,IF($B125="주간",'cal1'!U127,""))</f>
        <v/>
      </c>
      <c r="L125" t="str">
        <f>'cal1'!AJ127</f>
        <v/>
      </c>
      <c r="M125" t="str">
        <f t="shared" si="1"/>
        <v/>
      </c>
    </row>
    <row r="126" spans="1:13">
      <c r="A126" s="1">
        <f>'cal1'!B128</f>
        <v>46148</v>
      </c>
      <c r="B126" t="str">
        <f>'cal1'!I128</f>
        <v>주간</v>
      </c>
      <c r="C126" t="str">
        <f>IF(OR($B126="당직",$B126="야간"),'cal1'!AC128,IF($B126="주간",'cal1'!Q128,""))</f>
        <v>허지웅</v>
      </c>
      <c r="D126" t="str">
        <f>IF(OR($B126="당직",$B126="야간"),'cal1'!AD128,IF($B126="주간",'cal1'!R128,""))</f>
        <v>정윤준</v>
      </c>
      <c r="E126" t="str">
        <f>IF(OR($B126="당직",$B126="야간"),'cal1'!AE128,IF($B126="주간",'cal1'!S128,""))</f>
        <v>이기수</v>
      </c>
      <c r="F126" t="str">
        <f>IF(OR($B126="당직",$B126="야간"),'cal1'!AF128,IF($B126="주간",'cal1'!T128,""))</f>
        <v>박성현</v>
      </c>
      <c r="G126" t="e">
        <f>IF(OR($B126="당직",$B126="야간"),'cal1'!AG128,IF($B126="주간",'cal1'!U128,""))</f>
        <v>#VALUE!</v>
      </c>
      <c r="L126" t="str">
        <f>'cal1'!AJ128</f>
        <v/>
      </c>
      <c r="M126" t="str">
        <f t="shared" si="1"/>
        <v>[오늘의_근무 5/6(수)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27" spans="1:13">
      <c r="A127" s="1">
        <f>'cal1'!B129</f>
        <v>46149</v>
      </c>
      <c r="B127" t="str">
        <f>'cal1'!I129</f>
        <v>야간</v>
      </c>
      <c r="C127" t="str">
        <f>IF(OR($B127="당직",$B127="야간"),'cal1'!AC129,IF($B127="주간",'cal1'!Q129,""))</f>
        <v>이기수</v>
      </c>
      <c r="D127" t="str">
        <f>IF(OR($B127="당직",$B127="야간"),'cal1'!AD129,IF($B127="주간",'cal1'!R129,""))</f>
        <v>박성현</v>
      </c>
      <c r="E127" t="str">
        <f>IF(OR($B127="당직",$B127="야간"),'cal1'!AE129,IF($B127="주간",'cal1'!S129,""))</f>
        <v>허지웅</v>
      </c>
      <c r="F127" t="str">
        <f>IF(OR($B127="당직",$B127="야간"),'cal1'!AF129,IF($B127="주간",'cal1'!T129,""))</f>
        <v>정윤준</v>
      </c>
      <c r="G127" t="str">
        <f>IF(OR($B127="당직",$B127="야간"),'cal1'!AG129,IF($B127="주간",'cal1'!U129,""))</f>
        <v>이기수</v>
      </c>
      <c r="L127" t="str">
        <f>'cal1'!AJ129</f>
        <v>정윤준</v>
      </c>
      <c r="M127" t="str">
        <f t="shared" si="1"/>
        <v>[오늘의_근무 5/7(목)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128" spans="1:13">
      <c r="A128" s="1">
        <f>'cal1'!B130</f>
        <v>46150</v>
      </c>
      <c r="B128" t="str">
        <f>'cal1'!I130</f>
        <v>비번</v>
      </c>
      <c r="C128" t="str">
        <f>IF(OR($B128="당직",$B128="야간"),'cal1'!AC130,IF($B128="주간",'cal1'!Q130,""))</f>
        <v/>
      </c>
      <c r="D128" t="str">
        <f>IF(OR($B128="당직",$B128="야간"),'cal1'!AD130,IF($B128="주간",'cal1'!R130,""))</f>
        <v/>
      </c>
      <c r="E128" t="str">
        <f>IF(OR($B128="당직",$B128="야간"),'cal1'!AE130,IF($B128="주간",'cal1'!S130,""))</f>
        <v/>
      </c>
      <c r="F128" t="str">
        <f>IF(OR($B128="당직",$B128="야간"),'cal1'!AF130,IF($B128="주간",'cal1'!T130,""))</f>
        <v/>
      </c>
      <c r="G128" t="str">
        <f>IF(OR($B128="당직",$B128="야간"),'cal1'!AG130,IF($B128="주간",'cal1'!U130,""))</f>
        <v/>
      </c>
      <c r="L128" t="str">
        <f>'cal1'!AJ130</f>
        <v/>
      </c>
      <c r="M128" t="str">
        <f t="shared" si="1"/>
        <v/>
      </c>
    </row>
    <row r="129" spans="1:13">
      <c r="A129" s="1">
        <f>'cal1'!B131</f>
        <v>46151</v>
      </c>
      <c r="B129" t="str">
        <f>'cal1'!I131</f>
        <v>휴무</v>
      </c>
      <c r="C129" t="str">
        <f>IF(OR($B129="당직",$B129="야간"),'cal1'!AC131,IF($B129="주간",'cal1'!Q131,""))</f>
        <v/>
      </c>
      <c r="D129" t="str">
        <f>IF(OR($B129="당직",$B129="야간"),'cal1'!AD131,IF($B129="주간",'cal1'!R131,""))</f>
        <v/>
      </c>
      <c r="E129" t="str">
        <f>IF(OR($B129="당직",$B129="야간"),'cal1'!AE131,IF($B129="주간",'cal1'!S131,""))</f>
        <v/>
      </c>
      <c r="F129" t="str">
        <f>IF(OR($B129="당직",$B129="야간"),'cal1'!AF131,IF($B129="주간",'cal1'!T131,""))</f>
        <v/>
      </c>
      <c r="G129" t="str">
        <f>IF(OR($B129="당직",$B129="야간"),'cal1'!AG131,IF($B129="주간",'cal1'!U131,""))</f>
        <v/>
      </c>
      <c r="L129" t="str">
        <f>'cal1'!AJ131</f>
        <v/>
      </c>
      <c r="M129" t="str">
        <f t="shared" si="1"/>
        <v/>
      </c>
    </row>
    <row r="130" spans="1:13">
      <c r="A130" s="1">
        <f>'cal1'!B132</f>
        <v>46152</v>
      </c>
      <c r="B130" t="str">
        <f>'cal1'!I132</f>
        <v>당직</v>
      </c>
      <c r="C130" t="str">
        <f>IF(OR($B130="당직",$B130="야간"),'cal1'!AC132,IF($B130="주간",'cal1'!Q132,""))</f>
        <v>정윤준</v>
      </c>
      <c r="D130" t="str">
        <f>IF(OR($B130="당직",$B130="야간"),'cal1'!AD132,IF($B130="주간",'cal1'!R132,""))</f>
        <v>이기수</v>
      </c>
      <c r="E130" t="str">
        <f>IF(OR($B130="당직",$B130="야간"),'cal1'!AE132,IF($B130="주간",'cal1'!S132,""))</f>
        <v>박성현</v>
      </c>
      <c r="F130" t="str">
        <f>IF(OR($B130="당직",$B130="야간"),'cal1'!AF132,IF($B130="주간",'cal1'!T132,""))</f>
        <v>허지웅</v>
      </c>
      <c r="G130" t="e">
        <f>IF(OR($B130="당직",$B130="야간"),'cal1'!AG132,IF($B130="주간",'cal1'!U132,""))</f>
        <v>#VALUE!</v>
      </c>
      <c r="L130" t="str">
        <f>'cal1'!AJ132</f>
        <v/>
      </c>
      <c r="M130" t="str">
        <f t="shared" ref="M130:M193" si="2">IF(C130="","","[오늘의_근무 " &amp; TEXT(A130,"m/d(aaa)") &amp; " - " &amp; B130 &amp; "]\n▸ 산업지원동 : " &amp; C130 &amp; "\n▸ 글로벌센터 : " &amp; D130 &amp; "\n▸ 외        곽1 : " &amp; E130 &amp; "\n▸ 외        곽2 : " &amp; F130 &amp; "\n\n-------------------------\n🏠 용역원실   : " &amp; L130 &amp; "\n-------------------------\n\n🔗 시간표 확인\nhttps://bio.oxisnail.top\nhttps://bio.oxisnail.top/timetable.html")</f>
        <v>[오늘의_근무 5/10(일)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31" spans="1:13">
      <c r="A131" s="1">
        <f>'cal1'!B133</f>
        <v>46153</v>
      </c>
      <c r="B131" t="str">
        <f>'cal1'!I133</f>
        <v>비번</v>
      </c>
      <c r="C131" t="str">
        <f>IF(OR($B131="당직",$B131="야간"),'cal1'!AC133,IF($B131="주간",'cal1'!Q133,""))</f>
        <v/>
      </c>
      <c r="D131" t="str">
        <f>IF(OR($B131="당직",$B131="야간"),'cal1'!AD133,IF($B131="주간",'cal1'!R133,""))</f>
        <v/>
      </c>
      <c r="E131" t="str">
        <f>IF(OR($B131="당직",$B131="야간"),'cal1'!AE133,IF($B131="주간",'cal1'!S133,""))</f>
        <v/>
      </c>
      <c r="F131" t="str">
        <f>IF(OR($B131="당직",$B131="야간"),'cal1'!AF133,IF($B131="주간",'cal1'!T133,""))</f>
        <v/>
      </c>
      <c r="G131" t="str">
        <f>IF(OR($B131="당직",$B131="야간"),'cal1'!AG133,IF($B131="주간",'cal1'!U133,""))</f>
        <v/>
      </c>
      <c r="L131" t="str">
        <f>'cal1'!AJ133</f>
        <v/>
      </c>
      <c r="M131" t="str">
        <f t="shared" si="2"/>
        <v/>
      </c>
    </row>
    <row r="132" spans="1:13">
      <c r="A132" s="1">
        <f>'cal1'!B134</f>
        <v>46154</v>
      </c>
      <c r="B132" t="str">
        <f>'cal1'!I134</f>
        <v>주간</v>
      </c>
      <c r="C132" t="str">
        <f>IF(OR($B132="당직",$B132="야간"),'cal1'!AC134,IF($B132="주간",'cal1'!Q134,""))</f>
        <v>박성현</v>
      </c>
      <c r="D132" t="str">
        <f>IF(OR($B132="당직",$B132="야간"),'cal1'!AD134,IF($B132="주간",'cal1'!R134,""))</f>
        <v>허지웅</v>
      </c>
      <c r="E132" t="str">
        <f>IF(OR($B132="당직",$B132="야간"),'cal1'!AE134,IF($B132="주간",'cal1'!S134,""))</f>
        <v>정윤준</v>
      </c>
      <c r="F132" t="str">
        <f>IF(OR($B132="당직",$B132="야간"),'cal1'!AF134,IF($B132="주간",'cal1'!T134,""))</f>
        <v>이기수</v>
      </c>
      <c r="G132" t="str">
        <f>IF(OR($B132="당직",$B132="야간"),'cal1'!AG134,IF($B132="주간",'cal1'!U134,""))</f>
        <v>장혁진</v>
      </c>
      <c r="L132" t="str">
        <f>'cal1'!AJ134</f>
        <v/>
      </c>
      <c r="M132" t="str">
        <f t="shared" si="2"/>
        <v>[오늘의_근무 5/12(화)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33" spans="1:13">
      <c r="A133" s="1">
        <f>'cal1'!B135</f>
        <v>46155</v>
      </c>
      <c r="B133" t="str">
        <f>'cal1'!I135</f>
        <v>야간</v>
      </c>
      <c r="C133" t="str">
        <f>IF(OR($B133="당직",$B133="야간"),'cal1'!AC135,IF($B133="주간",'cal1'!Q135,""))</f>
        <v>허지웅</v>
      </c>
      <c r="D133" t="str">
        <f>IF(OR($B133="당직",$B133="야간"),'cal1'!AD135,IF($B133="주간",'cal1'!R135,""))</f>
        <v>정윤준</v>
      </c>
      <c r="E133" t="str">
        <f>IF(OR($B133="당직",$B133="야간"),'cal1'!AE135,IF($B133="주간",'cal1'!S135,""))</f>
        <v>이기수</v>
      </c>
      <c r="F133" t="str">
        <f>IF(OR($B133="당직",$B133="야간"),'cal1'!AF135,IF($B133="주간",'cal1'!T135,""))</f>
        <v>박성현</v>
      </c>
      <c r="G133" t="str">
        <f>IF(OR($B133="당직",$B133="야간"),'cal1'!AG135,IF($B133="주간",'cal1'!U135,""))</f>
        <v>정윤준</v>
      </c>
      <c r="L133" t="str">
        <f>'cal1'!AJ135</f>
        <v/>
      </c>
      <c r="M133" t="str">
        <f t="shared" si="2"/>
        <v>[오늘의_근무 5/13(수)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34" spans="1:13">
      <c r="A134" s="1">
        <f>'cal1'!B136</f>
        <v>46156</v>
      </c>
      <c r="B134" t="str">
        <f>'cal1'!I136</f>
        <v>비번</v>
      </c>
      <c r="C134" t="str">
        <f>IF(OR($B134="당직",$B134="야간"),'cal1'!AC136,IF($B134="주간",'cal1'!Q136,""))</f>
        <v/>
      </c>
      <c r="D134" t="str">
        <f>IF(OR($B134="당직",$B134="야간"),'cal1'!AD136,IF($B134="주간",'cal1'!R136,""))</f>
        <v/>
      </c>
      <c r="E134" t="str">
        <f>IF(OR($B134="당직",$B134="야간"),'cal1'!AE136,IF($B134="주간",'cal1'!S136,""))</f>
        <v/>
      </c>
      <c r="F134" t="str">
        <f>IF(OR($B134="당직",$B134="야간"),'cal1'!AF136,IF($B134="주간",'cal1'!T136,""))</f>
        <v/>
      </c>
      <c r="G134" t="str">
        <f>IF(OR($B134="당직",$B134="야간"),'cal1'!AG136,IF($B134="주간",'cal1'!U136,""))</f>
        <v/>
      </c>
      <c r="L134" t="str">
        <f>'cal1'!AJ136</f>
        <v/>
      </c>
      <c r="M134" t="str">
        <f t="shared" si="2"/>
        <v/>
      </c>
    </row>
    <row r="135" spans="1:13">
      <c r="A135" s="1">
        <f>'cal1'!B137</f>
        <v>46157</v>
      </c>
      <c r="B135" t="str">
        <f>'cal1'!I137</f>
        <v>주간</v>
      </c>
      <c r="C135" t="str">
        <f>IF(OR($B135="당직",$B135="야간"),'cal1'!AC137,IF($B135="주간",'cal1'!Q137,""))</f>
        <v>이기수</v>
      </c>
      <c r="D135" t="str">
        <f>IF(OR($B135="당직",$B135="야간"),'cal1'!AD137,IF($B135="주간",'cal1'!R137,""))</f>
        <v>박성현</v>
      </c>
      <c r="E135" t="str">
        <f>IF(OR($B135="당직",$B135="야간"),'cal1'!AE137,IF($B135="주간",'cal1'!S137,""))</f>
        <v>허지웅</v>
      </c>
      <c r="F135" t="str">
        <f>IF(OR($B135="당직",$B135="야간"),'cal1'!AF137,IF($B135="주간",'cal1'!T137,""))</f>
        <v>정윤준</v>
      </c>
      <c r="G135" t="str">
        <f>IF(OR($B135="당직",$B135="야간"),'cal1'!AG137,IF($B135="주간",'cal1'!U137,""))</f>
        <v>이기수</v>
      </c>
      <c r="L135" t="str">
        <f>'cal1'!AJ137</f>
        <v/>
      </c>
      <c r="M135" t="str">
        <f t="shared" si="2"/>
        <v>[오늘의_근무 5/15(금)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136" spans="1:13">
      <c r="A136" s="1">
        <f>'cal1'!B138</f>
        <v>46158</v>
      </c>
      <c r="B136" t="str">
        <f>'cal1'!I138</f>
        <v>당직</v>
      </c>
      <c r="C136" t="str">
        <f>IF(OR($B136="당직",$B136="야간"),'cal1'!AC138,IF($B136="주간",'cal1'!Q138,""))</f>
        <v>박성현</v>
      </c>
      <c r="D136" t="str">
        <f>IF(OR($B136="당직",$B136="야간"),'cal1'!AD138,IF($B136="주간",'cal1'!R138,""))</f>
        <v>허지웅</v>
      </c>
      <c r="E136" t="str">
        <f>IF(OR($B136="당직",$B136="야간"),'cal1'!AE138,IF($B136="주간",'cal1'!S138,""))</f>
        <v>정윤준</v>
      </c>
      <c r="F136" t="str">
        <f>IF(OR($B136="당직",$B136="야간"),'cal1'!AF138,IF($B136="주간",'cal1'!T138,""))</f>
        <v>이기수</v>
      </c>
      <c r="G136" t="str">
        <f>IF(OR($B136="당직",$B136="야간"),'cal1'!AG138,IF($B136="주간",'cal1'!U138,""))</f>
        <v>허지웅</v>
      </c>
      <c r="L136" t="str">
        <f>'cal1'!AJ138</f>
        <v/>
      </c>
      <c r="M136" t="str">
        <f t="shared" si="2"/>
        <v>[오늘의_근무 5/16(토)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37" spans="1:13">
      <c r="A137" s="1">
        <f>'cal1'!B139</f>
        <v>46159</v>
      </c>
      <c r="B137" t="str">
        <f>'cal1'!I139</f>
        <v>비번</v>
      </c>
      <c r="C137" t="str">
        <f>IF(OR($B137="당직",$B137="야간"),'cal1'!AC139,IF($B137="주간",'cal1'!Q139,""))</f>
        <v/>
      </c>
      <c r="D137" t="str">
        <f>IF(OR($B137="당직",$B137="야간"),'cal1'!AD139,IF($B137="주간",'cal1'!R139,""))</f>
        <v/>
      </c>
      <c r="E137" t="str">
        <f>IF(OR($B137="당직",$B137="야간"),'cal1'!AE139,IF($B137="주간",'cal1'!S139,""))</f>
        <v/>
      </c>
      <c r="F137" t="str">
        <f>IF(OR($B137="당직",$B137="야간"),'cal1'!AF139,IF($B137="주간",'cal1'!T139,""))</f>
        <v/>
      </c>
      <c r="G137" t="str">
        <f>IF(OR($B137="당직",$B137="야간"),'cal1'!AG139,IF($B137="주간",'cal1'!U139,""))</f>
        <v/>
      </c>
      <c r="L137" t="str">
        <f>'cal1'!AJ139</f>
        <v/>
      </c>
      <c r="M137" t="str">
        <f t="shared" si="2"/>
        <v/>
      </c>
    </row>
    <row r="138" spans="1:13">
      <c r="A138" s="1">
        <f>'cal1'!B140</f>
        <v>46160</v>
      </c>
      <c r="B138" t="str">
        <f>'cal1'!I140</f>
        <v>주간</v>
      </c>
      <c r="C138" t="str">
        <f>IF(OR($B138="당직",$B138="야간"),'cal1'!AC140,IF($B138="주간",'cal1'!Q140,""))</f>
        <v>정윤준</v>
      </c>
      <c r="D138" t="str">
        <f>IF(OR($B138="당직",$B138="야간"),'cal1'!AD140,IF($B138="주간",'cal1'!R140,""))</f>
        <v>이기수</v>
      </c>
      <c r="E138" t="str">
        <f>IF(OR($B138="당직",$B138="야간"),'cal1'!AE140,IF($B138="주간",'cal1'!S140,""))</f>
        <v>박성현</v>
      </c>
      <c r="F138" t="str">
        <f>IF(OR($B138="당직",$B138="야간"),'cal1'!AF140,IF($B138="주간",'cal1'!T140,""))</f>
        <v>허지웅</v>
      </c>
      <c r="G138" t="str">
        <f>IF(OR($B138="당직",$B138="야간"),'cal1'!AG140,IF($B138="주간",'cal1'!U140,""))</f>
        <v>정윤준</v>
      </c>
      <c r="L138" t="str">
        <f>'cal1'!AJ140</f>
        <v/>
      </c>
      <c r="M138" t="str">
        <f t="shared" si="2"/>
        <v>[오늘의_근무 5/18(월)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39" spans="1:13">
      <c r="A139" s="1">
        <f>'cal1'!B141</f>
        <v>46161</v>
      </c>
      <c r="B139" t="str">
        <f>'cal1'!I141</f>
        <v>야간</v>
      </c>
      <c r="C139" t="str">
        <f>IF(OR($B139="당직",$B139="야간"),'cal1'!AC141,IF($B139="주간",'cal1'!Q141,""))</f>
        <v>이기수</v>
      </c>
      <c r="D139" t="str">
        <f>IF(OR($B139="당직",$B139="야간"),'cal1'!AD141,IF($B139="주간",'cal1'!R141,""))</f>
        <v>박성현</v>
      </c>
      <c r="E139" t="str">
        <f>IF(OR($B139="당직",$B139="야간"),'cal1'!AE141,IF($B139="주간",'cal1'!S141,""))</f>
        <v>허지웅</v>
      </c>
      <c r="F139" t="str">
        <f>IF(OR($B139="당직",$B139="야간"),'cal1'!AF141,IF($B139="주간",'cal1'!T141,""))</f>
        <v>정윤준</v>
      </c>
      <c r="G139" t="str">
        <f>IF(OR($B139="당직",$B139="야간"),'cal1'!AG141,IF($B139="주간",'cal1'!U141,""))</f>
        <v>장혁진</v>
      </c>
      <c r="L139" t="str">
        <f>'cal1'!AJ141</f>
        <v>허지웅</v>
      </c>
      <c r="M139" t="str">
        <f t="shared" si="2"/>
        <v>[오늘의_근무 5/19(화)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140" spans="1:13">
      <c r="A140" s="1">
        <f>'cal1'!B142</f>
        <v>46162</v>
      </c>
      <c r="B140" t="str">
        <f>'cal1'!I142</f>
        <v>비번</v>
      </c>
      <c r="C140" t="str">
        <f>IF(OR($B140="당직",$B140="야간"),'cal1'!AC142,IF($B140="주간",'cal1'!Q142,""))</f>
        <v/>
      </c>
      <c r="D140" t="str">
        <f>IF(OR($B140="당직",$B140="야간"),'cal1'!AD142,IF($B140="주간",'cal1'!R142,""))</f>
        <v/>
      </c>
      <c r="E140" t="str">
        <f>IF(OR($B140="당직",$B140="야간"),'cal1'!AE142,IF($B140="주간",'cal1'!S142,""))</f>
        <v/>
      </c>
      <c r="F140" t="str">
        <f>IF(OR($B140="당직",$B140="야간"),'cal1'!AF142,IF($B140="주간",'cal1'!T142,""))</f>
        <v/>
      </c>
      <c r="G140" t="str">
        <f>IF(OR($B140="당직",$B140="야간"),'cal1'!AG142,IF($B140="주간",'cal1'!U142,""))</f>
        <v/>
      </c>
      <c r="L140" t="str">
        <f>'cal1'!AJ142</f>
        <v/>
      </c>
      <c r="M140" t="str">
        <f t="shared" si="2"/>
        <v/>
      </c>
    </row>
    <row r="141" spans="1:13">
      <c r="A141" s="1">
        <f>'cal1'!B143</f>
        <v>46163</v>
      </c>
      <c r="B141" t="str">
        <f>'cal1'!I143</f>
        <v>주간</v>
      </c>
      <c r="C141" t="str">
        <f>IF(OR($B141="당직",$B141="야간"),'cal1'!AC143,IF($B141="주간",'cal1'!Q143,""))</f>
        <v>허지웅</v>
      </c>
      <c r="D141" t="str">
        <f>IF(OR($B141="당직",$B141="야간"),'cal1'!AD143,IF($B141="주간",'cal1'!R143,""))</f>
        <v>정윤준</v>
      </c>
      <c r="E141" t="str">
        <f>IF(OR($B141="당직",$B141="야간"),'cal1'!AE143,IF($B141="주간",'cal1'!S143,""))</f>
        <v>이기수</v>
      </c>
      <c r="F141" t="str">
        <f>IF(OR($B141="당직",$B141="야간"),'cal1'!AF143,IF($B141="주간",'cal1'!T143,""))</f>
        <v>박성현</v>
      </c>
      <c r="G141" t="str">
        <f>IF(OR($B141="당직",$B141="야간"),'cal1'!AG143,IF($B141="주간",'cal1'!U143,""))</f>
        <v>허지웅</v>
      </c>
      <c r="L141" t="str">
        <f>'cal1'!AJ143</f>
        <v/>
      </c>
      <c r="M141" t="str">
        <f t="shared" si="2"/>
        <v>[오늘의_근무 5/21(목)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42" spans="1:13">
      <c r="A142" s="1">
        <f>'cal1'!B144</f>
        <v>46164</v>
      </c>
      <c r="B142" t="str">
        <f>'cal1'!I144</f>
        <v>야간</v>
      </c>
      <c r="C142" t="str">
        <f>IF(OR($B142="당직",$B142="야간"),'cal1'!AC144,IF($B142="주간",'cal1'!Q144,""))</f>
        <v>정윤준</v>
      </c>
      <c r="D142" t="str">
        <f>IF(OR($B142="당직",$B142="야간"),'cal1'!AD144,IF($B142="주간",'cal1'!R144,""))</f>
        <v>이기수</v>
      </c>
      <c r="E142" t="str">
        <f>IF(OR($B142="당직",$B142="야간"),'cal1'!AE144,IF($B142="주간",'cal1'!S144,""))</f>
        <v>박성현</v>
      </c>
      <c r="F142" t="str">
        <f>IF(OR($B142="당직",$B142="야간"),'cal1'!AF144,IF($B142="주간",'cal1'!T144,""))</f>
        <v>허지웅</v>
      </c>
      <c r="G142" t="str">
        <f>IF(OR($B142="당직",$B142="야간"),'cal1'!AG144,IF($B142="주간",'cal1'!U144,""))</f>
        <v>이기수</v>
      </c>
      <c r="L142" t="str">
        <f>'cal1'!AJ144</f>
        <v/>
      </c>
      <c r="M142" t="str">
        <f t="shared" si="2"/>
        <v>[오늘의_근무 5/22(금)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43" spans="1:13">
      <c r="A143" s="1">
        <f>'cal1'!B145</f>
        <v>46165</v>
      </c>
      <c r="B143" t="str">
        <f>'cal1'!I145</f>
        <v>비번</v>
      </c>
      <c r="C143" t="str">
        <f>IF(OR($B143="당직",$B143="야간"),'cal1'!AC145,IF($B143="주간",'cal1'!Q145,""))</f>
        <v/>
      </c>
      <c r="D143" t="str">
        <f>IF(OR($B143="당직",$B143="야간"),'cal1'!AD145,IF($B143="주간",'cal1'!R145,""))</f>
        <v/>
      </c>
      <c r="E143" t="str">
        <f>IF(OR($B143="당직",$B143="야간"),'cal1'!AE145,IF($B143="주간",'cal1'!S145,""))</f>
        <v/>
      </c>
      <c r="F143" t="str">
        <f>IF(OR($B143="당직",$B143="야간"),'cal1'!AF145,IF($B143="주간",'cal1'!T145,""))</f>
        <v/>
      </c>
      <c r="G143" t="str">
        <f>IF(OR($B143="당직",$B143="야간"),'cal1'!AG145,IF($B143="주간",'cal1'!U145,""))</f>
        <v/>
      </c>
      <c r="L143" t="str">
        <f>'cal1'!AJ145</f>
        <v/>
      </c>
      <c r="M143" t="str">
        <f t="shared" si="2"/>
        <v/>
      </c>
    </row>
    <row r="144" spans="1:13">
      <c r="A144" s="1">
        <f>'cal1'!B146</f>
        <v>46166</v>
      </c>
      <c r="B144" t="str">
        <f>'cal1'!I146</f>
        <v>휴무</v>
      </c>
      <c r="C144" t="str">
        <f>IF(OR($B144="당직",$B144="야간"),'cal1'!AC146,IF($B144="주간",'cal1'!Q146,""))</f>
        <v/>
      </c>
      <c r="D144" t="str">
        <f>IF(OR($B144="당직",$B144="야간"),'cal1'!AD146,IF($B144="주간",'cal1'!R146,""))</f>
        <v/>
      </c>
      <c r="E144" t="str">
        <f>IF(OR($B144="당직",$B144="야간"),'cal1'!AE146,IF($B144="주간",'cal1'!S146,""))</f>
        <v/>
      </c>
      <c r="F144" t="str">
        <f>IF(OR($B144="당직",$B144="야간"),'cal1'!AF146,IF($B144="주간",'cal1'!T146,""))</f>
        <v/>
      </c>
      <c r="G144" t="str">
        <f>IF(OR($B144="당직",$B144="야간"),'cal1'!AG146,IF($B144="주간",'cal1'!U146,""))</f>
        <v/>
      </c>
      <c r="L144" t="str">
        <f>'cal1'!AJ146</f>
        <v/>
      </c>
      <c r="M144" t="str">
        <f t="shared" si="2"/>
        <v/>
      </c>
    </row>
    <row r="145" spans="1:13">
      <c r="A145" s="1">
        <f>'cal1'!B147</f>
        <v>46167</v>
      </c>
      <c r="B145" t="str">
        <f>'cal1'!I147</f>
        <v>당직</v>
      </c>
      <c r="C145" t="str">
        <f>IF(OR($B145="당직",$B145="야간"),'cal1'!AC147,IF($B145="주간",'cal1'!Q147,""))</f>
        <v>허지웅</v>
      </c>
      <c r="D145" t="str">
        <f>IF(OR($B145="당직",$B145="야간"),'cal1'!AD147,IF($B145="주간",'cal1'!R147,""))</f>
        <v>정윤준</v>
      </c>
      <c r="E145" t="str">
        <f>IF(OR($B145="당직",$B145="야간"),'cal1'!AE147,IF($B145="주간",'cal1'!S147,""))</f>
        <v>이기수</v>
      </c>
      <c r="F145" t="str">
        <f>IF(OR($B145="당직",$B145="야간"),'cal1'!AF147,IF($B145="주간",'cal1'!T147,""))</f>
        <v>박성현</v>
      </c>
      <c r="G145" t="e">
        <f>IF(OR($B145="당직",$B145="야간"),'cal1'!AG147,IF($B145="주간",'cal1'!U147,""))</f>
        <v>#VALUE!</v>
      </c>
      <c r="L145" t="str">
        <f>'cal1'!AJ147</f>
        <v/>
      </c>
      <c r="M145" t="str">
        <f t="shared" si="2"/>
        <v>[오늘의_근무 5/25(월)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46" spans="1:13">
      <c r="A146" s="1">
        <f>'cal1'!B148</f>
        <v>46168</v>
      </c>
      <c r="B146" t="str">
        <f>'cal1'!I148</f>
        <v>비번</v>
      </c>
      <c r="C146" t="str">
        <f>IF(OR($B146="당직",$B146="야간"),'cal1'!AC148,IF($B146="주간",'cal1'!Q148,""))</f>
        <v/>
      </c>
      <c r="D146" t="str">
        <f>IF(OR($B146="당직",$B146="야간"),'cal1'!AD148,IF($B146="주간",'cal1'!R148,""))</f>
        <v/>
      </c>
      <c r="E146" t="str">
        <f>IF(OR($B146="당직",$B146="야간"),'cal1'!AE148,IF($B146="주간",'cal1'!S148,""))</f>
        <v/>
      </c>
      <c r="F146" t="str">
        <f>IF(OR($B146="당직",$B146="야간"),'cal1'!AF148,IF($B146="주간",'cal1'!T148,""))</f>
        <v/>
      </c>
      <c r="G146" t="str">
        <f>IF(OR($B146="당직",$B146="야간"),'cal1'!AG148,IF($B146="주간",'cal1'!U148,""))</f>
        <v/>
      </c>
      <c r="L146" t="str">
        <f>'cal1'!AJ148</f>
        <v/>
      </c>
      <c r="M146" t="str">
        <f t="shared" si="2"/>
        <v/>
      </c>
    </row>
    <row r="147" spans="1:13">
      <c r="A147" s="1">
        <f>'cal1'!B149</f>
        <v>46169</v>
      </c>
      <c r="B147" t="str">
        <f>'cal1'!I149</f>
        <v>주간</v>
      </c>
      <c r="C147" t="str">
        <f>IF(OR($B147="당직",$B147="야간"),'cal1'!AC149,IF($B147="주간",'cal1'!Q149,""))</f>
        <v>박성현</v>
      </c>
      <c r="D147" t="str">
        <f>IF(OR($B147="당직",$B147="야간"),'cal1'!AD149,IF($B147="주간",'cal1'!R149,""))</f>
        <v>허지웅</v>
      </c>
      <c r="E147" t="str">
        <f>IF(OR($B147="당직",$B147="야간"),'cal1'!AE149,IF($B147="주간",'cal1'!S149,""))</f>
        <v>정윤준</v>
      </c>
      <c r="F147" t="str">
        <f>IF(OR($B147="당직",$B147="야간"),'cal1'!AF149,IF($B147="주간",'cal1'!T149,""))</f>
        <v>이기수</v>
      </c>
      <c r="G147" t="e">
        <f>IF(OR($B147="당직",$B147="야간"),'cal1'!AG149,IF($B147="주간",'cal1'!U149,""))</f>
        <v>#VALUE!</v>
      </c>
      <c r="L147" t="str">
        <f>'cal1'!AJ149</f>
        <v/>
      </c>
      <c r="M147" t="str">
        <f t="shared" si="2"/>
        <v>[오늘의_근무 5/27(수)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48" spans="1:13">
      <c r="A148" s="1">
        <f>'cal1'!B150</f>
        <v>46170</v>
      </c>
      <c r="B148" t="str">
        <f>'cal1'!I150</f>
        <v>야간</v>
      </c>
      <c r="C148" t="str">
        <f>IF(OR($B148="당직",$B148="야간"),'cal1'!AC150,IF($B148="주간",'cal1'!Q150,""))</f>
        <v>박성현</v>
      </c>
      <c r="D148" t="str">
        <f>IF(OR($B148="당직",$B148="야간"),'cal1'!AD150,IF($B148="주간",'cal1'!R150,""))</f>
        <v>허지웅</v>
      </c>
      <c r="E148" t="str">
        <f>IF(OR($B148="당직",$B148="야간"),'cal1'!AE150,IF($B148="주간",'cal1'!S150,""))</f>
        <v>정윤준</v>
      </c>
      <c r="F148" t="str">
        <f>IF(OR($B148="당직",$B148="야간"),'cal1'!AF150,IF($B148="주간",'cal1'!T150,""))</f>
        <v>이기수</v>
      </c>
      <c r="G148" t="str">
        <f>IF(OR($B148="당직",$B148="야간"),'cal1'!AG150,IF($B148="주간",'cal1'!U150,""))</f>
        <v>정윤준</v>
      </c>
      <c r="L148" t="str">
        <f>'cal1'!AJ150</f>
        <v/>
      </c>
      <c r="M148" t="str">
        <f t="shared" si="2"/>
        <v>[오늘의_근무 5/28(목)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49" spans="1:13">
      <c r="A149" s="1">
        <f>'cal1'!B151</f>
        <v>46171</v>
      </c>
      <c r="B149" t="str">
        <f>'cal1'!I151</f>
        <v>비번</v>
      </c>
      <c r="C149" t="str">
        <f>IF(OR($B149="당직",$B149="야간"),'cal1'!AC151,IF($B149="주간",'cal1'!Q151,""))</f>
        <v/>
      </c>
      <c r="D149" t="str">
        <f>IF(OR($B149="당직",$B149="야간"),'cal1'!AD151,IF($B149="주간",'cal1'!R151,""))</f>
        <v/>
      </c>
      <c r="E149" t="str">
        <f>IF(OR($B149="당직",$B149="야간"),'cal1'!AE151,IF($B149="주간",'cal1'!S151,""))</f>
        <v/>
      </c>
      <c r="F149" t="str">
        <f>IF(OR($B149="당직",$B149="야간"),'cal1'!AF151,IF($B149="주간",'cal1'!T151,""))</f>
        <v/>
      </c>
      <c r="G149" t="str">
        <f>IF(OR($B149="당직",$B149="야간"),'cal1'!AG151,IF($B149="주간",'cal1'!U151,""))</f>
        <v/>
      </c>
      <c r="L149" t="str">
        <f>'cal1'!AJ151</f>
        <v/>
      </c>
      <c r="M149" t="str">
        <f t="shared" si="2"/>
        <v/>
      </c>
    </row>
    <row r="150" spans="1:13">
      <c r="A150" s="1">
        <f>'cal1'!B152</f>
        <v>46172</v>
      </c>
      <c r="B150" t="str">
        <f>'cal1'!I152</f>
        <v>휴무</v>
      </c>
      <c r="C150" t="str">
        <f>IF(OR($B150="당직",$B150="야간"),'cal1'!AC152,IF($B150="주간",'cal1'!Q152,""))</f>
        <v/>
      </c>
      <c r="D150" t="str">
        <f>IF(OR($B150="당직",$B150="야간"),'cal1'!AD152,IF($B150="주간",'cal1'!R152,""))</f>
        <v/>
      </c>
      <c r="E150" t="str">
        <f>IF(OR($B150="당직",$B150="야간"),'cal1'!AE152,IF($B150="주간",'cal1'!S152,""))</f>
        <v/>
      </c>
      <c r="F150" t="str">
        <f>IF(OR($B150="당직",$B150="야간"),'cal1'!AF152,IF($B150="주간",'cal1'!T152,""))</f>
        <v/>
      </c>
      <c r="G150" t="str">
        <f>IF(OR($B150="당직",$B150="야간"),'cal1'!AG152,IF($B150="주간",'cal1'!U152,""))</f>
        <v/>
      </c>
      <c r="L150" t="str">
        <f>'cal1'!AJ152</f>
        <v/>
      </c>
      <c r="M150" t="str">
        <f t="shared" si="2"/>
        <v/>
      </c>
    </row>
    <row r="151" spans="1:13">
      <c r="A151" s="1">
        <f>'cal1'!B153</f>
        <v>46173</v>
      </c>
      <c r="B151" t="str">
        <f>'cal1'!I153</f>
        <v>당직</v>
      </c>
      <c r="C151" t="str">
        <f>IF(OR($B151="당직",$B151="야간"),'cal1'!AC153,IF($B151="주간",'cal1'!Q153,""))</f>
        <v>이기수</v>
      </c>
      <c r="D151" t="str">
        <f>IF(OR($B151="당직",$B151="야간"),'cal1'!AD153,IF($B151="주간",'cal1'!R153,""))</f>
        <v>박성현</v>
      </c>
      <c r="E151" t="str">
        <f>IF(OR($B151="당직",$B151="야간"),'cal1'!AE153,IF($B151="주간",'cal1'!S153,""))</f>
        <v>허지웅</v>
      </c>
      <c r="F151" t="str">
        <f>IF(OR($B151="당직",$B151="야간"),'cal1'!AF153,IF($B151="주간",'cal1'!T153,""))</f>
        <v>정윤준</v>
      </c>
      <c r="G151" t="str">
        <f>IF(OR($B151="당직",$B151="야간"),'cal1'!AG153,IF($B151="주간",'cal1'!U153,""))</f>
        <v>허지웅</v>
      </c>
      <c r="L151" t="str">
        <f>'cal1'!AJ153</f>
        <v>정윤준</v>
      </c>
      <c r="M151" t="str">
        <f t="shared" si="2"/>
        <v>[오늘의_근무 5/31(일) - 당직]\n▸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152" spans="1:13">
      <c r="A152" s="1">
        <f>'cal1'!B154</f>
        <v>46174</v>
      </c>
      <c r="B152" t="str">
        <f>'cal1'!I154</f>
        <v>비번</v>
      </c>
      <c r="C152" t="str">
        <f>IF(OR($B152="당직",$B152="야간"),'cal1'!AC154,IF($B152="주간",'cal1'!Q154,""))</f>
        <v/>
      </c>
      <c r="D152" t="str">
        <f>IF(OR($B152="당직",$B152="야간"),'cal1'!AD154,IF($B152="주간",'cal1'!R154,""))</f>
        <v/>
      </c>
      <c r="E152" t="str">
        <f>IF(OR($B152="당직",$B152="야간"),'cal1'!AE154,IF($B152="주간",'cal1'!S154,""))</f>
        <v/>
      </c>
      <c r="F152" t="str">
        <f>IF(OR($B152="당직",$B152="야간"),'cal1'!AF154,IF($B152="주간",'cal1'!T154,""))</f>
        <v/>
      </c>
      <c r="G152" t="str">
        <f>IF(OR($B152="당직",$B152="야간"),'cal1'!AG154,IF($B152="주간",'cal1'!U154,""))</f>
        <v/>
      </c>
      <c r="L152" t="str">
        <f>'cal1'!AJ154</f>
        <v/>
      </c>
      <c r="M152" t="str">
        <f t="shared" si="2"/>
        <v/>
      </c>
    </row>
    <row r="153" spans="1:13">
      <c r="A153" s="1">
        <f>'cal1'!B155</f>
        <v>46175</v>
      </c>
      <c r="B153" t="str">
        <f>'cal1'!I155</f>
        <v>주간</v>
      </c>
      <c r="C153" t="str">
        <f>IF(OR($B153="당직",$B153="야간"),'cal1'!AC155,IF($B153="주간",'cal1'!Q155,""))</f>
        <v>이기수</v>
      </c>
      <c r="D153" t="str">
        <f>IF(OR($B153="당직",$B153="야간"),'cal1'!AD155,IF($B153="주간",'cal1'!R155,""))</f>
        <v>박성현</v>
      </c>
      <c r="E153" t="str">
        <f>IF(OR($B153="당직",$B153="야간"),'cal1'!AE155,IF($B153="주간",'cal1'!S155,""))</f>
        <v>허지웅</v>
      </c>
      <c r="F153" t="str">
        <f>IF(OR($B153="당직",$B153="야간"),'cal1'!AF155,IF($B153="주간",'cal1'!T155,""))</f>
        <v>정윤준</v>
      </c>
      <c r="G153" t="str">
        <f>IF(OR($B153="당직",$B153="야간"),'cal1'!AG155,IF($B153="주간",'cal1'!U155,""))</f>
        <v>장혁진</v>
      </c>
      <c r="L153" t="str">
        <f>'cal1'!AJ155</f>
        <v/>
      </c>
      <c r="M153" t="str">
        <f t="shared" si="2"/>
        <v>[오늘의_근무 6/2(화)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154" spans="1:13">
      <c r="A154" s="1">
        <f>'cal1'!B156</f>
        <v>46176</v>
      </c>
      <c r="B154" t="str">
        <f>'cal1'!I156</f>
        <v>당직</v>
      </c>
      <c r="C154" t="str">
        <f>IF(OR($B154="당직",$B154="야간"),'cal1'!AC156,IF($B154="주간",'cal1'!Q156,""))</f>
        <v>정윤준</v>
      </c>
      <c r="D154" t="str">
        <f>IF(OR($B154="당직",$B154="야간"),'cal1'!AD156,IF($B154="주간",'cal1'!R156,""))</f>
        <v>이기수</v>
      </c>
      <c r="E154" t="str">
        <f>IF(OR($B154="당직",$B154="야간"),'cal1'!AE156,IF($B154="주간",'cal1'!S156,""))</f>
        <v>박성현</v>
      </c>
      <c r="F154" t="str">
        <f>IF(OR($B154="당직",$B154="야간"),'cal1'!AF156,IF($B154="주간",'cal1'!T156,""))</f>
        <v>허지웅</v>
      </c>
      <c r="G154" t="str">
        <f>IF(OR($B154="당직",$B154="야간"),'cal1'!AG156,IF($B154="주간",'cal1'!U156,""))</f>
        <v>장혁진</v>
      </c>
      <c r="L154" t="str">
        <f>'cal1'!AJ156</f>
        <v/>
      </c>
      <c r="M154" t="str">
        <f t="shared" si="2"/>
        <v>[오늘의_근무 6/3(수)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55" spans="1:13">
      <c r="A155" s="1">
        <f>'cal1'!B157</f>
        <v>46177</v>
      </c>
      <c r="B155" t="str">
        <f>'cal1'!I157</f>
        <v>비번</v>
      </c>
      <c r="C155" t="str">
        <f>IF(OR($B155="당직",$B155="야간"),'cal1'!AC157,IF($B155="주간",'cal1'!Q157,""))</f>
        <v/>
      </c>
      <c r="D155" t="str">
        <f>IF(OR($B155="당직",$B155="야간"),'cal1'!AD157,IF($B155="주간",'cal1'!R157,""))</f>
        <v/>
      </c>
      <c r="E155" t="str">
        <f>IF(OR($B155="당직",$B155="야간"),'cal1'!AE157,IF($B155="주간",'cal1'!S157,""))</f>
        <v/>
      </c>
      <c r="F155" t="str">
        <f>IF(OR($B155="당직",$B155="야간"),'cal1'!AF157,IF($B155="주간",'cal1'!T157,""))</f>
        <v/>
      </c>
      <c r="G155" t="str">
        <f>IF(OR($B155="당직",$B155="야간"),'cal1'!AG157,IF($B155="주간",'cal1'!U157,""))</f>
        <v/>
      </c>
      <c r="L155" t="str">
        <f>'cal1'!AJ157</f>
        <v/>
      </c>
      <c r="M155" t="str">
        <f t="shared" si="2"/>
        <v/>
      </c>
    </row>
    <row r="156" spans="1:13">
      <c r="A156" s="1">
        <f>'cal1'!B158</f>
        <v>46178</v>
      </c>
      <c r="B156" t="str">
        <f>'cal1'!I158</f>
        <v>주간</v>
      </c>
      <c r="C156" t="str">
        <f>IF(OR($B156="당직",$B156="야간"),'cal1'!AC158,IF($B156="주간",'cal1'!Q158,""))</f>
        <v>정윤준</v>
      </c>
      <c r="D156" t="str">
        <f>IF(OR($B156="당직",$B156="야간"),'cal1'!AD158,IF($B156="주간",'cal1'!R158,""))</f>
        <v>이기수</v>
      </c>
      <c r="E156" t="str">
        <f>IF(OR($B156="당직",$B156="야간"),'cal1'!AE158,IF($B156="주간",'cal1'!S158,""))</f>
        <v>박성현</v>
      </c>
      <c r="F156" t="str">
        <f>IF(OR($B156="당직",$B156="야간"),'cal1'!AF158,IF($B156="주간",'cal1'!T158,""))</f>
        <v>허지웅</v>
      </c>
      <c r="G156" t="str">
        <f>IF(OR($B156="당직",$B156="야간"),'cal1'!AG158,IF($B156="주간",'cal1'!U158,""))</f>
        <v>이기수</v>
      </c>
      <c r="L156" t="str">
        <f>'cal1'!AJ158</f>
        <v/>
      </c>
      <c r="M156" t="str">
        <f t="shared" si="2"/>
        <v>[오늘의_근무 6/5(금)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57" spans="1:13">
      <c r="A157" s="1">
        <f>'cal1'!B159</f>
        <v>46179</v>
      </c>
      <c r="B157" t="str">
        <f>'cal1'!I159</f>
        <v>당직</v>
      </c>
      <c r="C157" t="str">
        <f>IF(OR($B157="당직",$B157="야간"),'cal1'!AC159,IF($B157="주간",'cal1'!Q159,""))</f>
        <v>허지웅</v>
      </c>
      <c r="D157" t="str">
        <f>IF(OR($B157="당직",$B157="야간"),'cal1'!AD159,IF($B157="주간",'cal1'!R159,""))</f>
        <v>정윤준</v>
      </c>
      <c r="E157" t="str">
        <f>IF(OR($B157="당직",$B157="야간"),'cal1'!AE159,IF($B157="주간",'cal1'!S159,""))</f>
        <v>이기수</v>
      </c>
      <c r="F157" t="str">
        <f>IF(OR($B157="당직",$B157="야간"),'cal1'!AF159,IF($B157="주간",'cal1'!T159,""))</f>
        <v>박성현</v>
      </c>
      <c r="G157" t="str">
        <f>IF(OR($B157="당직",$B157="야간"),'cal1'!AG159,IF($B157="주간",'cal1'!U159,""))</f>
        <v>이기수</v>
      </c>
      <c r="L157" t="str">
        <f>'cal1'!AJ159</f>
        <v/>
      </c>
      <c r="M157" t="str">
        <f t="shared" si="2"/>
        <v>[오늘의_근무 6/6(토)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58" spans="1:13">
      <c r="A158" s="1">
        <f>'cal1'!B160</f>
        <v>46180</v>
      </c>
      <c r="B158" t="str">
        <f>'cal1'!I160</f>
        <v>비번</v>
      </c>
      <c r="C158" t="str">
        <f>IF(OR($B158="당직",$B158="야간"),'cal1'!AC160,IF($B158="주간",'cal1'!Q160,""))</f>
        <v/>
      </c>
      <c r="D158" t="str">
        <f>IF(OR($B158="당직",$B158="야간"),'cal1'!AD160,IF($B158="주간",'cal1'!R160,""))</f>
        <v/>
      </c>
      <c r="E158" t="str">
        <f>IF(OR($B158="당직",$B158="야간"),'cal1'!AE160,IF($B158="주간",'cal1'!S160,""))</f>
        <v/>
      </c>
      <c r="F158" t="str">
        <f>IF(OR($B158="당직",$B158="야간"),'cal1'!AF160,IF($B158="주간",'cal1'!T160,""))</f>
        <v/>
      </c>
      <c r="G158" t="str">
        <f>IF(OR($B158="당직",$B158="야간"),'cal1'!AG160,IF($B158="주간",'cal1'!U160,""))</f>
        <v/>
      </c>
      <c r="L158" t="str">
        <f>'cal1'!AJ160</f>
        <v/>
      </c>
      <c r="M158" t="str">
        <f t="shared" si="2"/>
        <v/>
      </c>
    </row>
    <row r="159" spans="1:13">
      <c r="A159" s="1">
        <f>'cal1'!B161</f>
        <v>46181</v>
      </c>
      <c r="B159" t="str">
        <f>'cal1'!I161</f>
        <v>주간</v>
      </c>
      <c r="C159" t="str">
        <f>IF(OR($B159="당직",$B159="야간"),'cal1'!AC161,IF($B159="주간",'cal1'!Q161,""))</f>
        <v>허지웅</v>
      </c>
      <c r="D159" t="str">
        <f>IF(OR($B159="당직",$B159="야간"),'cal1'!AD161,IF($B159="주간",'cal1'!R161,""))</f>
        <v>정윤준</v>
      </c>
      <c r="E159" t="str">
        <f>IF(OR($B159="당직",$B159="야간"),'cal1'!AE161,IF($B159="주간",'cal1'!S161,""))</f>
        <v>이기수</v>
      </c>
      <c r="F159" t="str">
        <f>IF(OR($B159="당직",$B159="야간"),'cal1'!AF161,IF($B159="주간",'cal1'!T161,""))</f>
        <v>박성현</v>
      </c>
      <c r="G159" t="str">
        <f>IF(OR($B159="당직",$B159="야간"),'cal1'!AG161,IF($B159="주간",'cal1'!U161,""))</f>
        <v>정윤준</v>
      </c>
      <c r="L159" t="str">
        <f>'cal1'!AJ161</f>
        <v/>
      </c>
      <c r="M159" t="str">
        <f t="shared" si="2"/>
        <v>[오늘의_근무 6/8(월)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60" spans="1:13">
      <c r="A160" s="1">
        <f>'cal1'!B162</f>
        <v>46182</v>
      </c>
      <c r="B160" t="str">
        <f>'cal1'!I162</f>
        <v>야간</v>
      </c>
      <c r="C160" t="str">
        <f>IF(OR($B160="당직",$B160="야간"),'cal1'!AC162,IF($B160="주간",'cal1'!Q162,""))</f>
        <v>박성현</v>
      </c>
      <c r="D160" t="str">
        <f>IF(OR($B160="당직",$B160="야간"),'cal1'!AD162,IF($B160="주간",'cal1'!R162,""))</f>
        <v>허지웅</v>
      </c>
      <c r="E160" t="str">
        <f>IF(OR($B160="당직",$B160="야간"),'cal1'!AE162,IF($B160="주간",'cal1'!S162,""))</f>
        <v>정윤준</v>
      </c>
      <c r="F160" t="str">
        <f>IF(OR($B160="당직",$B160="야간"),'cal1'!AF162,IF($B160="주간",'cal1'!T162,""))</f>
        <v>이기수</v>
      </c>
      <c r="G160" t="e">
        <f>IF(OR($B160="당직",$B160="야간"),'cal1'!AG162,IF($B160="주간",'cal1'!U162,""))</f>
        <v>#VALUE!</v>
      </c>
      <c r="L160" t="str">
        <f>'cal1'!AJ162</f>
        <v/>
      </c>
      <c r="M160" t="str">
        <f t="shared" si="2"/>
        <v>[오늘의_근무 6/9(화)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61" spans="1:13">
      <c r="A161" s="1">
        <f>'cal1'!B163</f>
        <v>46183</v>
      </c>
      <c r="B161" t="str">
        <f>'cal1'!I163</f>
        <v>비번</v>
      </c>
      <c r="C161" t="str">
        <f>IF(OR($B161="당직",$B161="야간"),'cal1'!AC163,IF($B161="주간",'cal1'!Q163,""))</f>
        <v/>
      </c>
      <c r="D161" t="str">
        <f>IF(OR($B161="당직",$B161="야간"),'cal1'!AD163,IF($B161="주간",'cal1'!R163,""))</f>
        <v/>
      </c>
      <c r="E161" t="str">
        <f>IF(OR($B161="당직",$B161="야간"),'cal1'!AE163,IF($B161="주간",'cal1'!S163,""))</f>
        <v/>
      </c>
      <c r="F161" t="str">
        <f>IF(OR($B161="당직",$B161="야간"),'cal1'!AF163,IF($B161="주간",'cal1'!T163,""))</f>
        <v/>
      </c>
      <c r="G161" t="str">
        <f>IF(OR($B161="당직",$B161="야간"),'cal1'!AG163,IF($B161="주간",'cal1'!U163,""))</f>
        <v/>
      </c>
      <c r="L161" t="str">
        <f>'cal1'!AJ163</f>
        <v/>
      </c>
      <c r="M161" t="str">
        <f t="shared" si="2"/>
        <v/>
      </c>
    </row>
    <row r="162" spans="1:13">
      <c r="A162" s="1">
        <f>'cal1'!B164</f>
        <v>46184</v>
      </c>
      <c r="B162" t="str">
        <f>'cal1'!I164</f>
        <v>주간</v>
      </c>
      <c r="C162" t="str">
        <f>IF(OR($B162="당직",$B162="야간"),'cal1'!AC164,IF($B162="주간",'cal1'!Q164,""))</f>
        <v>박성현</v>
      </c>
      <c r="D162" t="str">
        <f>IF(OR($B162="당직",$B162="야간"),'cal1'!AD164,IF($B162="주간",'cal1'!R164,""))</f>
        <v>허지웅</v>
      </c>
      <c r="E162" t="str">
        <f>IF(OR($B162="당직",$B162="야간"),'cal1'!AE164,IF($B162="주간",'cal1'!S164,""))</f>
        <v>정윤준</v>
      </c>
      <c r="F162" t="str">
        <f>IF(OR($B162="당직",$B162="야간"),'cal1'!AF164,IF($B162="주간",'cal1'!T164,""))</f>
        <v>이기수</v>
      </c>
      <c r="G162" t="str">
        <f>IF(OR($B162="당직",$B162="야간"),'cal1'!AG164,IF($B162="주간",'cal1'!U164,""))</f>
        <v>허지웅</v>
      </c>
      <c r="L162" t="str">
        <f>'cal1'!AJ164</f>
        <v/>
      </c>
      <c r="M162" t="str">
        <f t="shared" si="2"/>
        <v>[오늘의_근무 6/11(목)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63" spans="1:13">
      <c r="A163" s="1">
        <f>'cal1'!B165</f>
        <v>46185</v>
      </c>
      <c r="B163" t="str">
        <f>'cal1'!I165</f>
        <v>야간</v>
      </c>
      <c r="C163" t="str">
        <f>IF(OR($B163="당직",$B163="야간"),'cal1'!AC165,IF($B163="주간",'cal1'!Q165,""))</f>
        <v>이기수</v>
      </c>
      <c r="D163" t="str">
        <f>IF(OR($B163="당직",$B163="야간"),'cal1'!AD165,IF($B163="주간",'cal1'!R165,""))</f>
        <v>박성현</v>
      </c>
      <c r="E163" t="str">
        <f>IF(OR($B163="당직",$B163="야간"),'cal1'!AE165,IF($B163="주간",'cal1'!S165,""))</f>
        <v>허지웅</v>
      </c>
      <c r="F163" t="str">
        <f>IF(OR($B163="당직",$B163="야간"),'cal1'!AF165,IF($B163="주간",'cal1'!T165,""))</f>
        <v>정윤준</v>
      </c>
      <c r="G163" t="str">
        <f>IF(OR($B163="당직",$B163="야간"),'cal1'!AG165,IF($B163="주간",'cal1'!U165,""))</f>
        <v>정윤준</v>
      </c>
      <c r="L163" t="str">
        <f>'cal1'!AJ165</f>
        <v>허지웅</v>
      </c>
      <c r="M163" t="str">
        <f t="shared" si="2"/>
        <v>[오늘의_근무 6/12(금)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164" spans="1:13">
      <c r="A164" s="1">
        <f>'cal1'!B166</f>
        <v>46186</v>
      </c>
      <c r="B164" t="str">
        <f>'cal1'!I166</f>
        <v>비번</v>
      </c>
      <c r="C164" t="str">
        <f>IF(OR($B164="당직",$B164="야간"),'cal1'!AC166,IF($B164="주간",'cal1'!Q166,""))</f>
        <v/>
      </c>
      <c r="D164" t="str">
        <f>IF(OR($B164="당직",$B164="야간"),'cal1'!AD166,IF($B164="주간",'cal1'!R166,""))</f>
        <v/>
      </c>
      <c r="E164" t="str">
        <f>IF(OR($B164="당직",$B164="야간"),'cal1'!AE166,IF($B164="주간",'cal1'!S166,""))</f>
        <v/>
      </c>
      <c r="F164" t="str">
        <f>IF(OR($B164="당직",$B164="야간"),'cal1'!AF166,IF($B164="주간",'cal1'!T166,""))</f>
        <v/>
      </c>
      <c r="G164" t="str">
        <f>IF(OR($B164="당직",$B164="야간"),'cal1'!AG166,IF($B164="주간",'cal1'!U166,""))</f>
        <v/>
      </c>
      <c r="L164" t="str">
        <f>'cal1'!AJ166</f>
        <v/>
      </c>
      <c r="M164" t="str">
        <f t="shared" si="2"/>
        <v/>
      </c>
    </row>
    <row r="165" spans="1:13">
      <c r="A165" s="1">
        <f>'cal1'!B167</f>
        <v>46187</v>
      </c>
      <c r="B165" t="str">
        <f>'cal1'!I167</f>
        <v>휴무</v>
      </c>
      <c r="C165" t="str">
        <f>IF(OR($B165="당직",$B165="야간"),'cal1'!AC167,IF($B165="주간",'cal1'!Q167,""))</f>
        <v/>
      </c>
      <c r="D165" t="str">
        <f>IF(OR($B165="당직",$B165="야간"),'cal1'!AD167,IF($B165="주간",'cal1'!R167,""))</f>
        <v/>
      </c>
      <c r="E165" t="str">
        <f>IF(OR($B165="당직",$B165="야간"),'cal1'!AE167,IF($B165="주간",'cal1'!S167,""))</f>
        <v/>
      </c>
      <c r="F165" t="str">
        <f>IF(OR($B165="당직",$B165="야간"),'cal1'!AF167,IF($B165="주간",'cal1'!T167,""))</f>
        <v/>
      </c>
      <c r="G165" t="str">
        <f>IF(OR($B165="당직",$B165="야간"),'cal1'!AG167,IF($B165="주간",'cal1'!U167,""))</f>
        <v/>
      </c>
      <c r="L165" t="str">
        <f>'cal1'!AJ167</f>
        <v/>
      </c>
      <c r="M165" t="str">
        <f t="shared" si="2"/>
        <v/>
      </c>
    </row>
    <row r="166" spans="1:13">
      <c r="A166" s="1">
        <f>'cal1'!B168</f>
        <v>46188</v>
      </c>
      <c r="B166" t="str">
        <f>'cal1'!I168</f>
        <v>야간</v>
      </c>
      <c r="C166" t="str">
        <f>IF(OR($B166="당직",$B166="야간"),'cal1'!AC168,IF($B166="주간",'cal1'!Q168,""))</f>
        <v>정윤준</v>
      </c>
      <c r="D166" t="str">
        <f>IF(OR($B166="당직",$B166="야간"),'cal1'!AD168,IF($B166="주간",'cal1'!R168,""))</f>
        <v>이기수</v>
      </c>
      <c r="E166" t="str">
        <f>IF(OR($B166="당직",$B166="야간"),'cal1'!AE168,IF($B166="주간",'cal1'!S168,""))</f>
        <v>박성현</v>
      </c>
      <c r="F166" t="str">
        <f>IF(OR($B166="당직",$B166="야간"),'cal1'!AF168,IF($B166="주간",'cal1'!T168,""))</f>
        <v>허지웅</v>
      </c>
      <c r="G166" t="str">
        <f>IF(OR($B166="당직",$B166="야간"),'cal1'!AG168,IF($B166="주간",'cal1'!U168,""))</f>
        <v>허지웅</v>
      </c>
      <c r="L166" t="str">
        <f>'cal1'!AJ168</f>
        <v/>
      </c>
      <c r="M166" t="str">
        <f t="shared" si="2"/>
        <v>[오늘의_근무 6/15(월)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67" spans="1:13">
      <c r="A167" s="1">
        <f>'cal1'!B169</f>
        <v>46189</v>
      </c>
      <c r="B167" t="str">
        <f>'cal1'!I169</f>
        <v>비번</v>
      </c>
      <c r="C167" t="str">
        <f>IF(OR($B167="당직",$B167="야간"),'cal1'!AC169,IF($B167="주간",'cal1'!Q169,""))</f>
        <v/>
      </c>
      <c r="D167" t="str">
        <f>IF(OR($B167="당직",$B167="야간"),'cal1'!AD169,IF($B167="주간",'cal1'!R169,""))</f>
        <v/>
      </c>
      <c r="E167" t="str">
        <f>IF(OR($B167="당직",$B167="야간"),'cal1'!AE169,IF($B167="주간",'cal1'!S169,""))</f>
        <v/>
      </c>
      <c r="F167" t="str">
        <f>IF(OR($B167="당직",$B167="야간"),'cal1'!AF169,IF($B167="주간",'cal1'!T169,""))</f>
        <v/>
      </c>
      <c r="G167" t="str">
        <f>IF(OR($B167="당직",$B167="야간"),'cal1'!AG169,IF($B167="주간",'cal1'!U169,""))</f>
        <v/>
      </c>
      <c r="L167" t="str">
        <f>'cal1'!AJ169</f>
        <v/>
      </c>
      <c r="M167" t="str">
        <f t="shared" si="2"/>
        <v/>
      </c>
    </row>
    <row r="168" spans="1:13">
      <c r="A168" s="1">
        <f>'cal1'!B170</f>
        <v>46190</v>
      </c>
      <c r="B168" t="str">
        <f>'cal1'!I170</f>
        <v>주간</v>
      </c>
      <c r="C168" t="str">
        <f>IF(OR($B168="당직",$B168="야간"),'cal1'!AC170,IF($B168="주간",'cal1'!Q170,""))</f>
        <v>이기수</v>
      </c>
      <c r="D168" t="str">
        <f>IF(OR($B168="당직",$B168="야간"),'cal1'!AD170,IF($B168="주간",'cal1'!R170,""))</f>
        <v>박성현</v>
      </c>
      <c r="E168" t="str">
        <f>IF(OR($B168="당직",$B168="야간"),'cal1'!AE170,IF($B168="주간",'cal1'!S170,""))</f>
        <v>허지웅</v>
      </c>
      <c r="F168" t="str">
        <f>IF(OR($B168="당직",$B168="야간"),'cal1'!AF170,IF($B168="주간",'cal1'!T170,""))</f>
        <v>정윤준</v>
      </c>
      <c r="G168" t="e">
        <f>IF(OR($B168="당직",$B168="야간"),'cal1'!AG170,IF($B168="주간",'cal1'!U170,""))</f>
        <v>#VALUE!</v>
      </c>
      <c r="L168" t="str">
        <f>'cal1'!AJ170</f>
        <v/>
      </c>
      <c r="M168" t="str">
        <f t="shared" si="2"/>
        <v>[오늘의_근무 6/17(수)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169" spans="1:13">
      <c r="A169" s="1">
        <f>'cal1'!B171</f>
        <v>46191</v>
      </c>
      <c r="B169" t="str">
        <f>'cal1'!I171</f>
        <v>야간</v>
      </c>
      <c r="C169" t="str">
        <f>IF(OR($B169="당직",$B169="야간"),'cal1'!AC171,IF($B169="주간",'cal1'!Q171,""))</f>
        <v>허지웅</v>
      </c>
      <c r="D169" t="str">
        <f>IF(OR($B169="당직",$B169="야간"),'cal1'!AD171,IF($B169="주간",'cal1'!R171,""))</f>
        <v>정윤준</v>
      </c>
      <c r="E169" t="str">
        <f>IF(OR($B169="당직",$B169="야간"),'cal1'!AE171,IF($B169="주간",'cal1'!S171,""))</f>
        <v>이기수</v>
      </c>
      <c r="F169" t="str">
        <f>IF(OR($B169="당직",$B169="야간"),'cal1'!AF171,IF($B169="주간",'cal1'!T171,""))</f>
        <v>박성현</v>
      </c>
      <c r="G169" t="str">
        <f>IF(OR($B169="당직",$B169="야간"),'cal1'!AG171,IF($B169="주간",'cal1'!U171,""))</f>
        <v>장혁진</v>
      </c>
      <c r="L169" t="str">
        <f>'cal1'!AJ171</f>
        <v/>
      </c>
      <c r="M169" t="str">
        <f t="shared" si="2"/>
        <v>[오늘의_근무 6/18(목)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70" spans="1:13">
      <c r="A170" s="1">
        <f>'cal1'!B172</f>
        <v>46192</v>
      </c>
      <c r="B170" t="str">
        <f>'cal1'!I172</f>
        <v>비번</v>
      </c>
      <c r="C170" t="str">
        <f>IF(OR($B170="당직",$B170="야간"),'cal1'!AC172,IF($B170="주간",'cal1'!Q172,""))</f>
        <v/>
      </c>
      <c r="D170" t="str">
        <f>IF(OR($B170="당직",$B170="야간"),'cal1'!AD172,IF($B170="주간",'cal1'!R172,""))</f>
        <v/>
      </c>
      <c r="E170" t="str">
        <f>IF(OR($B170="당직",$B170="야간"),'cal1'!AE172,IF($B170="주간",'cal1'!S172,""))</f>
        <v/>
      </c>
      <c r="F170" t="str">
        <f>IF(OR($B170="당직",$B170="야간"),'cal1'!AF172,IF($B170="주간",'cal1'!T172,""))</f>
        <v/>
      </c>
      <c r="G170" t="str">
        <f>IF(OR($B170="당직",$B170="야간"),'cal1'!AG172,IF($B170="주간",'cal1'!U172,""))</f>
        <v/>
      </c>
      <c r="L170" t="str">
        <f>'cal1'!AJ172</f>
        <v/>
      </c>
      <c r="M170" t="str">
        <f t="shared" si="2"/>
        <v/>
      </c>
    </row>
    <row r="171" spans="1:13">
      <c r="A171" s="1">
        <f>'cal1'!B173</f>
        <v>46193</v>
      </c>
      <c r="B171" t="str">
        <f>'cal1'!I173</f>
        <v>휴무</v>
      </c>
      <c r="C171" t="str">
        <f>IF(OR($B171="당직",$B171="야간"),'cal1'!AC173,IF($B171="주간",'cal1'!Q173,""))</f>
        <v/>
      </c>
      <c r="D171" t="str">
        <f>IF(OR($B171="당직",$B171="야간"),'cal1'!AD173,IF($B171="주간",'cal1'!R173,""))</f>
        <v/>
      </c>
      <c r="E171" t="str">
        <f>IF(OR($B171="당직",$B171="야간"),'cal1'!AE173,IF($B171="주간",'cal1'!S173,""))</f>
        <v/>
      </c>
      <c r="F171" t="str">
        <f>IF(OR($B171="당직",$B171="야간"),'cal1'!AF173,IF($B171="주간",'cal1'!T173,""))</f>
        <v/>
      </c>
      <c r="G171" t="str">
        <f>IF(OR($B171="당직",$B171="야간"),'cal1'!AG173,IF($B171="주간",'cal1'!U173,""))</f>
        <v/>
      </c>
      <c r="L171" t="str">
        <f>'cal1'!AJ173</f>
        <v/>
      </c>
      <c r="M171" t="str">
        <f t="shared" si="2"/>
        <v/>
      </c>
    </row>
    <row r="172" spans="1:13">
      <c r="A172" s="1">
        <f>'cal1'!B174</f>
        <v>46194</v>
      </c>
      <c r="B172" t="str">
        <f>'cal1'!I174</f>
        <v>당직</v>
      </c>
      <c r="C172" t="str">
        <f>IF(OR($B172="당직",$B172="야간"),'cal1'!AC174,IF($B172="주간",'cal1'!Q174,""))</f>
        <v>박성현</v>
      </c>
      <c r="D172" t="str">
        <f>IF(OR($B172="당직",$B172="야간"),'cal1'!AD174,IF($B172="주간",'cal1'!R174,""))</f>
        <v>허지웅</v>
      </c>
      <c r="E172" t="str">
        <f>IF(OR($B172="당직",$B172="야간"),'cal1'!AE174,IF($B172="주간",'cal1'!S174,""))</f>
        <v>정윤준</v>
      </c>
      <c r="F172" t="str">
        <f>IF(OR($B172="당직",$B172="야간"),'cal1'!AF174,IF($B172="주간",'cal1'!T174,""))</f>
        <v>이기수</v>
      </c>
      <c r="G172" t="str">
        <f>IF(OR($B172="당직",$B172="야간"),'cal1'!AG174,IF($B172="주간",'cal1'!U174,""))</f>
        <v>이기수</v>
      </c>
      <c r="L172" t="str">
        <f>'cal1'!AJ174</f>
        <v/>
      </c>
      <c r="M172" t="str">
        <f t="shared" si="2"/>
        <v>[오늘의_근무 6/21(일)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73" spans="1:13">
      <c r="A173" s="1">
        <f>'cal1'!B175</f>
        <v>46195</v>
      </c>
      <c r="B173" t="str">
        <f>'cal1'!I175</f>
        <v>비번</v>
      </c>
      <c r="C173" t="str">
        <f>IF(OR($B173="당직",$B173="야간"),'cal1'!AC175,IF($B173="주간",'cal1'!Q175,""))</f>
        <v/>
      </c>
      <c r="D173" t="str">
        <f>IF(OR($B173="당직",$B173="야간"),'cal1'!AD175,IF($B173="주간",'cal1'!R175,""))</f>
        <v/>
      </c>
      <c r="E173" t="str">
        <f>IF(OR($B173="당직",$B173="야간"),'cal1'!AE175,IF($B173="주간",'cal1'!S175,""))</f>
        <v/>
      </c>
      <c r="F173" t="str">
        <f>IF(OR($B173="당직",$B173="야간"),'cal1'!AF175,IF($B173="주간",'cal1'!T175,""))</f>
        <v/>
      </c>
      <c r="G173" t="str">
        <f>IF(OR($B173="당직",$B173="야간"),'cal1'!AG175,IF($B173="주간",'cal1'!U175,""))</f>
        <v/>
      </c>
      <c r="L173" t="str">
        <f>'cal1'!AJ175</f>
        <v/>
      </c>
      <c r="M173" t="str">
        <f t="shared" si="2"/>
        <v/>
      </c>
    </row>
    <row r="174" spans="1:13">
      <c r="A174" s="1">
        <f>'cal1'!B176</f>
        <v>46196</v>
      </c>
      <c r="B174" t="str">
        <f>'cal1'!I176</f>
        <v>주간</v>
      </c>
      <c r="C174" t="str">
        <f>IF(OR($B174="당직",$B174="야간"),'cal1'!AC176,IF($B174="주간",'cal1'!Q176,""))</f>
        <v>정윤준</v>
      </c>
      <c r="D174" t="str">
        <f>IF(OR($B174="당직",$B174="야간"),'cal1'!AD176,IF($B174="주간",'cal1'!R176,""))</f>
        <v>이기수</v>
      </c>
      <c r="E174" t="str">
        <f>IF(OR($B174="당직",$B174="야간"),'cal1'!AE176,IF($B174="주간",'cal1'!S176,""))</f>
        <v>박성현</v>
      </c>
      <c r="F174" t="str">
        <f>IF(OR($B174="당직",$B174="야간"),'cal1'!AF176,IF($B174="주간",'cal1'!T176,""))</f>
        <v>허지웅</v>
      </c>
      <c r="G174" t="str">
        <f>IF(OR($B174="당직",$B174="야간"),'cal1'!AG176,IF($B174="주간",'cal1'!U176,""))</f>
        <v>장혁진</v>
      </c>
      <c r="L174" t="str">
        <f>'cal1'!AJ176</f>
        <v/>
      </c>
      <c r="M174" t="str">
        <f t="shared" si="2"/>
        <v>[오늘의_근무 6/23(화)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75" spans="1:13">
      <c r="A175" s="1">
        <f>'cal1'!B177</f>
        <v>46197</v>
      </c>
      <c r="B175" t="str">
        <f>'cal1'!I177</f>
        <v>야간</v>
      </c>
      <c r="C175" t="str">
        <f>IF(OR($B175="당직",$B175="야간"),'cal1'!AC177,IF($B175="주간",'cal1'!Q177,""))</f>
        <v>이기수</v>
      </c>
      <c r="D175" t="str">
        <f>IF(OR($B175="당직",$B175="야간"),'cal1'!AD177,IF($B175="주간",'cal1'!R177,""))</f>
        <v>박성현</v>
      </c>
      <c r="E175" t="str">
        <f>IF(OR($B175="당직",$B175="야간"),'cal1'!AE177,IF($B175="주간",'cal1'!S177,""))</f>
        <v>허지웅</v>
      </c>
      <c r="F175" t="str">
        <f>IF(OR($B175="당직",$B175="야간"),'cal1'!AF177,IF($B175="주간",'cal1'!T177,""))</f>
        <v>정윤준</v>
      </c>
      <c r="G175" t="e">
        <f>IF(OR($B175="당직",$B175="야간"),'cal1'!AG177,IF($B175="주간",'cal1'!U177,""))</f>
        <v>#VALUE!</v>
      </c>
      <c r="L175" t="str">
        <f>'cal1'!AJ177</f>
        <v>정윤준</v>
      </c>
      <c r="M175" t="str">
        <f t="shared" si="2"/>
        <v>[오늘의_근무 6/24(수)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176" spans="1:13">
      <c r="A176" s="1">
        <f>'cal1'!B178</f>
        <v>46198</v>
      </c>
      <c r="B176" t="str">
        <f>'cal1'!I178</f>
        <v>비번</v>
      </c>
      <c r="C176" t="str">
        <f>IF(OR($B176="당직",$B176="야간"),'cal1'!AC178,IF($B176="주간",'cal1'!Q178,""))</f>
        <v/>
      </c>
      <c r="D176" t="str">
        <f>IF(OR($B176="당직",$B176="야간"),'cal1'!AD178,IF($B176="주간",'cal1'!R178,""))</f>
        <v/>
      </c>
      <c r="E176" t="str">
        <f>IF(OR($B176="당직",$B176="야간"),'cal1'!AE178,IF($B176="주간",'cal1'!S178,""))</f>
        <v/>
      </c>
      <c r="F176" t="str">
        <f>IF(OR($B176="당직",$B176="야간"),'cal1'!AF178,IF($B176="주간",'cal1'!T178,""))</f>
        <v/>
      </c>
      <c r="G176" t="str">
        <f>IF(OR($B176="당직",$B176="야간"),'cal1'!AG178,IF($B176="주간",'cal1'!U178,""))</f>
        <v/>
      </c>
      <c r="L176" t="str">
        <f>'cal1'!AJ178</f>
        <v/>
      </c>
      <c r="M176" t="str">
        <f t="shared" si="2"/>
        <v/>
      </c>
    </row>
    <row r="177" spans="1:13">
      <c r="A177" s="1">
        <f>'cal1'!B179</f>
        <v>46199</v>
      </c>
      <c r="B177" t="str">
        <f>'cal1'!I179</f>
        <v>주간</v>
      </c>
      <c r="C177" t="str">
        <f>IF(OR($B177="당직",$B177="야간"),'cal1'!AC179,IF($B177="주간",'cal1'!Q179,""))</f>
        <v>허지웅</v>
      </c>
      <c r="D177" t="str">
        <f>IF(OR($B177="당직",$B177="야간"),'cal1'!AD179,IF($B177="주간",'cal1'!R179,""))</f>
        <v>정윤준</v>
      </c>
      <c r="E177" t="str">
        <f>IF(OR($B177="당직",$B177="야간"),'cal1'!AE179,IF($B177="주간",'cal1'!S179,""))</f>
        <v>이기수</v>
      </c>
      <c r="F177" t="str">
        <f>IF(OR($B177="당직",$B177="야간"),'cal1'!AF179,IF($B177="주간",'cal1'!T179,""))</f>
        <v>박성현</v>
      </c>
      <c r="G177" t="str">
        <f>IF(OR($B177="당직",$B177="야간"),'cal1'!AG179,IF($B177="주간",'cal1'!U179,""))</f>
        <v>이기수</v>
      </c>
      <c r="L177" t="str">
        <f>'cal1'!AJ179</f>
        <v/>
      </c>
      <c r="M177" t="str">
        <f t="shared" si="2"/>
        <v>[오늘의_근무 6/26(금)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78" spans="1:13">
      <c r="A178" s="1">
        <f>'cal1'!B180</f>
        <v>46200</v>
      </c>
      <c r="B178" t="str">
        <f>'cal1'!I180</f>
        <v>당직</v>
      </c>
      <c r="C178" t="str">
        <f>IF(OR($B178="당직",$B178="야간"),'cal1'!AC180,IF($B178="주간",'cal1'!Q180,""))</f>
        <v>정윤준</v>
      </c>
      <c r="D178" t="str">
        <f>IF(OR($B178="당직",$B178="야간"),'cal1'!AD180,IF($B178="주간",'cal1'!R180,""))</f>
        <v>이기수</v>
      </c>
      <c r="E178" t="str">
        <f>IF(OR($B178="당직",$B178="야간"),'cal1'!AE180,IF($B178="주간",'cal1'!S180,""))</f>
        <v>박성현</v>
      </c>
      <c r="F178" t="str">
        <f>IF(OR($B178="당직",$B178="야간"),'cal1'!AF180,IF($B178="주간",'cal1'!T180,""))</f>
        <v>허지웅</v>
      </c>
      <c r="G178" t="str">
        <f>IF(OR($B178="당직",$B178="야간"),'cal1'!AG180,IF($B178="주간",'cal1'!U180,""))</f>
        <v>정윤준</v>
      </c>
      <c r="L178" t="str">
        <f>'cal1'!AJ180</f>
        <v/>
      </c>
      <c r="M178" t="str">
        <f t="shared" si="2"/>
        <v>[오늘의_근무 6/27(토)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79" spans="1:13">
      <c r="A179" s="1">
        <f>'cal1'!B181</f>
        <v>46201</v>
      </c>
      <c r="B179" t="str">
        <f>'cal1'!I181</f>
        <v>비번</v>
      </c>
      <c r="C179" t="str">
        <f>IF(OR($B179="당직",$B179="야간"),'cal1'!AC181,IF($B179="주간",'cal1'!Q181,""))</f>
        <v/>
      </c>
      <c r="D179" t="str">
        <f>IF(OR($B179="당직",$B179="야간"),'cal1'!AD181,IF($B179="주간",'cal1'!R181,""))</f>
        <v/>
      </c>
      <c r="E179" t="str">
        <f>IF(OR($B179="당직",$B179="야간"),'cal1'!AE181,IF($B179="주간",'cal1'!S181,""))</f>
        <v/>
      </c>
      <c r="F179" t="str">
        <f>IF(OR($B179="당직",$B179="야간"),'cal1'!AF181,IF($B179="주간",'cal1'!T181,""))</f>
        <v/>
      </c>
      <c r="G179" t="str">
        <f>IF(OR($B179="당직",$B179="야간"),'cal1'!AG181,IF($B179="주간",'cal1'!U181,""))</f>
        <v/>
      </c>
      <c r="L179" t="str">
        <f>'cal1'!AJ181</f>
        <v/>
      </c>
      <c r="M179" t="str">
        <f t="shared" si="2"/>
        <v/>
      </c>
    </row>
    <row r="180" spans="1:13">
      <c r="A180" s="1">
        <f>'cal1'!B182</f>
        <v>46202</v>
      </c>
      <c r="B180" t="str">
        <f>'cal1'!I182</f>
        <v>주간</v>
      </c>
      <c r="C180" t="str">
        <f>IF(OR($B180="당직",$B180="야간"),'cal1'!AC182,IF($B180="주간",'cal1'!Q182,""))</f>
        <v>박성현</v>
      </c>
      <c r="D180" t="str">
        <f>IF(OR($B180="당직",$B180="야간"),'cal1'!AD182,IF($B180="주간",'cal1'!R182,""))</f>
        <v>허지웅</v>
      </c>
      <c r="E180" t="str">
        <f>IF(OR($B180="당직",$B180="야간"),'cal1'!AE182,IF($B180="주간",'cal1'!S182,""))</f>
        <v>정윤준</v>
      </c>
      <c r="F180" t="str">
        <f>IF(OR($B180="당직",$B180="야간"),'cal1'!AF182,IF($B180="주간",'cal1'!T182,""))</f>
        <v>이기수</v>
      </c>
      <c r="G180" t="str">
        <f>IF(OR($B180="당직",$B180="야간"),'cal1'!AG182,IF($B180="주간",'cal1'!U182,""))</f>
        <v>정윤준</v>
      </c>
      <c r="L180" t="str">
        <f>'cal1'!AJ182</f>
        <v/>
      </c>
      <c r="M180" t="str">
        <f t="shared" si="2"/>
        <v>[오늘의_근무 6/29(월)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81" spans="1:13">
      <c r="A181" s="1">
        <f>'cal1'!B183</f>
        <v>46203</v>
      </c>
      <c r="B181" t="str">
        <f>'cal1'!I183</f>
        <v>야간</v>
      </c>
      <c r="C181" t="str">
        <f>IF(OR($B181="당직",$B181="야간"),'cal1'!AC183,IF($B181="주간",'cal1'!Q183,""))</f>
        <v>허지웅</v>
      </c>
      <c r="D181" t="str">
        <f>IF(OR($B181="당직",$B181="야간"),'cal1'!AD183,IF($B181="주간",'cal1'!R183,""))</f>
        <v>정윤준</v>
      </c>
      <c r="E181" t="str">
        <f>IF(OR($B181="당직",$B181="야간"),'cal1'!AE183,IF($B181="주간",'cal1'!S183,""))</f>
        <v>이기수</v>
      </c>
      <c r="F181" t="str">
        <f>IF(OR($B181="당직",$B181="야간"),'cal1'!AF183,IF($B181="주간",'cal1'!T183,""))</f>
        <v>박성현</v>
      </c>
      <c r="G181" t="str">
        <f>IF(OR($B181="당직",$B181="야간"),'cal1'!AG183,IF($B181="주간",'cal1'!U183,""))</f>
        <v>허지웅</v>
      </c>
      <c r="L181" t="str">
        <f>'cal1'!AJ183</f>
        <v/>
      </c>
      <c r="M181" t="str">
        <f t="shared" si="2"/>
        <v>[오늘의_근무 6/30(화)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82" spans="1:13">
      <c r="A182" s="1">
        <f>'cal1'!B184</f>
        <v>46204</v>
      </c>
      <c r="B182" t="str">
        <f>'cal1'!I184</f>
        <v>비번</v>
      </c>
      <c r="C182" t="str">
        <f>IF(OR($B182="당직",$B182="야간"),'cal1'!AC184,IF($B182="주간",'cal1'!Q184,""))</f>
        <v/>
      </c>
      <c r="D182" t="str">
        <f>IF(OR($B182="당직",$B182="야간"),'cal1'!AD184,IF($B182="주간",'cal1'!R184,""))</f>
        <v/>
      </c>
      <c r="E182" t="str">
        <f>IF(OR($B182="당직",$B182="야간"),'cal1'!AE184,IF($B182="주간",'cal1'!S184,""))</f>
        <v/>
      </c>
      <c r="F182" t="str">
        <f>IF(OR($B182="당직",$B182="야간"),'cal1'!AF184,IF($B182="주간",'cal1'!T184,""))</f>
        <v/>
      </c>
      <c r="G182" t="str">
        <f>IF(OR($B182="당직",$B182="야간"),'cal1'!AG184,IF($B182="주간",'cal1'!U184,""))</f>
        <v/>
      </c>
      <c r="L182" t="str">
        <f>'cal1'!AJ184</f>
        <v/>
      </c>
      <c r="M182" t="str">
        <f t="shared" si="2"/>
        <v/>
      </c>
    </row>
    <row r="183" spans="1:13">
      <c r="A183" s="1">
        <f>'cal1'!B185</f>
        <v>46205</v>
      </c>
      <c r="B183" t="str">
        <f>'cal1'!I185</f>
        <v>주간</v>
      </c>
      <c r="C183" t="str">
        <f>IF(OR($B183="당직",$B183="야간"),'cal1'!AC185,IF($B183="주간",'cal1'!Q185,""))</f>
        <v>이기수</v>
      </c>
      <c r="D183" t="str">
        <f>IF(OR($B183="당직",$B183="야간"),'cal1'!AD185,IF($B183="주간",'cal1'!R185,""))</f>
        <v>박성현</v>
      </c>
      <c r="E183" t="str">
        <f>IF(OR($B183="당직",$B183="야간"),'cal1'!AE185,IF($B183="주간",'cal1'!S185,""))</f>
        <v>허지웅</v>
      </c>
      <c r="F183" t="str">
        <f>IF(OR($B183="당직",$B183="야간"),'cal1'!AF185,IF($B183="주간",'cal1'!T185,""))</f>
        <v>정윤준</v>
      </c>
      <c r="G183" t="str">
        <f>IF(OR($B183="당직",$B183="야간"),'cal1'!AG185,IF($B183="주간",'cal1'!U185,""))</f>
        <v>허지웅</v>
      </c>
      <c r="L183" t="str">
        <f>'cal1'!AJ185</f>
        <v/>
      </c>
      <c r="M183" t="str">
        <f t="shared" si="2"/>
        <v>[오늘의_근무 7/2(목)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184" spans="1:13">
      <c r="A184" s="1">
        <f>'cal1'!B186</f>
        <v>46206</v>
      </c>
      <c r="B184" t="str">
        <f>'cal1'!I186</f>
        <v>야간</v>
      </c>
      <c r="C184" t="str">
        <f>IF(OR($B184="당직",$B184="야간"),'cal1'!AC186,IF($B184="주간",'cal1'!Q186,""))</f>
        <v>박성현</v>
      </c>
      <c r="D184" t="str">
        <f>IF(OR($B184="당직",$B184="야간"),'cal1'!AD186,IF($B184="주간",'cal1'!R186,""))</f>
        <v>허지웅</v>
      </c>
      <c r="E184" t="str">
        <f>IF(OR($B184="당직",$B184="야간"),'cal1'!AE186,IF($B184="주간",'cal1'!S186,""))</f>
        <v>정윤준</v>
      </c>
      <c r="F184" t="str">
        <f>IF(OR($B184="당직",$B184="야간"),'cal1'!AF186,IF($B184="주간",'cal1'!T186,""))</f>
        <v>이기수</v>
      </c>
      <c r="G184" t="str">
        <f>IF(OR($B184="당직",$B184="야간"),'cal1'!AG186,IF($B184="주간",'cal1'!U186,""))</f>
        <v>장혁진</v>
      </c>
      <c r="L184" t="str">
        <f>'cal1'!AJ186</f>
        <v/>
      </c>
      <c r="M184" t="str">
        <f t="shared" si="2"/>
        <v>[오늘의_근무 7/3(금)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85" spans="1:13">
      <c r="A185" s="1">
        <f>'cal1'!B187</f>
        <v>46207</v>
      </c>
      <c r="B185" t="str">
        <f>'cal1'!I187</f>
        <v>비번</v>
      </c>
      <c r="C185" t="str">
        <f>IF(OR($B185="당직",$B185="야간"),'cal1'!AC187,IF($B185="주간",'cal1'!Q187,""))</f>
        <v/>
      </c>
      <c r="D185" t="str">
        <f>IF(OR($B185="당직",$B185="야간"),'cal1'!AD187,IF($B185="주간",'cal1'!R187,""))</f>
        <v/>
      </c>
      <c r="E185" t="str">
        <f>IF(OR($B185="당직",$B185="야간"),'cal1'!AE187,IF($B185="주간",'cal1'!S187,""))</f>
        <v/>
      </c>
      <c r="F185" t="str">
        <f>IF(OR($B185="당직",$B185="야간"),'cal1'!AF187,IF($B185="주간",'cal1'!T187,""))</f>
        <v/>
      </c>
      <c r="G185" t="str">
        <f>IF(OR($B185="당직",$B185="야간"),'cal1'!AG187,IF($B185="주간",'cal1'!U187,""))</f>
        <v/>
      </c>
      <c r="L185" t="str">
        <f>'cal1'!AJ187</f>
        <v/>
      </c>
      <c r="M185" t="str">
        <f t="shared" si="2"/>
        <v/>
      </c>
    </row>
    <row r="186" spans="1:13">
      <c r="A186" s="1">
        <f>'cal1'!B188</f>
        <v>46208</v>
      </c>
      <c r="B186" t="str">
        <f>'cal1'!I188</f>
        <v>휴무</v>
      </c>
      <c r="C186" t="str">
        <f>IF(OR($B186="당직",$B186="야간"),'cal1'!AC188,IF($B186="주간",'cal1'!Q188,""))</f>
        <v/>
      </c>
      <c r="D186" t="str">
        <f>IF(OR($B186="당직",$B186="야간"),'cal1'!AD188,IF($B186="주간",'cal1'!R188,""))</f>
        <v/>
      </c>
      <c r="E186" t="str">
        <f>IF(OR($B186="당직",$B186="야간"),'cal1'!AE188,IF($B186="주간",'cal1'!S188,""))</f>
        <v/>
      </c>
      <c r="F186" t="str">
        <f>IF(OR($B186="당직",$B186="야간"),'cal1'!AF188,IF($B186="주간",'cal1'!T188,""))</f>
        <v/>
      </c>
      <c r="G186" t="str">
        <f>IF(OR($B186="당직",$B186="야간"),'cal1'!AG188,IF($B186="주간",'cal1'!U188,""))</f>
        <v/>
      </c>
      <c r="L186" t="str">
        <f>'cal1'!AJ188</f>
        <v/>
      </c>
      <c r="M186" t="str">
        <f t="shared" si="2"/>
        <v/>
      </c>
    </row>
    <row r="187" spans="1:13">
      <c r="A187" s="1">
        <f>'cal1'!B189</f>
        <v>46209</v>
      </c>
      <c r="B187" t="str">
        <f>'cal1'!I189</f>
        <v>야간</v>
      </c>
      <c r="C187" t="str">
        <f>IF(OR($B187="당직",$B187="야간"),'cal1'!AC189,IF($B187="주간",'cal1'!Q189,""))</f>
        <v>이기수</v>
      </c>
      <c r="D187" t="str">
        <f>IF(OR($B187="당직",$B187="야간"),'cal1'!AD189,IF($B187="주간",'cal1'!R189,""))</f>
        <v>박성현</v>
      </c>
      <c r="E187" t="str">
        <f>IF(OR($B187="당직",$B187="야간"),'cal1'!AE189,IF($B187="주간",'cal1'!S189,""))</f>
        <v>허지웅</v>
      </c>
      <c r="F187" t="str">
        <f>IF(OR($B187="당직",$B187="야간"),'cal1'!AF189,IF($B187="주간",'cal1'!T189,""))</f>
        <v>정윤준</v>
      </c>
      <c r="G187" t="str">
        <f>IF(OR($B187="당직",$B187="야간"),'cal1'!AG189,IF($B187="주간",'cal1'!U189,""))</f>
        <v>이기수</v>
      </c>
      <c r="L187" t="str">
        <f>'cal1'!AJ189</f>
        <v>허지웅</v>
      </c>
      <c r="M187" t="str">
        <f t="shared" si="2"/>
        <v>[오늘의_근무 7/6(월)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188" spans="1:13">
      <c r="A188" s="1">
        <f>'cal1'!B190</f>
        <v>46210</v>
      </c>
      <c r="B188" t="str">
        <f>'cal1'!I190</f>
        <v>비번</v>
      </c>
      <c r="C188" t="str">
        <f>IF(OR($B188="당직",$B188="야간"),'cal1'!AC190,IF($B188="주간",'cal1'!Q190,""))</f>
        <v/>
      </c>
      <c r="D188" t="str">
        <f>IF(OR($B188="당직",$B188="야간"),'cal1'!AD190,IF($B188="주간",'cal1'!R190,""))</f>
        <v/>
      </c>
      <c r="E188" t="str">
        <f>IF(OR($B188="당직",$B188="야간"),'cal1'!AE190,IF($B188="주간",'cal1'!S190,""))</f>
        <v/>
      </c>
      <c r="F188" t="str">
        <f>IF(OR($B188="당직",$B188="야간"),'cal1'!AF190,IF($B188="주간",'cal1'!T190,""))</f>
        <v/>
      </c>
      <c r="G188" t="str">
        <f>IF(OR($B188="당직",$B188="야간"),'cal1'!AG190,IF($B188="주간",'cal1'!U190,""))</f>
        <v/>
      </c>
      <c r="L188" t="str">
        <f>'cal1'!AJ190</f>
        <v/>
      </c>
      <c r="M188" t="str">
        <f t="shared" si="2"/>
        <v/>
      </c>
    </row>
    <row r="189" spans="1:13">
      <c r="A189" s="1">
        <f>'cal1'!B191</f>
        <v>46211</v>
      </c>
      <c r="B189" t="str">
        <f>'cal1'!I191</f>
        <v>주간</v>
      </c>
      <c r="C189" t="str">
        <f>IF(OR($B189="당직",$B189="야간"),'cal1'!AC191,IF($B189="주간",'cal1'!Q191,""))</f>
        <v>정윤준</v>
      </c>
      <c r="D189" t="str">
        <f>IF(OR($B189="당직",$B189="야간"),'cal1'!AD191,IF($B189="주간",'cal1'!R191,""))</f>
        <v>이기수</v>
      </c>
      <c r="E189" t="str">
        <f>IF(OR($B189="당직",$B189="야간"),'cal1'!AE191,IF($B189="주간",'cal1'!S191,""))</f>
        <v>박성현</v>
      </c>
      <c r="F189" t="str">
        <f>IF(OR($B189="당직",$B189="야간"),'cal1'!AF191,IF($B189="주간",'cal1'!T191,""))</f>
        <v>허지웅</v>
      </c>
      <c r="G189" t="e">
        <f>IF(OR($B189="당직",$B189="야간"),'cal1'!AG191,IF($B189="주간",'cal1'!U191,""))</f>
        <v>#VALUE!</v>
      </c>
      <c r="L189" t="str">
        <f>'cal1'!AJ191</f>
        <v/>
      </c>
      <c r="M189" t="str">
        <f t="shared" si="2"/>
        <v>[오늘의_근무 7/8(수)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90" spans="1:13">
      <c r="A190" s="1">
        <f>'cal1'!B192</f>
        <v>46212</v>
      </c>
      <c r="B190" t="str">
        <f>'cal1'!I192</f>
        <v>야간</v>
      </c>
      <c r="C190" t="str">
        <f>IF(OR($B190="당직",$B190="야간"),'cal1'!AC192,IF($B190="주간",'cal1'!Q192,""))</f>
        <v>정윤준</v>
      </c>
      <c r="D190" t="str">
        <f>IF(OR($B190="당직",$B190="야간"),'cal1'!AD192,IF($B190="주간",'cal1'!R192,""))</f>
        <v>이기수</v>
      </c>
      <c r="E190" t="str">
        <f>IF(OR($B190="당직",$B190="야간"),'cal1'!AE192,IF($B190="주간",'cal1'!S192,""))</f>
        <v>박성현</v>
      </c>
      <c r="F190" t="str">
        <f>IF(OR($B190="당직",$B190="야간"),'cal1'!AF192,IF($B190="주간",'cal1'!T192,""))</f>
        <v>허지웅</v>
      </c>
      <c r="G190" t="e">
        <f>IF(OR($B190="당직",$B190="야간"),'cal1'!AG192,IF($B190="주간",'cal1'!U192,""))</f>
        <v>#VALUE!</v>
      </c>
      <c r="L190" t="str">
        <f>'cal1'!AJ192</f>
        <v/>
      </c>
      <c r="M190" t="str">
        <f t="shared" si="2"/>
        <v>[오늘의_근무 7/9(목)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191" spans="1:13">
      <c r="A191" s="1">
        <f>'cal1'!B193</f>
        <v>46213</v>
      </c>
      <c r="B191" t="str">
        <f>'cal1'!I193</f>
        <v>비번</v>
      </c>
      <c r="C191" t="str">
        <f>IF(OR($B191="당직",$B191="야간"),'cal1'!AC193,IF($B191="주간",'cal1'!Q193,""))</f>
        <v/>
      </c>
      <c r="D191" t="str">
        <f>IF(OR($B191="당직",$B191="야간"),'cal1'!AD193,IF($B191="주간",'cal1'!R193,""))</f>
        <v/>
      </c>
      <c r="E191" t="str">
        <f>IF(OR($B191="당직",$B191="야간"),'cal1'!AE193,IF($B191="주간",'cal1'!S193,""))</f>
        <v/>
      </c>
      <c r="F191" t="str">
        <f>IF(OR($B191="당직",$B191="야간"),'cal1'!AF193,IF($B191="주간",'cal1'!T193,""))</f>
        <v/>
      </c>
      <c r="G191" t="str">
        <f>IF(OR($B191="당직",$B191="야간"),'cal1'!AG193,IF($B191="주간",'cal1'!U193,""))</f>
        <v/>
      </c>
      <c r="L191" t="str">
        <f>'cal1'!AJ193</f>
        <v/>
      </c>
      <c r="M191" t="str">
        <f t="shared" si="2"/>
        <v/>
      </c>
    </row>
    <row r="192" spans="1:13">
      <c r="A192" s="1">
        <f>'cal1'!B194</f>
        <v>46214</v>
      </c>
      <c r="B192" t="str">
        <f>'cal1'!I194</f>
        <v>휴무</v>
      </c>
      <c r="C192" t="str">
        <f>IF(OR($B192="당직",$B192="야간"),'cal1'!AC194,IF($B192="주간",'cal1'!Q194,""))</f>
        <v/>
      </c>
      <c r="D192" t="str">
        <f>IF(OR($B192="당직",$B192="야간"),'cal1'!AD194,IF($B192="주간",'cal1'!R194,""))</f>
        <v/>
      </c>
      <c r="E192" t="str">
        <f>IF(OR($B192="당직",$B192="야간"),'cal1'!AE194,IF($B192="주간",'cal1'!S194,""))</f>
        <v/>
      </c>
      <c r="F192" t="str">
        <f>IF(OR($B192="당직",$B192="야간"),'cal1'!AF194,IF($B192="주간",'cal1'!T194,""))</f>
        <v/>
      </c>
      <c r="G192" t="str">
        <f>IF(OR($B192="당직",$B192="야간"),'cal1'!AG194,IF($B192="주간",'cal1'!U194,""))</f>
        <v/>
      </c>
      <c r="L192" t="str">
        <f>'cal1'!AJ194</f>
        <v/>
      </c>
      <c r="M192" t="str">
        <f t="shared" si="2"/>
        <v/>
      </c>
    </row>
    <row r="193" spans="1:13">
      <c r="A193" s="1">
        <f>'cal1'!B195</f>
        <v>46215</v>
      </c>
      <c r="B193" t="str">
        <f>'cal1'!I195</f>
        <v>당직</v>
      </c>
      <c r="C193" t="str">
        <f>IF(OR($B193="당직",$B193="야간"),'cal1'!AC195,IF($B193="주간",'cal1'!Q195,""))</f>
        <v>허지웅</v>
      </c>
      <c r="D193" t="str">
        <f>IF(OR($B193="당직",$B193="야간"),'cal1'!AD195,IF($B193="주간",'cal1'!R195,""))</f>
        <v>정윤준</v>
      </c>
      <c r="E193" t="str">
        <f>IF(OR($B193="당직",$B193="야간"),'cal1'!AE195,IF($B193="주간",'cal1'!S195,""))</f>
        <v>이기수</v>
      </c>
      <c r="F193" t="str">
        <f>IF(OR($B193="당직",$B193="야간"),'cal1'!AF195,IF($B193="주간",'cal1'!T195,""))</f>
        <v>박성현</v>
      </c>
      <c r="G193" t="str">
        <f>IF(OR($B193="당직",$B193="야간"),'cal1'!AG195,IF($B193="주간",'cal1'!U195,""))</f>
        <v>정윤준</v>
      </c>
      <c r="L193" t="str">
        <f>'cal1'!AJ195</f>
        <v/>
      </c>
      <c r="M193" t="str">
        <f t="shared" si="2"/>
        <v>[오늘의_근무 7/12(일)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94" spans="1:13">
      <c r="A194" s="1">
        <f>'cal1'!B196</f>
        <v>46216</v>
      </c>
      <c r="B194" t="str">
        <f>'cal1'!I196</f>
        <v>비번</v>
      </c>
      <c r="C194" t="str">
        <f>IF(OR($B194="당직",$B194="야간"),'cal1'!AC196,IF($B194="주간",'cal1'!Q196,""))</f>
        <v/>
      </c>
      <c r="D194" t="str">
        <f>IF(OR($B194="당직",$B194="야간"),'cal1'!AD196,IF($B194="주간",'cal1'!R196,""))</f>
        <v/>
      </c>
      <c r="E194" t="str">
        <f>IF(OR($B194="당직",$B194="야간"),'cal1'!AE196,IF($B194="주간",'cal1'!S196,""))</f>
        <v/>
      </c>
      <c r="F194" t="str">
        <f>IF(OR($B194="당직",$B194="야간"),'cal1'!AF196,IF($B194="주간",'cal1'!T196,""))</f>
        <v/>
      </c>
      <c r="G194" t="str">
        <f>IF(OR($B194="당직",$B194="야간"),'cal1'!AG196,IF($B194="주간",'cal1'!U196,""))</f>
        <v/>
      </c>
      <c r="L194" t="str">
        <f>'cal1'!AJ196</f>
        <v/>
      </c>
      <c r="M194" t="str">
        <f t="shared" ref="M194:M257" si="3">IF(C194="","","[오늘의_근무 " &amp; TEXT(A194,"m/d(aaa)") &amp; " - " &amp; B194 &amp; "]\n▸ 산업지원동 : " &amp; C194 &amp; "\n▸ 글로벌센터 : " &amp; D194 &amp; "\n▸ 외        곽1 : " &amp; E194 &amp; "\n▸ 외        곽2 : " &amp; F194 &amp; "\n\n-------------------------\n🏠 용역원실   : " &amp; L194 &amp; "\n-------------------------\n\n🔗 시간표 확인\nhttps://bio.oxisnail.top\nhttps://bio.oxisnail.top/timetable.html")</f>
        <v/>
      </c>
    </row>
    <row r="195" spans="1:13">
      <c r="A195" s="1">
        <f>'cal1'!B197</f>
        <v>46217</v>
      </c>
      <c r="B195" t="str">
        <f>'cal1'!I197</f>
        <v>주간</v>
      </c>
      <c r="C195" t="str">
        <f>IF(OR($B195="당직",$B195="야간"),'cal1'!AC197,IF($B195="주간",'cal1'!Q197,""))</f>
        <v>허지웅</v>
      </c>
      <c r="D195" t="str">
        <f>IF(OR($B195="당직",$B195="야간"),'cal1'!AD197,IF($B195="주간",'cal1'!R197,""))</f>
        <v>정윤준</v>
      </c>
      <c r="E195" t="str">
        <f>IF(OR($B195="당직",$B195="야간"),'cal1'!AE197,IF($B195="주간",'cal1'!S197,""))</f>
        <v>이기수</v>
      </c>
      <c r="F195" t="str">
        <f>IF(OR($B195="당직",$B195="야간"),'cal1'!AF197,IF($B195="주간",'cal1'!T197,""))</f>
        <v>박성현</v>
      </c>
      <c r="G195" t="str">
        <f>IF(OR($B195="당직",$B195="야간"),'cal1'!AG197,IF($B195="주간",'cal1'!U197,""))</f>
        <v>장혁진</v>
      </c>
      <c r="L195" t="str">
        <f>'cal1'!AJ197</f>
        <v/>
      </c>
      <c r="M195" t="str">
        <f t="shared" si="3"/>
        <v>[오늘의_근무 7/14(화)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196" spans="1:13">
      <c r="A196" s="1">
        <f>'cal1'!B198</f>
        <v>46218</v>
      </c>
      <c r="B196" t="str">
        <f>'cal1'!I198</f>
        <v>야간</v>
      </c>
      <c r="C196" t="str">
        <f>IF(OR($B196="당직",$B196="야간"),'cal1'!AC198,IF($B196="주간",'cal1'!Q198,""))</f>
        <v>박성현</v>
      </c>
      <c r="D196" t="str">
        <f>IF(OR($B196="당직",$B196="야간"),'cal1'!AD198,IF($B196="주간",'cal1'!R198,""))</f>
        <v>허지웅</v>
      </c>
      <c r="E196" t="str">
        <f>IF(OR($B196="당직",$B196="야간"),'cal1'!AE198,IF($B196="주간",'cal1'!S198,""))</f>
        <v>정윤준</v>
      </c>
      <c r="F196" t="str">
        <f>IF(OR($B196="당직",$B196="야간"),'cal1'!AF198,IF($B196="주간",'cal1'!T198,""))</f>
        <v>이기수</v>
      </c>
      <c r="G196" t="str">
        <f>IF(OR($B196="당직",$B196="야간"),'cal1'!AG198,IF($B196="주간",'cal1'!U198,""))</f>
        <v>허지웅</v>
      </c>
      <c r="L196" t="str">
        <f>'cal1'!AJ198</f>
        <v/>
      </c>
      <c r="M196" t="str">
        <f t="shared" si="3"/>
        <v>[오늘의_근무 7/15(수)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197" spans="1:13">
      <c r="A197" s="1">
        <f>'cal1'!B199</f>
        <v>46219</v>
      </c>
      <c r="B197" t="str">
        <f>'cal1'!I199</f>
        <v>비번</v>
      </c>
      <c r="C197" t="str">
        <f>IF(OR($B197="당직",$B197="야간"),'cal1'!AC199,IF($B197="주간",'cal1'!Q199,""))</f>
        <v/>
      </c>
      <c r="D197" t="str">
        <f>IF(OR($B197="당직",$B197="야간"),'cal1'!AD199,IF($B197="주간",'cal1'!R199,""))</f>
        <v/>
      </c>
      <c r="E197" t="str">
        <f>IF(OR($B197="당직",$B197="야간"),'cal1'!AE199,IF($B197="주간",'cal1'!S199,""))</f>
        <v/>
      </c>
      <c r="F197" t="str">
        <f>IF(OR($B197="당직",$B197="야간"),'cal1'!AF199,IF($B197="주간",'cal1'!T199,""))</f>
        <v/>
      </c>
      <c r="G197" t="str">
        <f>IF(OR($B197="당직",$B197="야간"),'cal1'!AG199,IF($B197="주간",'cal1'!U199,""))</f>
        <v/>
      </c>
      <c r="L197" t="str">
        <f>'cal1'!AJ199</f>
        <v/>
      </c>
      <c r="M197" t="str">
        <f t="shared" si="3"/>
        <v/>
      </c>
    </row>
    <row r="198" spans="1:13">
      <c r="A198" s="1">
        <f>'cal1'!B200</f>
        <v>46220</v>
      </c>
      <c r="B198" t="str">
        <f>'cal1'!I200</f>
        <v>휴무</v>
      </c>
      <c r="C198" t="str">
        <f>IF(OR($B198="당직",$B198="야간"),'cal1'!AC200,IF($B198="주간",'cal1'!Q200,""))</f>
        <v/>
      </c>
      <c r="D198" t="str">
        <f>IF(OR($B198="당직",$B198="야간"),'cal1'!AD200,IF($B198="주간",'cal1'!R200,""))</f>
        <v/>
      </c>
      <c r="E198" t="str">
        <f>IF(OR($B198="당직",$B198="야간"),'cal1'!AE200,IF($B198="주간",'cal1'!S200,""))</f>
        <v/>
      </c>
      <c r="F198" t="str">
        <f>IF(OR($B198="당직",$B198="야간"),'cal1'!AF200,IF($B198="주간",'cal1'!T200,""))</f>
        <v/>
      </c>
      <c r="G198" t="str">
        <f>IF(OR($B198="당직",$B198="야간"),'cal1'!AG200,IF($B198="주간",'cal1'!U200,""))</f>
        <v/>
      </c>
      <c r="L198" t="str">
        <f>'cal1'!AJ200</f>
        <v/>
      </c>
      <c r="M198" t="str">
        <f t="shared" si="3"/>
        <v/>
      </c>
    </row>
    <row r="199" spans="1:13">
      <c r="A199" s="1">
        <f>'cal1'!B201</f>
        <v>46221</v>
      </c>
      <c r="B199" t="str">
        <f>'cal1'!I201</f>
        <v>당직</v>
      </c>
      <c r="C199" t="str">
        <f>IF(OR($B199="당직",$B199="야간"),'cal1'!AC201,IF($B199="주간",'cal1'!Q201,""))</f>
        <v>이기수</v>
      </c>
      <c r="D199" t="str">
        <f>IF(OR($B199="당직",$B199="야간"),'cal1'!AD201,IF($B199="주간",'cal1'!R201,""))</f>
        <v>박성현</v>
      </c>
      <c r="E199" t="str">
        <f>IF(OR($B199="당직",$B199="야간"),'cal1'!AE201,IF($B199="주간",'cal1'!S201,""))</f>
        <v>허지웅</v>
      </c>
      <c r="F199" t="str">
        <f>IF(OR($B199="당직",$B199="야간"),'cal1'!AF201,IF($B199="주간",'cal1'!T201,""))</f>
        <v>정윤준</v>
      </c>
      <c r="G199" t="str">
        <f>IF(OR($B199="당직",$B199="야간"),'cal1'!AG201,IF($B199="주간",'cal1'!U201,""))</f>
        <v>장혁진</v>
      </c>
      <c r="L199" t="str">
        <f>'cal1'!AJ201</f>
        <v>정윤준</v>
      </c>
      <c r="M199" t="str">
        <f t="shared" si="3"/>
        <v>[오늘의_근무 7/18(토) - 당직]\n▸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200" spans="1:13">
      <c r="A200" s="1">
        <f>'cal1'!B202</f>
        <v>46222</v>
      </c>
      <c r="B200" t="str">
        <f>'cal1'!I202</f>
        <v>비번</v>
      </c>
      <c r="C200" t="str">
        <f>IF(OR($B200="당직",$B200="야간"),'cal1'!AC202,IF($B200="주간",'cal1'!Q202,""))</f>
        <v/>
      </c>
      <c r="D200" t="str">
        <f>IF(OR($B200="당직",$B200="야간"),'cal1'!AD202,IF($B200="주간",'cal1'!R202,""))</f>
        <v/>
      </c>
      <c r="E200" t="str">
        <f>IF(OR($B200="당직",$B200="야간"),'cal1'!AE202,IF($B200="주간",'cal1'!S202,""))</f>
        <v/>
      </c>
      <c r="F200" t="str">
        <f>IF(OR($B200="당직",$B200="야간"),'cal1'!AF202,IF($B200="주간",'cal1'!T202,""))</f>
        <v/>
      </c>
      <c r="G200" t="str">
        <f>IF(OR($B200="당직",$B200="야간"),'cal1'!AG202,IF($B200="주간",'cal1'!U202,""))</f>
        <v/>
      </c>
      <c r="L200" t="str">
        <f>'cal1'!AJ202</f>
        <v/>
      </c>
      <c r="M200" t="str">
        <f t="shared" si="3"/>
        <v/>
      </c>
    </row>
    <row r="201" spans="1:13">
      <c r="A201" s="1">
        <f>'cal1'!B203</f>
        <v>46223</v>
      </c>
      <c r="B201" t="str">
        <f>'cal1'!I203</f>
        <v>주간</v>
      </c>
      <c r="C201" t="str">
        <f>IF(OR($B201="당직",$B201="야간"),'cal1'!AC203,IF($B201="주간",'cal1'!Q203,""))</f>
        <v>박성현</v>
      </c>
      <c r="D201" t="str">
        <f>IF(OR($B201="당직",$B201="야간"),'cal1'!AD203,IF($B201="주간",'cal1'!R203,""))</f>
        <v>허지웅</v>
      </c>
      <c r="E201" t="str">
        <f>IF(OR($B201="당직",$B201="야간"),'cal1'!AE203,IF($B201="주간",'cal1'!S203,""))</f>
        <v>정윤준</v>
      </c>
      <c r="F201" t="str">
        <f>IF(OR($B201="당직",$B201="야간"),'cal1'!AF203,IF($B201="주간",'cal1'!T203,""))</f>
        <v>이기수</v>
      </c>
      <c r="G201" t="str">
        <f>IF(OR($B201="당직",$B201="야간"),'cal1'!AG203,IF($B201="주간",'cal1'!U203,""))</f>
        <v>이기수</v>
      </c>
      <c r="L201" t="str">
        <f>'cal1'!AJ203</f>
        <v/>
      </c>
      <c r="M201" t="str">
        <f t="shared" si="3"/>
        <v>[오늘의_근무 7/20(월)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02" spans="1:13">
      <c r="A202" s="1">
        <f>'cal1'!B204</f>
        <v>46224</v>
      </c>
      <c r="B202" t="str">
        <f>'cal1'!I204</f>
        <v>야간</v>
      </c>
      <c r="C202" t="str">
        <f>IF(OR($B202="당직",$B202="야간"),'cal1'!AC204,IF($B202="주간",'cal1'!Q204,""))</f>
        <v>정윤준</v>
      </c>
      <c r="D202" t="str">
        <f>IF(OR($B202="당직",$B202="야간"),'cal1'!AD204,IF($B202="주간",'cal1'!R204,""))</f>
        <v>이기수</v>
      </c>
      <c r="E202" t="str">
        <f>IF(OR($B202="당직",$B202="야간"),'cal1'!AE204,IF($B202="주간",'cal1'!S204,""))</f>
        <v>박성현</v>
      </c>
      <c r="F202" t="str">
        <f>IF(OR($B202="당직",$B202="야간"),'cal1'!AF204,IF($B202="주간",'cal1'!T204,""))</f>
        <v>허지웅</v>
      </c>
      <c r="G202" t="str">
        <f>IF(OR($B202="당직",$B202="야간"),'cal1'!AG204,IF($B202="주간",'cal1'!U204,""))</f>
        <v>이기수</v>
      </c>
      <c r="L202" t="str">
        <f>'cal1'!AJ204</f>
        <v/>
      </c>
      <c r="M202" t="str">
        <f t="shared" si="3"/>
        <v>[오늘의_근무 7/21(화)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03" spans="1:13">
      <c r="A203" s="1">
        <f>'cal1'!B205</f>
        <v>46225</v>
      </c>
      <c r="B203" t="str">
        <f>'cal1'!I205</f>
        <v>비번</v>
      </c>
      <c r="C203" t="str">
        <f>IF(OR($B203="당직",$B203="야간"),'cal1'!AC205,IF($B203="주간",'cal1'!Q205,""))</f>
        <v/>
      </c>
      <c r="D203" t="str">
        <f>IF(OR($B203="당직",$B203="야간"),'cal1'!AD205,IF($B203="주간",'cal1'!R205,""))</f>
        <v/>
      </c>
      <c r="E203" t="str">
        <f>IF(OR($B203="당직",$B203="야간"),'cal1'!AE205,IF($B203="주간",'cal1'!S205,""))</f>
        <v/>
      </c>
      <c r="F203" t="str">
        <f>IF(OR($B203="당직",$B203="야간"),'cal1'!AF205,IF($B203="주간",'cal1'!T205,""))</f>
        <v/>
      </c>
      <c r="G203" t="str">
        <f>IF(OR($B203="당직",$B203="야간"),'cal1'!AG205,IF($B203="주간",'cal1'!U205,""))</f>
        <v/>
      </c>
      <c r="L203" t="str">
        <f>'cal1'!AJ205</f>
        <v/>
      </c>
      <c r="M203" t="str">
        <f t="shared" si="3"/>
        <v/>
      </c>
    </row>
    <row r="204" spans="1:13">
      <c r="A204" s="1">
        <f>'cal1'!B206</f>
        <v>46226</v>
      </c>
      <c r="B204" t="str">
        <f>'cal1'!I206</f>
        <v>주간</v>
      </c>
      <c r="C204" t="str">
        <f>IF(OR($B204="당직",$B204="야간"),'cal1'!AC206,IF($B204="주간",'cal1'!Q206,""))</f>
        <v>이기수</v>
      </c>
      <c r="D204" t="str">
        <f>IF(OR($B204="당직",$B204="야간"),'cal1'!AD206,IF($B204="주간",'cal1'!R206,""))</f>
        <v>박성현</v>
      </c>
      <c r="E204" t="str">
        <f>IF(OR($B204="당직",$B204="야간"),'cal1'!AE206,IF($B204="주간",'cal1'!S206,""))</f>
        <v>허지웅</v>
      </c>
      <c r="F204" t="str">
        <f>IF(OR($B204="당직",$B204="야간"),'cal1'!AF206,IF($B204="주간",'cal1'!T206,""))</f>
        <v>정윤준</v>
      </c>
      <c r="G204" t="str">
        <f>IF(OR($B204="당직",$B204="야간"),'cal1'!AG206,IF($B204="주간",'cal1'!U206,""))</f>
        <v>정윤준</v>
      </c>
      <c r="L204" t="str">
        <f>'cal1'!AJ206</f>
        <v/>
      </c>
      <c r="M204" t="str">
        <f t="shared" si="3"/>
        <v>[오늘의_근무 7/23(목)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205" spans="1:13">
      <c r="A205" s="1">
        <f>'cal1'!B207</f>
        <v>46227</v>
      </c>
      <c r="B205" t="str">
        <f>'cal1'!I207</f>
        <v>야간</v>
      </c>
      <c r="C205" t="str">
        <f>IF(OR($B205="당직",$B205="야간"),'cal1'!AC207,IF($B205="주간",'cal1'!Q207,""))</f>
        <v>허지웅</v>
      </c>
      <c r="D205" t="str">
        <f>IF(OR($B205="당직",$B205="야간"),'cal1'!AD207,IF($B205="주간",'cal1'!R207,""))</f>
        <v>정윤준</v>
      </c>
      <c r="E205" t="str">
        <f>IF(OR($B205="당직",$B205="야간"),'cal1'!AE207,IF($B205="주간",'cal1'!S207,""))</f>
        <v>이기수</v>
      </c>
      <c r="F205" t="str">
        <f>IF(OR($B205="당직",$B205="야간"),'cal1'!AF207,IF($B205="주간",'cal1'!T207,""))</f>
        <v>박성현</v>
      </c>
      <c r="G205" t="e">
        <f>IF(OR($B205="당직",$B205="야간"),'cal1'!AG207,IF($B205="주간",'cal1'!U207,""))</f>
        <v>#VALUE!</v>
      </c>
      <c r="L205" t="str">
        <f>'cal1'!AJ207</f>
        <v/>
      </c>
      <c r="M205" t="str">
        <f t="shared" si="3"/>
        <v>[오늘의_근무 7/24(금)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06" spans="1:13">
      <c r="A206" s="1">
        <f>'cal1'!B208</f>
        <v>46228</v>
      </c>
      <c r="B206" t="str">
        <f>'cal1'!I208</f>
        <v>비번</v>
      </c>
      <c r="C206" t="str">
        <f>IF(OR($B206="당직",$B206="야간"),'cal1'!AC208,IF($B206="주간",'cal1'!Q208,""))</f>
        <v/>
      </c>
      <c r="D206" t="str">
        <f>IF(OR($B206="당직",$B206="야간"),'cal1'!AD208,IF($B206="주간",'cal1'!R208,""))</f>
        <v/>
      </c>
      <c r="E206" t="str">
        <f>IF(OR($B206="당직",$B206="야간"),'cal1'!AE208,IF($B206="주간",'cal1'!S208,""))</f>
        <v/>
      </c>
      <c r="F206" t="str">
        <f>IF(OR($B206="당직",$B206="야간"),'cal1'!AF208,IF($B206="주간",'cal1'!T208,""))</f>
        <v/>
      </c>
      <c r="G206" t="str">
        <f>IF(OR($B206="당직",$B206="야간"),'cal1'!AG208,IF($B206="주간",'cal1'!U208,""))</f>
        <v/>
      </c>
      <c r="L206" t="str">
        <f>'cal1'!AJ208</f>
        <v/>
      </c>
      <c r="M206" t="str">
        <f t="shared" si="3"/>
        <v/>
      </c>
    </row>
    <row r="207" spans="1:13">
      <c r="A207" s="1">
        <f>'cal1'!B209</f>
        <v>46229</v>
      </c>
      <c r="B207" t="str">
        <f>'cal1'!I209</f>
        <v>휴무</v>
      </c>
      <c r="C207" t="str">
        <f>IF(OR($B207="당직",$B207="야간"),'cal1'!AC209,IF($B207="주간",'cal1'!Q209,""))</f>
        <v/>
      </c>
      <c r="D207" t="str">
        <f>IF(OR($B207="당직",$B207="야간"),'cal1'!AD209,IF($B207="주간",'cal1'!R209,""))</f>
        <v/>
      </c>
      <c r="E207" t="str">
        <f>IF(OR($B207="당직",$B207="야간"),'cal1'!AE209,IF($B207="주간",'cal1'!S209,""))</f>
        <v/>
      </c>
      <c r="F207" t="str">
        <f>IF(OR($B207="당직",$B207="야간"),'cal1'!AF209,IF($B207="주간",'cal1'!T209,""))</f>
        <v/>
      </c>
      <c r="G207" t="str">
        <f>IF(OR($B207="당직",$B207="야간"),'cal1'!AG209,IF($B207="주간",'cal1'!U209,""))</f>
        <v/>
      </c>
      <c r="L207" t="str">
        <f>'cal1'!AJ209</f>
        <v/>
      </c>
      <c r="M207" t="str">
        <f t="shared" si="3"/>
        <v/>
      </c>
    </row>
    <row r="208" spans="1:13">
      <c r="A208" s="1">
        <f>'cal1'!B210</f>
        <v>46230</v>
      </c>
      <c r="B208" t="str">
        <f>'cal1'!I210</f>
        <v>야간</v>
      </c>
      <c r="C208" t="str">
        <f>IF(OR($B208="당직",$B208="야간"),'cal1'!AC210,IF($B208="주간",'cal1'!Q210,""))</f>
        <v>박성현</v>
      </c>
      <c r="D208" t="str">
        <f>IF(OR($B208="당직",$B208="야간"),'cal1'!AD210,IF($B208="주간",'cal1'!R210,""))</f>
        <v>허지웅</v>
      </c>
      <c r="E208" t="str">
        <f>IF(OR($B208="당직",$B208="야간"),'cal1'!AE210,IF($B208="주간",'cal1'!S210,""))</f>
        <v>정윤준</v>
      </c>
      <c r="F208" t="str">
        <f>IF(OR($B208="당직",$B208="야간"),'cal1'!AF210,IF($B208="주간",'cal1'!T210,""))</f>
        <v>이기수</v>
      </c>
      <c r="G208" t="str">
        <f>IF(OR($B208="당직",$B208="야간"),'cal1'!AG210,IF($B208="주간",'cal1'!U210,""))</f>
        <v>정윤준</v>
      </c>
      <c r="L208" t="str">
        <f>'cal1'!AJ210</f>
        <v/>
      </c>
      <c r="M208" t="str">
        <f t="shared" si="3"/>
        <v>[오늘의_근무 7/27(월)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09" spans="1:13">
      <c r="A209" s="1">
        <f>'cal1'!B211</f>
        <v>46231</v>
      </c>
      <c r="B209" t="str">
        <f>'cal1'!I211</f>
        <v>비번</v>
      </c>
      <c r="C209" t="str">
        <f>IF(OR($B209="당직",$B209="야간"),'cal1'!AC211,IF($B209="주간",'cal1'!Q211,""))</f>
        <v/>
      </c>
      <c r="D209" t="str">
        <f>IF(OR($B209="당직",$B209="야간"),'cal1'!AD211,IF($B209="주간",'cal1'!R211,""))</f>
        <v/>
      </c>
      <c r="E209" t="str">
        <f>IF(OR($B209="당직",$B209="야간"),'cal1'!AE211,IF($B209="주간",'cal1'!S211,""))</f>
        <v/>
      </c>
      <c r="F209" t="str">
        <f>IF(OR($B209="당직",$B209="야간"),'cal1'!AF211,IF($B209="주간",'cal1'!T211,""))</f>
        <v/>
      </c>
      <c r="G209" t="str">
        <f>IF(OR($B209="당직",$B209="야간"),'cal1'!AG211,IF($B209="주간",'cal1'!U211,""))</f>
        <v/>
      </c>
      <c r="L209" t="str">
        <f>'cal1'!AJ211</f>
        <v/>
      </c>
      <c r="M209" t="str">
        <f t="shared" si="3"/>
        <v/>
      </c>
    </row>
    <row r="210" spans="1:13">
      <c r="A210" s="1">
        <f>'cal1'!B212</f>
        <v>46232</v>
      </c>
      <c r="B210" t="str">
        <f>'cal1'!I212</f>
        <v>주간</v>
      </c>
      <c r="C210" t="str">
        <f>IF(OR($B210="당직",$B210="야간"),'cal1'!AC212,IF($B210="주간",'cal1'!Q212,""))</f>
        <v>정윤준</v>
      </c>
      <c r="D210" t="str">
        <f>IF(OR($B210="당직",$B210="야간"),'cal1'!AD212,IF($B210="주간",'cal1'!R212,""))</f>
        <v>이기수</v>
      </c>
      <c r="E210" t="str">
        <f>IF(OR($B210="당직",$B210="야간"),'cal1'!AE212,IF($B210="주간",'cal1'!S212,""))</f>
        <v>박성현</v>
      </c>
      <c r="F210" t="str">
        <f>IF(OR($B210="당직",$B210="야간"),'cal1'!AF212,IF($B210="주간",'cal1'!T212,""))</f>
        <v>허지웅</v>
      </c>
      <c r="G210" t="str">
        <f>IF(OR($B210="당직",$B210="야간"),'cal1'!AG212,IF($B210="주간",'cal1'!U212,""))</f>
        <v>허지웅</v>
      </c>
      <c r="L210" t="str">
        <f>'cal1'!AJ212</f>
        <v/>
      </c>
      <c r="M210" t="str">
        <f t="shared" si="3"/>
        <v>[오늘의_근무 7/29(수)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11" spans="1:13">
      <c r="A211" s="1">
        <f>'cal1'!B213</f>
        <v>46233</v>
      </c>
      <c r="B211" t="str">
        <f>'cal1'!I213</f>
        <v>야간</v>
      </c>
      <c r="C211" t="str">
        <f>IF(OR($B211="당직",$B211="야간"),'cal1'!AC213,IF($B211="주간",'cal1'!Q213,""))</f>
        <v>이기수</v>
      </c>
      <c r="D211" t="str">
        <f>IF(OR($B211="당직",$B211="야간"),'cal1'!AD213,IF($B211="주간",'cal1'!R213,""))</f>
        <v>박성현</v>
      </c>
      <c r="E211" t="str">
        <f>IF(OR($B211="당직",$B211="야간"),'cal1'!AE213,IF($B211="주간",'cal1'!S213,""))</f>
        <v>허지웅</v>
      </c>
      <c r="F211" t="str">
        <f>IF(OR($B211="당직",$B211="야간"),'cal1'!AF213,IF($B211="주간",'cal1'!T213,""))</f>
        <v>정윤준</v>
      </c>
      <c r="G211" t="str">
        <f>IF(OR($B211="당직",$B211="야간"),'cal1'!AG213,IF($B211="주간",'cal1'!U213,""))</f>
        <v>허지웅</v>
      </c>
      <c r="L211" t="str">
        <f>'cal1'!AJ213</f>
        <v>허지웅</v>
      </c>
      <c r="M211" t="str">
        <f t="shared" si="3"/>
        <v>[오늘의_근무 7/30(목)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212" spans="1:13">
      <c r="A212" s="1">
        <f>'cal1'!B214</f>
        <v>46234</v>
      </c>
      <c r="B212" t="str">
        <f>'cal1'!I214</f>
        <v>비번</v>
      </c>
      <c r="C212" t="str">
        <f>IF(OR($B212="당직",$B212="야간"),'cal1'!AC214,IF($B212="주간",'cal1'!Q214,""))</f>
        <v/>
      </c>
      <c r="D212" t="str">
        <f>IF(OR($B212="당직",$B212="야간"),'cal1'!AD214,IF($B212="주간",'cal1'!R214,""))</f>
        <v/>
      </c>
      <c r="E212" t="str">
        <f>IF(OR($B212="당직",$B212="야간"),'cal1'!AE214,IF($B212="주간",'cal1'!S214,""))</f>
        <v/>
      </c>
      <c r="F212" t="str">
        <f>IF(OR($B212="당직",$B212="야간"),'cal1'!AF214,IF($B212="주간",'cal1'!T214,""))</f>
        <v/>
      </c>
      <c r="G212" t="str">
        <f>IF(OR($B212="당직",$B212="야간"),'cal1'!AG214,IF($B212="주간",'cal1'!U214,""))</f>
        <v/>
      </c>
      <c r="L212" t="str">
        <f>'cal1'!AJ214</f>
        <v/>
      </c>
      <c r="M212" t="str">
        <f t="shared" si="3"/>
        <v/>
      </c>
    </row>
    <row r="213" spans="1:13">
      <c r="A213" s="1">
        <f>'cal1'!B215</f>
        <v>46235</v>
      </c>
      <c r="B213" t="str">
        <f>'cal1'!I215</f>
        <v>휴무</v>
      </c>
      <c r="C213" t="str">
        <f>IF(OR($B213="당직",$B213="야간"),'cal1'!AC215,IF($B213="주간",'cal1'!Q215,""))</f>
        <v/>
      </c>
      <c r="D213" t="str">
        <f>IF(OR($B213="당직",$B213="야간"),'cal1'!AD215,IF($B213="주간",'cal1'!R215,""))</f>
        <v/>
      </c>
      <c r="E213" t="str">
        <f>IF(OR($B213="당직",$B213="야간"),'cal1'!AE215,IF($B213="주간",'cal1'!S215,""))</f>
        <v/>
      </c>
      <c r="F213" t="str">
        <f>IF(OR($B213="당직",$B213="야간"),'cal1'!AF215,IF($B213="주간",'cal1'!T215,""))</f>
        <v/>
      </c>
      <c r="G213" t="str">
        <f>IF(OR($B213="당직",$B213="야간"),'cal1'!AG215,IF($B213="주간",'cal1'!U215,""))</f>
        <v/>
      </c>
      <c r="L213" t="str">
        <f>'cal1'!AJ215</f>
        <v/>
      </c>
      <c r="M213" t="str">
        <f t="shared" si="3"/>
        <v/>
      </c>
    </row>
    <row r="214" spans="1:13">
      <c r="A214" s="1">
        <f>'cal1'!B216</f>
        <v>46236</v>
      </c>
      <c r="B214" t="str">
        <f>'cal1'!I216</f>
        <v>당직</v>
      </c>
      <c r="C214" t="str">
        <f>IF(OR($B214="당직",$B214="야간"),'cal1'!AC216,IF($B214="주간",'cal1'!Q216,""))</f>
        <v>정윤준</v>
      </c>
      <c r="D214" t="str">
        <f>IF(OR($B214="당직",$B214="야간"),'cal1'!AD216,IF($B214="주간",'cal1'!R216,""))</f>
        <v>이기수</v>
      </c>
      <c r="E214" t="str">
        <f>IF(OR($B214="당직",$B214="야간"),'cal1'!AE216,IF($B214="주간",'cal1'!S216,""))</f>
        <v>박성현</v>
      </c>
      <c r="F214" t="str">
        <f>IF(OR($B214="당직",$B214="야간"),'cal1'!AF216,IF($B214="주간",'cal1'!T216,""))</f>
        <v>허지웅</v>
      </c>
      <c r="G214" t="str">
        <f>IF(OR($B214="당직",$B214="야간"),'cal1'!AG216,IF($B214="주간",'cal1'!U216,""))</f>
        <v>장혁진</v>
      </c>
      <c r="L214" t="str">
        <f>'cal1'!AJ216</f>
        <v/>
      </c>
      <c r="M214" t="str">
        <f t="shared" si="3"/>
        <v>[오늘의_근무 8/2(일)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15" spans="1:13">
      <c r="A215" s="1">
        <f>'cal1'!B217</f>
        <v>46237</v>
      </c>
      <c r="B215" t="str">
        <f>'cal1'!I217</f>
        <v>비번</v>
      </c>
      <c r="C215" t="str">
        <f>IF(OR($B215="당직",$B215="야간"),'cal1'!AC217,IF($B215="주간",'cal1'!Q217,""))</f>
        <v/>
      </c>
      <c r="D215" t="str">
        <f>IF(OR($B215="당직",$B215="야간"),'cal1'!AD217,IF($B215="주간",'cal1'!R217,""))</f>
        <v/>
      </c>
      <c r="E215" t="str">
        <f>IF(OR($B215="당직",$B215="야간"),'cal1'!AE217,IF($B215="주간",'cal1'!S217,""))</f>
        <v/>
      </c>
      <c r="F215" t="str">
        <f>IF(OR($B215="당직",$B215="야간"),'cal1'!AF217,IF($B215="주간",'cal1'!T217,""))</f>
        <v/>
      </c>
      <c r="G215" t="str">
        <f>IF(OR($B215="당직",$B215="야간"),'cal1'!AG217,IF($B215="주간",'cal1'!U217,""))</f>
        <v/>
      </c>
      <c r="L215" t="str">
        <f>'cal1'!AJ217</f>
        <v/>
      </c>
      <c r="M215" t="str">
        <f t="shared" si="3"/>
        <v/>
      </c>
    </row>
    <row r="216" spans="1:13">
      <c r="A216" s="1">
        <f>'cal1'!B218</f>
        <v>46238</v>
      </c>
      <c r="B216" t="str">
        <f>'cal1'!I218</f>
        <v>주간</v>
      </c>
      <c r="C216" t="str">
        <f>IF(OR($B216="당직",$B216="야간"),'cal1'!AC218,IF($B216="주간",'cal1'!Q218,""))</f>
        <v>허지웅</v>
      </c>
      <c r="D216" t="str">
        <f>IF(OR($B216="당직",$B216="야간"),'cal1'!AD218,IF($B216="주간",'cal1'!R218,""))</f>
        <v>정윤준</v>
      </c>
      <c r="E216" t="str">
        <f>IF(OR($B216="당직",$B216="야간"),'cal1'!AE218,IF($B216="주간",'cal1'!S218,""))</f>
        <v>이기수</v>
      </c>
      <c r="F216" t="str">
        <f>IF(OR($B216="당직",$B216="야간"),'cal1'!AF218,IF($B216="주간",'cal1'!T218,""))</f>
        <v>박성현</v>
      </c>
      <c r="G216" t="e">
        <f>IF(OR($B216="당직",$B216="야간"),'cal1'!AG218,IF($B216="주간",'cal1'!U218,""))</f>
        <v>#VALUE!</v>
      </c>
      <c r="L216" t="str">
        <f>'cal1'!AJ218</f>
        <v/>
      </c>
      <c r="M216" t="str">
        <f t="shared" si="3"/>
        <v>[오늘의_근무 8/4(화)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17" spans="1:13">
      <c r="A217" s="1">
        <f>'cal1'!B219</f>
        <v>46239</v>
      </c>
      <c r="B217" t="str">
        <f>'cal1'!I219</f>
        <v>야간</v>
      </c>
      <c r="C217" t="str">
        <f>IF(OR($B217="당직",$B217="야간"),'cal1'!AC219,IF($B217="주간",'cal1'!Q219,""))</f>
        <v>허지웅</v>
      </c>
      <c r="D217" t="str">
        <f>IF(OR($B217="당직",$B217="야간"),'cal1'!AD219,IF($B217="주간",'cal1'!R219,""))</f>
        <v>정윤준</v>
      </c>
      <c r="E217" t="str">
        <f>IF(OR($B217="당직",$B217="야간"),'cal1'!AE219,IF($B217="주간",'cal1'!S219,""))</f>
        <v>이기수</v>
      </c>
      <c r="F217" t="str">
        <f>IF(OR($B217="당직",$B217="야간"),'cal1'!AF219,IF($B217="주간",'cal1'!T219,""))</f>
        <v>박성현</v>
      </c>
      <c r="G217" t="str">
        <f>IF(OR($B217="당직",$B217="야간"),'cal1'!AG219,IF($B217="주간",'cal1'!U219,""))</f>
        <v>이기수</v>
      </c>
      <c r="L217" t="str">
        <f>'cal1'!AJ219</f>
        <v/>
      </c>
      <c r="M217" t="str">
        <f t="shared" si="3"/>
        <v>[오늘의_근무 8/5(수)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18" spans="1:13">
      <c r="A218" s="1">
        <f>'cal1'!B220</f>
        <v>46240</v>
      </c>
      <c r="B218" t="str">
        <f>'cal1'!I220</f>
        <v>비번</v>
      </c>
      <c r="C218" t="str">
        <f>IF(OR($B218="당직",$B218="야간"),'cal1'!AC220,IF($B218="주간",'cal1'!Q220,""))</f>
        <v/>
      </c>
      <c r="D218" t="str">
        <f>IF(OR($B218="당직",$B218="야간"),'cal1'!AD220,IF($B218="주간",'cal1'!R220,""))</f>
        <v/>
      </c>
      <c r="E218" t="str">
        <f>IF(OR($B218="당직",$B218="야간"),'cal1'!AE220,IF($B218="주간",'cal1'!S220,""))</f>
        <v/>
      </c>
      <c r="F218" t="str">
        <f>IF(OR($B218="당직",$B218="야간"),'cal1'!AF220,IF($B218="주간",'cal1'!T220,""))</f>
        <v/>
      </c>
      <c r="G218" t="str">
        <f>IF(OR($B218="당직",$B218="야간"),'cal1'!AG220,IF($B218="주간",'cal1'!U220,""))</f>
        <v/>
      </c>
      <c r="L218" t="str">
        <f>'cal1'!AJ220</f>
        <v/>
      </c>
      <c r="M218" t="str">
        <f t="shared" si="3"/>
        <v/>
      </c>
    </row>
    <row r="219" spans="1:13">
      <c r="A219" s="1">
        <f>'cal1'!B221</f>
        <v>46241</v>
      </c>
      <c r="B219" t="str">
        <f>'cal1'!I221</f>
        <v>주간</v>
      </c>
      <c r="C219" t="str">
        <f>IF(OR($B219="당직",$B219="야간"),'cal1'!AC221,IF($B219="주간",'cal1'!Q221,""))</f>
        <v>박성현</v>
      </c>
      <c r="D219" t="str">
        <f>IF(OR($B219="당직",$B219="야간"),'cal1'!AD221,IF($B219="주간",'cal1'!R221,""))</f>
        <v>허지웅</v>
      </c>
      <c r="E219" t="str">
        <f>IF(OR($B219="당직",$B219="야간"),'cal1'!AE221,IF($B219="주간",'cal1'!S221,""))</f>
        <v>정윤준</v>
      </c>
      <c r="F219" t="str">
        <f>IF(OR($B219="당직",$B219="야간"),'cal1'!AF221,IF($B219="주간",'cal1'!T221,""))</f>
        <v>이기수</v>
      </c>
      <c r="G219" t="str">
        <f>IF(OR($B219="당직",$B219="야간"),'cal1'!AG221,IF($B219="주간",'cal1'!U221,""))</f>
        <v>장혁진</v>
      </c>
      <c r="L219" t="str">
        <f>'cal1'!AJ221</f>
        <v/>
      </c>
      <c r="M219" t="str">
        <f t="shared" si="3"/>
        <v>[오늘의_근무 8/7(금)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20" spans="1:13">
      <c r="A220" s="1">
        <f>'cal1'!B222</f>
        <v>46242</v>
      </c>
      <c r="B220" t="str">
        <f>'cal1'!I222</f>
        <v>당직</v>
      </c>
      <c r="C220" t="str">
        <f>IF(OR($B220="당직",$B220="야간"),'cal1'!AC222,IF($B220="주간",'cal1'!Q222,""))</f>
        <v>박성현</v>
      </c>
      <c r="D220" t="str">
        <f>IF(OR($B220="당직",$B220="야간"),'cal1'!AD222,IF($B220="주간",'cal1'!R222,""))</f>
        <v>허지웅</v>
      </c>
      <c r="E220" t="str">
        <f>IF(OR($B220="당직",$B220="야간"),'cal1'!AE222,IF($B220="주간",'cal1'!S222,""))</f>
        <v>정윤준</v>
      </c>
      <c r="F220" t="str">
        <f>IF(OR($B220="당직",$B220="야간"),'cal1'!AF222,IF($B220="주간",'cal1'!T222,""))</f>
        <v>이기수</v>
      </c>
      <c r="G220" t="e">
        <f>IF(OR($B220="당직",$B220="야간"),'cal1'!AG222,IF($B220="주간",'cal1'!U222,""))</f>
        <v>#VALUE!</v>
      </c>
      <c r="L220" t="str">
        <f>'cal1'!AJ222</f>
        <v/>
      </c>
      <c r="M220" t="str">
        <f t="shared" si="3"/>
        <v>[오늘의_근무 8/8(토)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21" spans="1:13">
      <c r="A221" s="1">
        <f>'cal1'!B223</f>
        <v>46243</v>
      </c>
      <c r="B221" t="str">
        <f>'cal1'!I223</f>
        <v>비번</v>
      </c>
      <c r="C221" t="str">
        <f>IF(OR($B221="당직",$B221="야간"),'cal1'!AC223,IF($B221="주간",'cal1'!Q223,""))</f>
        <v/>
      </c>
      <c r="D221" t="str">
        <f>IF(OR($B221="당직",$B221="야간"),'cal1'!AD223,IF($B221="주간",'cal1'!R223,""))</f>
        <v/>
      </c>
      <c r="E221" t="str">
        <f>IF(OR($B221="당직",$B221="야간"),'cal1'!AE223,IF($B221="주간",'cal1'!S223,""))</f>
        <v/>
      </c>
      <c r="F221" t="str">
        <f>IF(OR($B221="당직",$B221="야간"),'cal1'!AF223,IF($B221="주간",'cal1'!T223,""))</f>
        <v/>
      </c>
      <c r="G221" t="str">
        <f>IF(OR($B221="당직",$B221="야간"),'cal1'!AG223,IF($B221="주간",'cal1'!U223,""))</f>
        <v/>
      </c>
      <c r="L221" t="str">
        <f>'cal1'!AJ223</f>
        <v/>
      </c>
      <c r="M221" t="str">
        <f t="shared" si="3"/>
        <v/>
      </c>
    </row>
    <row r="222" spans="1:13">
      <c r="A222" s="1">
        <f>'cal1'!B224</f>
        <v>46244</v>
      </c>
      <c r="B222" t="str">
        <f>'cal1'!I224</f>
        <v>주간</v>
      </c>
      <c r="C222" t="str">
        <f>IF(OR($B222="당직",$B222="야간"),'cal1'!AC224,IF($B222="주간",'cal1'!Q224,""))</f>
        <v>이기수</v>
      </c>
      <c r="D222" t="str">
        <f>IF(OR($B222="당직",$B222="야간"),'cal1'!AD224,IF($B222="주간",'cal1'!R224,""))</f>
        <v>박성현</v>
      </c>
      <c r="E222" t="str">
        <f>IF(OR($B222="당직",$B222="야간"),'cal1'!AE224,IF($B222="주간",'cal1'!S224,""))</f>
        <v>허지웅</v>
      </c>
      <c r="F222" t="str">
        <f>IF(OR($B222="당직",$B222="야간"),'cal1'!AF224,IF($B222="주간",'cal1'!T224,""))</f>
        <v>정윤준</v>
      </c>
      <c r="G222" t="str">
        <f>IF(OR($B222="당직",$B222="야간"),'cal1'!AG224,IF($B222="주간",'cal1'!U224,""))</f>
        <v>이기수</v>
      </c>
      <c r="L222" t="str">
        <f>'cal1'!AJ224</f>
        <v/>
      </c>
      <c r="M222" t="str">
        <f t="shared" si="3"/>
        <v>[오늘의_근무 8/10(월)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223" spans="1:13">
      <c r="A223" s="1">
        <f>'cal1'!B225</f>
        <v>46245</v>
      </c>
      <c r="B223" t="str">
        <f>'cal1'!I225</f>
        <v>야간</v>
      </c>
      <c r="C223" t="str">
        <f>IF(OR($B223="당직",$B223="야간"),'cal1'!AC225,IF($B223="주간",'cal1'!Q225,""))</f>
        <v>이기수</v>
      </c>
      <c r="D223" t="str">
        <f>IF(OR($B223="당직",$B223="야간"),'cal1'!AD225,IF($B223="주간",'cal1'!R225,""))</f>
        <v>박성현</v>
      </c>
      <c r="E223" t="str">
        <f>IF(OR($B223="당직",$B223="야간"),'cal1'!AE225,IF($B223="주간",'cal1'!S225,""))</f>
        <v>허지웅</v>
      </c>
      <c r="F223" t="str">
        <f>IF(OR($B223="당직",$B223="야간"),'cal1'!AF225,IF($B223="주간",'cal1'!T225,""))</f>
        <v>정윤준</v>
      </c>
      <c r="G223" t="str">
        <f>IF(OR($B223="당직",$B223="야간"),'cal1'!AG225,IF($B223="주간",'cal1'!U225,""))</f>
        <v>정윤준</v>
      </c>
      <c r="L223" t="str">
        <f>'cal1'!AJ225</f>
        <v>정윤준</v>
      </c>
      <c r="M223" t="str">
        <f t="shared" si="3"/>
        <v>[오늘의_근무 8/11(화)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224" spans="1:13">
      <c r="A224" s="1">
        <f>'cal1'!B226</f>
        <v>46246</v>
      </c>
      <c r="B224" t="str">
        <f>'cal1'!I226</f>
        <v>비번</v>
      </c>
      <c r="C224" t="str">
        <f>IF(OR($B224="당직",$B224="야간"),'cal1'!AC226,IF($B224="주간",'cal1'!Q226,""))</f>
        <v/>
      </c>
      <c r="D224" t="str">
        <f>IF(OR($B224="당직",$B224="야간"),'cal1'!AD226,IF($B224="주간",'cal1'!R226,""))</f>
        <v/>
      </c>
      <c r="E224" t="str">
        <f>IF(OR($B224="당직",$B224="야간"),'cal1'!AE226,IF($B224="주간",'cal1'!S226,""))</f>
        <v/>
      </c>
      <c r="F224" t="str">
        <f>IF(OR($B224="당직",$B224="야간"),'cal1'!AF226,IF($B224="주간",'cal1'!T226,""))</f>
        <v/>
      </c>
      <c r="G224" t="str">
        <f>IF(OR($B224="당직",$B224="야간"),'cal1'!AG226,IF($B224="주간",'cal1'!U226,""))</f>
        <v/>
      </c>
      <c r="L224" t="str">
        <f>'cal1'!AJ226</f>
        <v/>
      </c>
      <c r="M224" t="str">
        <f t="shared" si="3"/>
        <v/>
      </c>
    </row>
    <row r="225" spans="1:13">
      <c r="A225" s="1">
        <f>'cal1'!B227</f>
        <v>46247</v>
      </c>
      <c r="B225" t="str">
        <f>'cal1'!I227</f>
        <v>주간</v>
      </c>
      <c r="C225" t="str">
        <f>IF(OR($B225="당직",$B225="야간"),'cal1'!AC227,IF($B225="주간",'cal1'!Q227,""))</f>
        <v>정윤준</v>
      </c>
      <c r="D225" t="str">
        <f>IF(OR($B225="당직",$B225="야간"),'cal1'!AD227,IF($B225="주간",'cal1'!R227,""))</f>
        <v>이기수</v>
      </c>
      <c r="E225" t="str">
        <f>IF(OR($B225="당직",$B225="야간"),'cal1'!AE227,IF($B225="주간",'cal1'!S227,""))</f>
        <v>박성현</v>
      </c>
      <c r="F225" t="str">
        <f>IF(OR($B225="당직",$B225="야간"),'cal1'!AF227,IF($B225="주간",'cal1'!T227,""))</f>
        <v>허지웅</v>
      </c>
      <c r="G225" t="str">
        <f>IF(OR($B225="당직",$B225="야간"),'cal1'!AG227,IF($B225="주간",'cal1'!U227,""))</f>
        <v>정윤준</v>
      </c>
      <c r="L225" t="str">
        <f>'cal1'!AJ227</f>
        <v/>
      </c>
      <c r="M225" t="str">
        <f t="shared" si="3"/>
        <v>[오늘의_근무 8/13(목)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26" spans="1:13">
      <c r="A226" s="1">
        <f>'cal1'!B228</f>
        <v>46248</v>
      </c>
      <c r="B226" t="str">
        <f>'cal1'!I228</f>
        <v>야간</v>
      </c>
      <c r="C226" t="str">
        <f>IF(OR($B226="당직",$B226="야간"),'cal1'!AC228,IF($B226="주간",'cal1'!Q228,""))</f>
        <v>정윤준</v>
      </c>
      <c r="D226" t="str">
        <f>IF(OR($B226="당직",$B226="야간"),'cal1'!AD228,IF($B226="주간",'cal1'!R228,""))</f>
        <v>이기수</v>
      </c>
      <c r="E226" t="str">
        <f>IF(OR($B226="당직",$B226="야간"),'cal1'!AE228,IF($B226="주간",'cal1'!S228,""))</f>
        <v>박성현</v>
      </c>
      <c r="F226" t="str">
        <f>IF(OR($B226="당직",$B226="야간"),'cal1'!AF228,IF($B226="주간",'cal1'!T228,""))</f>
        <v>허지웅</v>
      </c>
      <c r="G226" t="str">
        <f>IF(OR($B226="당직",$B226="야간"),'cal1'!AG228,IF($B226="주간",'cal1'!U228,""))</f>
        <v>허지웅</v>
      </c>
      <c r="L226" t="str">
        <f>'cal1'!AJ228</f>
        <v/>
      </c>
      <c r="M226" t="str">
        <f t="shared" si="3"/>
        <v>[오늘의_근무 8/14(금)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27" spans="1:13">
      <c r="A227" s="1">
        <f>'cal1'!B229</f>
        <v>46249</v>
      </c>
      <c r="B227" t="str">
        <f>'cal1'!I229</f>
        <v>비번</v>
      </c>
      <c r="C227" t="str">
        <f>IF(OR($B227="당직",$B227="야간"),'cal1'!AC229,IF($B227="주간",'cal1'!Q229,""))</f>
        <v/>
      </c>
      <c r="D227" t="str">
        <f>IF(OR($B227="당직",$B227="야간"),'cal1'!AD229,IF($B227="주간",'cal1'!R229,""))</f>
        <v/>
      </c>
      <c r="E227" t="str">
        <f>IF(OR($B227="당직",$B227="야간"),'cal1'!AE229,IF($B227="주간",'cal1'!S229,""))</f>
        <v/>
      </c>
      <c r="F227" t="str">
        <f>IF(OR($B227="당직",$B227="야간"),'cal1'!AF229,IF($B227="주간",'cal1'!T229,""))</f>
        <v/>
      </c>
      <c r="G227" t="str">
        <f>IF(OR($B227="당직",$B227="야간"),'cal1'!AG229,IF($B227="주간",'cal1'!U229,""))</f>
        <v/>
      </c>
      <c r="L227" t="str">
        <f>'cal1'!AJ229</f>
        <v/>
      </c>
      <c r="M227" t="str">
        <f t="shared" si="3"/>
        <v/>
      </c>
    </row>
    <row r="228" spans="1:13">
      <c r="A228" s="1">
        <f>'cal1'!B230</f>
        <v>46250</v>
      </c>
      <c r="B228" t="str">
        <f>'cal1'!I230</f>
        <v>휴무</v>
      </c>
      <c r="C228" t="str">
        <f>IF(OR($B228="당직",$B228="야간"),'cal1'!AC230,IF($B228="주간",'cal1'!Q230,""))</f>
        <v/>
      </c>
      <c r="D228" t="str">
        <f>IF(OR($B228="당직",$B228="야간"),'cal1'!AD230,IF($B228="주간",'cal1'!R230,""))</f>
        <v/>
      </c>
      <c r="E228" t="str">
        <f>IF(OR($B228="당직",$B228="야간"),'cal1'!AE230,IF($B228="주간",'cal1'!S230,""))</f>
        <v/>
      </c>
      <c r="F228" t="str">
        <f>IF(OR($B228="당직",$B228="야간"),'cal1'!AF230,IF($B228="주간",'cal1'!T230,""))</f>
        <v/>
      </c>
      <c r="G228" t="str">
        <f>IF(OR($B228="당직",$B228="야간"),'cal1'!AG230,IF($B228="주간",'cal1'!U230,""))</f>
        <v/>
      </c>
      <c r="L228" t="str">
        <f>'cal1'!AJ230</f>
        <v/>
      </c>
      <c r="M228" t="str">
        <f t="shared" si="3"/>
        <v/>
      </c>
    </row>
    <row r="229" spans="1:13">
      <c r="A229" s="1">
        <f>'cal1'!B231</f>
        <v>46251</v>
      </c>
      <c r="B229" t="str">
        <f>'cal1'!I231</f>
        <v>당직</v>
      </c>
      <c r="C229" t="str">
        <f>IF(OR($B229="당직",$B229="야간"),'cal1'!AC231,IF($B229="주간",'cal1'!Q231,""))</f>
        <v>허지웅</v>
      </c>
      <c r="D229" t="str">
        <f>IF(OR($B229="당직",$B229="야간"),'cal1'!AD231,IF($B229="주간",'cal1'!R231,""))</f>
        <v>정윤준</v>
      </c>
      <c r="E229" t="str">
        <f>IF(OR($B229="당직",$B229="야간"),'cal1'!AE231,IF($B229="주간",'cal1'!S231,""))</f>
        <v>이기수</v>
      </c>
      <c r="F229" t="str">
        <f>IF(OR($B229="당직",$B229="야간"),'cal1'!AF231,IF($B229="주간",'cal1'!T231,""))</f>
        <v>박성현</v>
      </c>
      <c r="G229" t="str">
        <f>IF(OR($B229="당직",$B229="야간"),'cal1'!AG231,IF($B229="주간",'cal1'!U231,""))</f>
        <v>장혁진</v>
      </c>
      <c r="L229" t="str">
        <f>'cal1'!AJ231</f>
        <v/>
      </c>
      <c r="M229" t="str">
        <f t="shared" si="3"/>
        <v>[오늘의_근무 8/17(월)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30" spans="1:13">
      <c r="A230" s="1">
        <f>'cal1'!B232</f>
        <v>46252</v>
      </c>
      <c r="B230" t="str">
        <f>'cal1'!I232</f>
        <v>비번</v>
      </c>
      <c r="C230" t="str">
        <f>IF(OR($B230="당직",$B230="야간"),'cal1'!AC232,IF($B230="주간",'cal1'!Q232,""))</f>
        <v/>
      </c>
      <c r="D230" t="str">
        <f>IF(OR($B230="당직",$B230="야간"),'cal1'!AD232,IF($B230="주간",'cal1'!R232,""))</f>
        <v/>
      </c>
      <c r="E230" t="str">
        <f>IF(OR($B230="당직",$B230="야간"),'cal1'!AE232,IF($B230="주간",'cal1'!S232,""))</f>
        <v/>
      </c>
      <c r="F230" t="str">
        <f>IF(OR($B230="당직",$B230="야간"),'cal1'!AF232,IF($B230="주간",'cal1'!T232,""))</f>
        <v/>
      </c>
      <c r="G230" t="str">
        <f>IF(OR($B230="당직",$B230="야간"),'cal1'!AG232,IF($B230="주간",'cal1'!U232,""))</f>
        <v/>
      </c>
      <c r="L230" t="str">
        <f>'cal1'!AJ232</f>
        <v/>
      </c>
      <c r="M230" t="str">
        <f t="shared" si="3"/>
        <v/>
      </c>
    </row>
    <row r="231" spans="1:13">
      <c r="A231" s="1">
        <f>'cal1'!B233</f>
        <v>46253</v>
      </c>
      <c r="B231" t="str">
        <f>'cal1'!I233</f>
        <v>주간</v>
      </c>
      <c r="C231" t="str">
        <f>IF(OR($B231="당직",$B231="야간"),'cal1'!AC233,IF($B231="주간",'cal1'!Q233,""))</f>
        <v>허지웅</v>
      </c>
      <c r="D231" t="str">
        <f>IF(OR($B231="당직",$B231="야간"),'cal1'!AD233,IF($B231="주간",'cal1'!R233,""))</f>
        <v>정윤준</v>
      </c>
      <c r="E231" t="str">
        <f>IF(OR($B231="당직",$B231="야간"),'cal1'!AE233,IF($B231="주간",'cal1'!S233,""))</f>
        <v>이기수</v>
      </c>
      <c r="F231" t="str">
        <f>IF(OR($B231="당직",$B231="야간"),'cal1'!AF233,IF($B231="주간",'cal1'!T233,""))</f>
        <v>박성현</v>
      </c>
      <c r="G231" t="str">
        <f>IF(OR($B231="당직",$B231="야간"),'cal1'!AG233,IF($B231="주간",'cal1'!U233,""))</f>
        <v>허지웅</v>
      </c>
      <c r="L231" t="str">
        <f>'cal1'!AJ233</f>
        <v/>
      </c>
      <c r="M231" t="str">
        <f t="shared" si="3"/>
        <v>[오늘의_근무 8/19(수)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32" spans="1:13">
      <c r="A232" s="1">
        <f>'cal1'!B234</f>
        <v>46254</v>
      </c>
      <c r="B232" t="str">
        <f>'cal1'!I234</f>
        <v>야간</v>
      </c>
      <c r="C232" t="str">
        <f>IF(OR($B232="당직",$B232="야간"),'cal1'!AC234,IF($B232="주간",'cal1'!Q234,""))</f>
        <v>박성현</v>
      </c>
      <c r="D232" t="str">
        <f>IF(OR($B232="당직",$B232="야간"),'cal1'!AD234,IF($B232="주간",'cal1'!R234,""))</f>
        <v>허지웅</v>
      </c>
      <c r="E232" t="str">
        <f>IF(OR($B232="당직",$B232="야간"),'cal1'!AE234,IF($B232="주간",'cal1'!S234,""))</f>
        <v>정윤준</v>
      </c>
      <c r="F232" t="str">
        <f>IF(OR($B232="당직",$B232="야간"),'cal1'!AF234,IF($B232="주간",'cal1'!T234,""))</f>
        <v>이기수</v>
      </c>
      <c r="G232" t="str">
        <f>IF(OR($B232="당직",$B232="야간"),'cal1'!AG234,IF($B232="주간",'cal1'!U234,""))</f>
        <v>이기수</v>
      </c>
      <c r="L232" t="str">
        <f>'cal1'!AJ234</f>
        <v/>
      </c>
      <c r="M232" t="str">
        <f t="shared" si="3"/>
        <v>[오늘의_근무 8/20(목)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33" spans="1:13">
      <c r="A233" s="1">
        <f>'cal1'!B235</f>
        <v>46255</v>
      </c>
      <c r="B233" t="str">
        <f>'cal1'!I235</f>
        <v>비번</v>
      </c>
      <c r="C233" t="str">
        <f>IF(OR($B233="당직",$B233="야간"),'cal1'!AC235,IF($B233="주간",'cal1'!Q235,""))</f>
        <v/>
      </c>
      <c r="D233" t="str">
        <f>IF(OR($B233="당직",$B233="야간"),'cal1'!AD235,IF($B233="주간",'cal1'!R235,""))</f>
        <v/>
      </c>
      <c r="E233" t="str">
        <f>IF(OR($B233="당직",$B233="야간"),'cal1'!AE235,IF($B233="주간",'cal1'!S235,""))</f>
        <v/>
      </c>
      <c r="F233" t="str">
        <f>IF(OR($B233="당직",$B233="야간"),'cal1'!AF235,IF($B233="주간",'cal1'!T235,""))</f>
        <v/>
      </c>
      <c r="G233" t="str">
        <f>IF(OR($B233="당직",$B233="야간"),'cal1'!AG235,IF($B233="주간",'cal1'!U235,""))</f>
        <v/>
      </c>
      <c r="L233" t="str">
        <f>'cal1'!AJ235</f>
        <v/>
      </c>
      <c r="M233" t="str">
        <f t="shared" si="3"/>
        <v/>
      </c>
    </row>
    <row r="234" spans="1:13">
      <c r="A234" s="1">
        <f>'cal1'!B236</f>
        <v>46256</v>
      </c>
      <c r="B234" t="str">
        <f>'cal1'!I236</f>
        <v>휴무</v>
      </c>
      <c r="C234" t="str">
        <f>IF(OR($B234="당직",$B234="야간"),'cal1'!AC236,IF($B234="주간",'cal1'!Q236,""))</f>
        <v/>
      </c>
      <c r="D234" t="str">
        <f>IF(OR($B234="당직",$B234="야간"),'cal1'!AD236,IF($B234="주간",'cal1'!R236,""))</f>
        <v/>
      </c>
      <c r="E234" t="str">
        <f>IF(OR($B234="당직",$B234="야간"),'cal1'!AE236,IF($B234="주간",'cal1'!S236,""))</f>
        <v/>
      </c>
      <c r="F234" t="str">
        <f>IF(OR($B234="당직",$B234="야간"),'cal1'!AF236,IF($B234="주간",'cal1'!T236,""))</f>
        <v/>
      </c>
      <c r="G234" t="str">
        <f>IF(OR($B234="당직",$B234="야간"),'cal1'!AG236,IF($B234="주간",'cal1'!U236,""))</f>
        <v/>
      </c>
      <c r="L234" t="str">
        <f>'cal1'!AJ236</f>
        <v/>
      </c>
      <c r="M234" t="str">
        <f t="shared" si="3"/>
        <v/>
      </c>
    </row>
    <row r="235" spans="1:13">
      <c r="A235" s="1">
        <f>'cal1'!B237</f>
        <v>46257</v>
      </c>
      <c r="B235" t="str">
        <f>'cal1'!I237</f>
        <v>당직</v>
      </c>
      <c r="C235" t="str">
        <f>IF(OR($B235="당직",$B235="야간"),'cal1'!AC237,IF($B235="주간",'cal1'!Q237,""))</f>
        <v>이기수</v>
      </c>
      <c r="D235" t="str">
        <f>IF(OR($B235="당직",$B235="야간"),'cal1'!AD237,IF($B235="주간",'cal1'!R237,""))</f>
        <v>박성현</v>
      </c>
      <c r="E235" t="str">
        <f>IF(OR($B235="당직",$B235="야간"),'cal1'!AE237,IF($B235="주간",'cal1'!S237,""))</f>
        <v>허지웅</v>
      </c>
      <c r="F235" t="str">
        <f>IF(OR($B235="당직",$B235="야간"),'cal1'!AF237,IF($B235="주간",'cal1'!T237,""))</f>
        <v>정윤준</v>
      </c>
      <c r="G235" t="e">
        <f>IF(OR($B235="당직",$B235="야간"),'cal1'!AG237,IF($B235="주간",'cal1'!U237,""))</f>
        <v>#VALUE!</v>
      </c>
      <c r="L235" t="str">
        <f>'cal1'!AJ237</f>
        <v>허지웅</v>
      </c>
      <c r="M235" t="str">
        <f t="shared" si="3"/>
        <v>[오늘의_근무 8/23(일) - 당직]\n▸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236" spans="1:13">
      <c r="A236" s="1">
        <f>'cal1'!B238</f>
        <v>46258</v>
      </c>
      <c r="B236" t="str">
        <f>'cal1'!I238</f>
        <v>비번</v>
      </c>
      <c r="C236" t="str">
        <f>IF(OR($B236="당직",$B236="야간"),'cal1'!AC238,IF($B236="주간",'cal1'!Q238,""))</f>
        <v/>
      </c>
      <c r="D236" t="str">
        <f>IF(OR($B236="당직",$B236="야간"),'cal1'!AD238,IF($B236="주간",'cal1'!R238,""))</f>
        <v/>
      </c>
      <c r="E236" t="str">
        <f>IF(OR($B236="당직",$B236="야간"),'cal1'!AE238,IF($B236="주간",'cal1'!S238,""))</f>
        <v/>
      </c>
      <c r="F236" t="str">
        <f>IF(OR($B236="당직",$B236="야간"),'cal1'!AF238,IF($B236="주간",'cal1'!T238,""))</f>
        <v/>
      </c>
      <c r="G236" t="str">
        <f>IF(OR($B236="당직",$B236="야간"),'cal1'!AG238,IF($B236="주간",'cal1'!U238,""))</f>
        <v/>
      </c>
      <c r="L236" t="str">
        <f>'cal1'!AJ238</f>
        <v/>
      </c>
      <c r="M236" t="str">
        <f t="shared" si="3"/>
        <v/>
      </c>
    </row>
    <row r="237" spans="1:13">
      <c r="A237" s="1">
        <f>'cal1'!B239</f>
        <v>46259</v>
      </c>
      <c r="B237" t="str">
        <f>'cal1'!I239</f>
        <v>주간</v>
      </c>
      <c r="C237" t="str">
        <f>IF(OR($B237="당직",$B237="야간"),'cal1'!AC239,IF($B237="주간",'cal1'!Q239,""))</f>
        <v>박성현</v>
      </c>
      <c r="D237" t="str">
        <f>IF(OR($B237="당직",$B237="야간"),'cal1'!AD239,IF($B237="주간",'cal1'!R239,""))</f>
        <v>허지웅</v>
      </c>
      <c r="E237" t="str">
        <f>IF(OR($B237="당직",$B237="야간"),'cal1'!AE239,IF($B237="주간",'cal1'!S239,""))</f>
        <v>정윤준</v>
      </c>
      <c r="F237" t="str">
        <f>IF(OR($B237="당직",$B237="야간"),'cal1'!AF239,IF($B237="주간",'cal1'!T239,""))</f>
        <v>이기수</v>
      </c>
      <c r="G237" t="e">
        <f>IF(OR($B237="당직",$B237="야간"),'cal1'!AG239,IF($B237="주간",'cal1'!U239,""))</f>
        <v>#VALUE!</v>
      </c>
      <c r="L237" t="str">
        <f>'cal1'!AJ239</f>
        <v/>
      </c>
      <c r="M237" t="str">
        <f t="shared" si="3"/>
        <v>[오늘의_근무 8/25(화)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38" spans="1:13">
      <c r="A238" s="1">
        <f>'cal1'!B240</f>
        <v>46260</v>
      </c>
      <c r="B238" t="str">
        <f>'cal1'!I240</f>
        <v>야간</v>
      </c>
      <c r="C238" t="str">
        <f>IF(OR($B238="당직",$B238="야간"),'cal1'!AC240,IF($B238="주간",'cal1'!Q240,""))</f>
        <v>정윤준</v>
      </c>
      <c r="D238" t="str">
        <f>IF(OR($B238="당직",$B238="야간"),'cal1'!AD240,IF($B238="주간",'cal1'!R240,""))</f>
        <v>이기수</v>
      </c>
      <c r="E238" t="str">
        <f>IF(OR($B238="당직",$B238="야간"),'cal1'!AE240,IF($B238="주간",'cal1'!S240,""))</f>
        <v>박성현</v>
      </c>
      <c r="F238" t="str">
        <f>IF(OR($B238="당직",$B238="야간"),'cal1'!AF240,IF($B238="주간",'cal1'!T240,""))</f>
        <v>허지웅</v>
      </c>
      <c r="G238" t="str">
        <f>IF(OR($B238="당직",$B238="야간"),'cal1'!AG240,IF($B238="주간",'cal1'!U240,""))</f>
        <v>정윤준</v>
      </c>
      <c r="L238" t="str">
        <f>'cal1'!AJ240</f>
        <v/>
      </c>
      <c r="M238" t="str">
        <f t="shared" si="3"/>
        <v>[오늘의_근무 8/26(수)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39" spans="1:13">
      <c r="A239" s="1">
        <f>'cal1'!B241</f>
        <v>46261</v>
      </c>
      <c r="B239" t="str">
        <f>'cal1'!I241</f>
        <v>비번</v>
      </c>
      <c r="C239" t="str">
        <f>IF(OR($B239="당직",$B239="야간"),'cal1'!AC241,IF($B239="주간",'cal1'!Q241,""))</f>
        <v/>
      </c>
      <c r="D239" t="str">
        <f>IF(OR($B239="당직",$B239="야간"),'cal1'!AD241,IF($B239="주간",'cal1'!R241,""))</f>
        <v/>
      </c>
      <c r="E239" t="str">
        <f>IF(OR($B239="당직",$B239="야간"),'cal1'!AE241,IF($B239="주간",'cal1'!S241,""))</f>
        <v/>
      </c>
      <c r="F239" t="str">
        <f>IF(OR($B239="당직",$B239="야간"),'cal1'!AF241,IF($B239="주간",'cal1'!T241,""))</f>
        <v/>
      </c>
      <c r="G239" t="str">
        <f>IF(OR($B239="당직",$B239="야간"),'cal1'!AG241,IF($B239="주간",'cal1'!U241,""))</f>
        <v/>
      </c>
      <c r="L239" t="str">
        <f>'cal1'!AJ241</f>
        <v/>
      </c>
      <c r="M239" t="str">
        <f t="shared" si="3"/>
        <v/>
      </c>
    </row>
    <row r="240" spans="1:13">
      <c r="A240" s="1">
        <f>'cal1'!B242</f>
        <v>46262</v>
      </c>
      <c r="B240" t="str">
        <f>'cal1'!I242</f>
        <v>주간</v>
      </c>
      <c r="C240" t="str">
        <f>IF(OR($B240="당직",$B240="야간"),'cal1'!AC242,IF($B240="주간",'cal1'!Q242,""))</f>
        <v>이기수</v>
      </c>
      <c r="D240" t="str">
        <f>IF(OR($B240="당직",$B240="야간"),'cal1'!AD242,IF($B240="주간",'cal1'!R242,""))</f>
        <v>박성현</v>
      </c>
      <c r="E240" t="str">
        <f>IF(OR($B240="당직",$B240="야간"),'cal1'!AE242,IF($B240="주간",'cal1'!S242,""))</f>
        <v>허지웅</v>
      </c>
      <c r="F240" t="str">
        <f>IF(OR($B240="당직",$B240="야간"),'cal1'!AF242,IF($B240="주간",'cal1'!T242,""))</f>
        <v>정윤준</v>
      </c>
      <c r="G240" t="str">
        <f>IF(OR($B240="당직",$B240="야간"),'cal1'!AG242,IF($B240="주간",'cal1'!U242,""))</f>
        <v>장혁진</v>
      </c>
      <c r="L240" t="str">
        <f>'cal1'!AJ242</f>
        <v/>
      </c>
      <c r="M240" t="str">
        <f t="shared" si="3"/>
        <v>[오늘의_근무 8/28(금)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241" spans="1:13">
      <c r="A241" s="1">
        <f>'cal1'!B243</f>
        <v>46263</v>
      </c>
      <c r="B241" t="str">
        <f>'cal1'!I243</f>
        <v>당직</v>
      </c>
      <c r="C241" t="str">
        <f>IF(OR($B241="당직",$B241="야간"),'cal1'!AC243,IF($B241="주간",'cal1'!Q243,""))</f>
        <v>허지웅</v>
      </c>
      <c r="D241" t="str">
        <f>IF(OR($B241="당직",$B241="야간"),'cal1'!AD243,IF($B241="주간",'cal1'!R243,""))</f>
        <v>정윤준</v>
      </c>
      <c r="E241" t="str">
        <f>IF(OR($B241="당직",$B241="야간"),'cal1'!AE243,IF($B241="주간",'cal1'!S243,""))</f>
        <v>이기수</v>
      </c>
      <c r="F241" t="str">
        <f>IF(OR($B241="당직",$B241="야간"),'cal1'!AF243,IF($B241="주간",'cal1'!T243,""))</f>
        <v>박성현</v>
      </c>
      <c r="G241" t="str">
        <f>IF(OR($B241="당직",$B241="야간"),'cal1'!AG243,IF($B241="주간",'cal1'!U243,""))</f>
        <v>허지웅</v>
      </c>
      <c r="L241" t="str">
        <f>'cal1'!AJ243</f>
        <v/>
      </c>
      <c r="M241" t="str">
        <f t="shared" si="3"/>
        <v>[오늘의_근무 8/29(토)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42" spans="1:13">
      <c r="A242" s="1">
        <f>'cal1'!B244</f>
        <v>46264</v>
      </c>
      <c r="B242" t="str">
        <f>'cal1'!I244</f>
        <v>비번</v>
      </c>
      <c r="C242" t="str">
        <f>IF(OR($B242="당직",$B242="야간"),'cal1'!AC244,IF($B242="주간",'cal1'!Q244,""))</f>
        <v/>
      </c>
      <c r="D242" t="str">
        <f>IF(OR($B242="당직",$B242="야간"),'cal1'!AD244,IF($B242="주간",'cal1'!R244,""))</f>
        <v/>
      </c>
      <c r="E242" t="str">
        <f>IF(OR($B242="당직",$B242="야간"),'cal1'!AE244,IF($B242="주간",'cal1'!S244,""))</f>
        <v/>
      </c>
      <c r="F242" t="str">
        <f>IF(OR($B242="당직",$B242="야간"),'cal1'!AF244,IF($B242="주간",'cal1'!T244,""))</f>
        <v/>
      </c>
      <c r="G242" t="str">
        <f>IF(OR($B242="당직",$B242="야간"),'cal1'!AG244,IF($B242="주간",'cal1'!U244,""))</f>
        <v/>
      </c>
      <c r="L242" t="str">
        <f>'cal1'!AJ244</f>
        <v/>
      </c>
      <c r="M242" t="str">
        <f t="shared" si="3"/>
        <v/>
      </c>
    </row>
    <row r="243" spans="1:13">
      <c r="A243" s="1">
        <f>'cal1'!B245</f>
        <v>46265</v>
      </c>
      <c r="B243" t="str">
        <f>'cal1'!I245</f>
        <v>주간</v>
      </c>
      <c r="C243" t="str">
        <f>IF(OR($B243="당직",$B243="야간"),'cal1'!AC245,IF($B243="주간",'cal1'!Q245,""))</f>
        <v>정윤준</v>
      </c>
      <c r="D243" t="str">
        <f>IF(OR($B243="당직",$B243="야간"),'cal1'!AD245,IF($B243="주간",'cal1'!R245,""))</f>
        <v>이기수</v>
      </c>
      <c r="E243" t="str">
        <f>IF(OR($B243="당직",$B243="야간"),'cal1'!AE245,IF($B243="주간",'cal1'!S245,""))</f>
        <v>박성현</v>
      </c>
      <c r="F243" t="str">
        <f>IF(OR($B243="당직",$B243="야간"),'cal1'!AF245,IF($B243="주간",'cal1'!T245,""))</f>
        <v>허지웅</v>
      </c>
      <c r="G243" t="str">
        <f>IF(OR($B243="당직",$B243="야간"),'cal1'!AG245,IF($B243="주간",'cal1'!U245,""))</f>
        <v>이기수</v>
      </c>
      <c r="L243" t="str">
        <f>'cal1'!AJ245</f>
        <v/>
      </c>
      <c r="M243" t="str">
        <f t="shared" si="3"/>
        <v>[오늘의_근무 8/31(월)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44" spans="1:13">
      <c r="A244" s="1">
        <f>'cal1'!B246</f>
        <v>46266</v>
      </c>
      <c r="B244" t="str">
        <f>'cal1'!I246</f>
        <v>야간</v>
      </c>
      <c r="C244" t="str">
        <f>IF(OR($B244="당직",$B244="야간"),'cal1'!AC246,IF($B244="주간",'cal1'!Q246,""))</f>
        <v>박성현</v>
      </c>
      <c r="D244" t="str">
        <f>IF(OR($B244="당직",$B244="야간"),'cal1'!AD246,IF($B244="주간",'cal1'!R246,""))</f>
        <v>허지웅</v>
      </c>
      <c r="E244" t="str">
        <f>IF(OR($B244="당직",$B244="야간"),'cal1'!AE246,IF($B244="주간",'cal1'!S246,""))</f>
        <v>정윤준</v>
      </c>
      <c r="F244" t="str">
        <f>IF(OR($B244="당직",$B244="야간"),'cal1'!AF246,IF($B244="주간",'cal1'!T246,""))</f>
        <v>이기수</v>
      </c>
      <c r="G244" t="str">
        <f>IF(OR($B244="당직",$B244="야간"),'cal1'!AG246,IF($B244="주간",'cal1'!U246,""))</f>
        <v>장혁진</v>
      </c>
      <c r="L244" t="str">
        <f>'cal1'!AJ246</f>
        <v/>
      </c>
      <c r="M244" t="str">
        <f t="shared" si="3"/>
        <v>[오늘의_근무 9/1(화)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45" spans="1:13">
      <c r="A245" s="1">
        <f>'cal1'!B247</f>
        <v>46267</v>
      </c>
      <c r="B245" t="str">
        <f>'cal1'!I247</f>
        <v>비번</v>
      </c>
      <c r="C245" t="str">
        <f>IF(OR($B245="당직",$B245="야간"),'cal1'!AC247,IF($B245="주간",'cal1'!Q247,""))</f>
        <v/>
      </c>
      <c r="D245" t="str">
        <f>IF(OR($B245="당직",$B245="야간"),'cal1'!AD247,IF($B245="주간",'cal1'!R247,""))</f>
        <v/>
      </c>
      <c r="E245" t="str">
        <f>IF(OR($B245="당직",$B245="야간"),'cal1'!AE247,IF($B245="주간",'cal1'!S247,""))</f>
        <v/>
      </c>
      <c r="F245" t="str">
        <f>IF(OR($B245="당직",$B245="야간"),'cal1'!AF247,IF($B245="주간",'cal1'!T247,""))</f>
        <v/>
      </c>
      <c r="G245" t="str">
        <f>IF(OR($B245="당직",$B245="야간"),'cal1'!AG247,IF($B245="주간",'cal1'!U247,""))</f>
        <v/>
      </c>
      <c r="L245" t="str">
        <f>'cal1'!AJ247</f>
        <v/>
      </c>
      <c r="M245" t="str">
        <f t="shared" si="3"/>
        <v/>
      </c>
    </row>
    <row r="246" spans="1:13">
      <c r="A246" s="1">
        <f>'cal1'!B248</f>
        <v>46268</v>
      </c>
      <c r="B246" t="str">
        <f>'cal1'!I248</f>
        <v>주간</v>
      </c>
      <c r="C246" t="str">
        <f>IF(OR($B246="당직",$B246="야간"),'cal1'!AC248,IF($B246="주간",'cal1'!Q248,""))</f>
        <v>허지웅</v>
      </c>
      <c r="D246" t="str">
        <f>IF(OR($B246="당직",$B246="야간"),'cal1'!AD248,IF($B246="주간",'cal1'!R248,""))</f>
        <v>정윤준</v>
      </c>
      <c r="E246" t="str">
        <f>IF(OR($B246="당직",$B246="야간"),'cal1'!AE248,IF($B246="주간",'cal1'!S248,""))</f>
        <v>이기수</v>
      </c>
      <c r="F246" t="str">
        <f>IF(OR($B246="당직",$B246="야간"),'cal1'!AF248,IF($B246="주간",'cal1'!T248,""))</f>
        <v>박성현</v>
      </c>
      <c r="G246" t="str">
        <f>IF(OR($B246="당직",$B246="야간"),'cal1'!AG248,IF($B246="주간",'cal1'!U248,""))</f>
        <v>정윤준</v>
      </c>
      <c r="L246" t="str">
        <f>'cal1'!AJ248</f>
        <v/>
      </c>
      <c r="M246" t="str">
        <f t="shared" si="3"/>
        <v>[오늘의_근무 9/3(목)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47" spans="1:13">
      <c r="A247" s="1">
        <f>'cal1'!B249</f>
        <v>46269</v>
      </c>
      <c r="B247" t="str">
        <f>'cal1'!I249</f>
        <v>야간</v>
      </c>
      <c r="C247" t="str">
        <f>IF(OR($B247="당직",$B247="야간"),'cal1'!AC249,IF($B247="주간",'cal1'!Q249,""))</f>
        <v>이기수</v>
      </c>
      <c r="D247" t="str">
        <f>IF(OR($B247="당직",$B247="야간"),'cal1'!AD249,IF($B247="주간",'cal1'!R249,""))</f>
        <v>박성현</v>
      </c>
      <c r="E247" t="str">
        <f>IF(OR($B247="당직",$B247="야간"),'cal1'!AE249,IF($B247="주간",'cal1'!S249,""))</f>
        <v>허지웅</v>
      </c>
      <c r="F247" t="str">
        <f>IF(OR($B247="당직",$B247="야간"),'cal1'!AF249,IF($B247="주간",'cal1'!T249,""))</f>
        <v>정윤준</v>
      </c>
      <c r="G247" t="str">
        <f>IF(OR($B247="당직",$B247="야간"),'cal1'!AG249,IF($B247="주간",'cal1'!U249,""))</f>
        <v>이기수</v>
      </c>
      <c r="L247" t="str">
        <f>'cal1'!AJ249</f>
        <v>정윤준</v>
      </c>
      <c r="M247" t="str">
        <f t="shared" si="3"/>
        <v>[오늘의_근무 9/4(금)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248" spans="1:13">
      <c r="A248" s="1">
        <f>'cal1'!B250</f>
        <v>46270</v>
      </c>
      <c r="B248" t="str">
        <f>'cal1'!I250</f>
        <v>비번</v>
      </c>
      <c r="C248" t="str">
        <f>IF(OR($B248="당직",$B248="야간"),'cal1'!AC250,IF($B248="주간",'cal1'!Q250,""))</f>
        <v/>
      </c>
      <c r="D248" t="str">
        <f>IF(OR($B248="당직",$B248="야간"),'cal1'!AD250,IF($B248="주간",'cal1'!R250,""))</f>
        <v/>
      </c>
      <c r="E248" t="str">
        <f>IF(OR($B248="당직",$B248="야간"),'cal1'!AE250,IF($B248="주간",'cal1'!S250,""))</f>
        <v/>
      </c>
      <c r="F248" t="str">
        <f>IF(OR($B248="당직",$B248="야간"),'cal1'!AF250,IF($B248="주간",'cal1'!T250,""))</f>
        <v/>
      </c>
      <c r="G248" t="str">
        <f>IF(OR($B248="당직",$B248="야간"),'cal1'!AG250,IF($B248="주간",'cal1'!U250,""))</f>
        <v/>
      </c>
      <c r="L248" t="str">
        <f>'cal1'!AJ250</f>
        <v/>
      </c>
      <c r="M248" t="str">
        <f t="shared" si="3"/>
        <v/>
      </c>
    </row>
    <row r="249" spans="1:13">
      <c r="A249" s="1">
        <f>'cal1'!B251</f>
        <v>46271</v>
      </c>
      <c r="B249" t="str">
        <f>'cal1'!I251</f>
        <v>휴무</v>
      </c>
      <c r="C249" t="str">
        <f>IF(OR($B249="당직",$B249="야간"),'cal1'!AC251,IF($B249="주간",'cal1'!Q251,""))</f>
        <v/>
      </c>
      <c r="D249" t="str">
        <f>IF(OR($B249="당직",$B249="야간"),'cal1'!AD251,IF($B249="주간",'cal1'!R251,""))</f>
        <v/>
      </c>
      <c r="E249" t="str">
        <f>IF(OR($B249="당직",$B249="야간"),'cal1'!AE251,IF($B249="주간",'cal1'!S251,""))</f>
        <v/>
      </c>
      <c r="F249" t="str">
        <f>IF(OR($B249="당직",$B249="야간"),'cal1'!AF251,IF($B249="주간",'cal1'!T251,""))</f>
        <v/>
      </c>
      <c r="G249" t="str">
        <f>IF(OR($B249="당직",$B249="야간"),'cal1'!AG251,IF($B249="주간",'cal1'!U251,""))</f>
        <v/>
      </c>
      <c r="L249" t="str">
        <f>'cal1'!AJ251</f>
        <v/>
      </c>
      <c r="M249" t="str">
        <f t="shared" si="3"/>
        <v/>
      </c>
    </row>
    <row r="250" spans="1:13">
      <c r="A250" s="1">
        <f>'cal1'!B252</f>
        <v>46272</v>
      </c>
      <c r="B250" t="str">
        <f>'cal1'!I252</f>
        <v>야간</v>
      </c>
      <c r="C250" t="str">
        <f>IF(OR($B250="당직",$B250="야간"),'cal1'!AC252,IF($B250="주간",'cal1'!Q252,""))</f>
        <v>정윤준</v>
      </c>
      <c r="D250" t="str">
        <f>IF(OR($B250="당직",$B250="야간"),'cal1'!AD252,IF($B250="주간",'cal1'!R252,""))</f>
        <v>이기수</v>
      </c>
      <c r="E250" t="str">
        <f>IF(OR($B250="당직",$B250="야간"),'cal1'!AE252,IF($B250="주간",'cal1'!S252,""))</f>
        <v>박성현</v>
      </c>
      <c r="F250" t="str">
        <f>IF(OR($B250="당직",$B250="야간"),'cal1'!AF252,IF($B250="주간",'cal1'!T252,""))</f>
        <v>허지웅</v>
      </c>
      <c r="G250" t="e">
        <f>IF(OR($B250="당직",$B250="야간"),'cal1'!AG252,IF($B250="주간",'cal1'!U252,""))</f>
        <v>#VALUE!</v>
      </c>
      <c r="L250" t="str">
        <f>'cal1'!AJ252</f>
        <v/>
      </c>
      <c r="M250" t="str">
        <f t="shared" si="3"/>
        <v>[오늘의_근무 9/7(월)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51" spans="1:13">
      <c r="A251" s="1">
        <f>'cal1'!B253</f>
        <v>46273</v>
      </c>
      <c r="B251" t="str">
        <f>'cal1'!I253</f>
        <v>비번</v>
      </c>
      <c r="C251" t="str">
        <f>IF(OR($B251="당직",$B251="야간"),'cal1'!AC253,IF($B251="주간",'cal1'!Q253,""))</f>
        <v/>
      </c>
      <c r="D251" t="str">
        <f>IF(OR($B251="당직",$B251="야간"),'cal1'!AD253,IF($B251="주간",'cal1'!R253,""))</f>
        <v/>
      </c>
      <c r="E251" t="str">
        <f>IF(OR($B251="당직",$B251="야간"),'cal1'!AE253,IF($B251="주간",'cal1'!S253,""))</f>
        <v/>
      </c>
      <c r="F251" t="str">
        <f>IF(OR($B251="당직",$B251="야간"),'cal1'!AF253,IF($B251="주간",'cal1'!T253,""))</f>
        <v/>
      </c>
      <c r="G251" t="str">
        <f>IF(OR($B251="당직",$B251="야간"),'cal1'!AG253,IF($B251="주간",'cal1'!U253,""))</f>
        <v/>
      </c>
      <c r="L251" t="str">
        <f>'cal1'!AJ253</f>
        <v/>
      </c>
      <c r="M251" t="str">
        <f t="shared" si="3"/>
        <v/>
      </c>
    </row>
    <row r="252" spans="1:13">
      <c r="A252" s="1">
        <f>'cal1'!B254</f>
        <v>46274</v>
      </c>
      <c r="B252" t="str">
        <f>'cal1'!I254</f>
        <v>주간</v>
      </c>
      <c r="C252" t="str">
        <f>IF(OR($B252="당직",$B252="야간"),'cal1'!AC254,IF($B252="주간",'cal1'!Q254,""))</f>
        <v>박성현</v>
      </c>
      <c r="D252" t="str">
        <f>IF(OR($B252="당직",$B252="야간"),'cal1'!AD254,IF($B252="주간",'cal1'!R254,""))</f>
        <v>허지웅</v>
      </c>
      <c r="E252" t="str">
        <f>IF(OR($B252="당직",$B252="야간"),'cal1'!AE254,IF($B252="주간",'cal1'!S254,""))</f>
        <v>정윤준</v>
      </c>
      <c r="F252" t="str">
        <f>IF(OR($B252="당직",$B252="야간"),'cal1'!AF254,IF($B252="주간",'cal1'!T254,""))</f>
        <v>이기수</v>
      </c>
      <c r="G252" t="str">
        <f>IF(OR($B252="당직",$B252="야간"),'cal1'!AG254,IF($B252="주간",'cal1'!U254,""))</f>
        <v>허지웅</v>
      </c>
      <c r="L252" t="str">
        <f>'cal1'!AJ254</f>
        <v/>
      </c>
      <c r="M252" t="str">
        <f t="shared" si="3"/>
        <v>[오늘의_근무 9/9(수)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53" spans="1:13">
      <c r="A253" s="1">
        <f>'cal1'!B255</f>
        <v>46275</v>
      </c>
      <c r="B253" t="str">
        <f>'cal1'!I255</f>
        <v>야간</v>
      </c>
      <c r="C253" t="str">
        <f>IF(OR($B253="당직",$B253="야간"),'cal1'!AC255,IF($B253="주간",'cal1'!Q255,""))</f>
        <v>허지웅</v>
      </c>
      <c r="D253" t="str">
        <f>IF(OR($B253="당직",$B253="야간"),'cal1'!AD255,IF($B253="주간",'cal1'!R255,""))</f>
        <v>정윤준</v>
      </c>
      <c r="E253" t="str">
        <f>IF(OR($B253="당직",$B253="야간"),'cal1'!AE255,IF($B253="주간",'cal1'!S255,""))</f>
        <v>이기수</v>
      </c>
      <c r="F253" t="str">
        <f>IF(OR($B253="당직",$B253="야간"),'cal1'!AF255,IF($B253="주간",'cal1'!T255,""))</f>
        <v>박성현</v>
      </c>
      <c r="G253" t="str">
        <f>IF(OR($B253="당직",$B253="야간"),'cal1'!AG255,IF($B253="주간",'cal1'!U255,""))</f>
        <v>정윤준</v>
      </c>
      <c r="L253" t="str">
        <f>'cal1'!AJ255</f>
        <v/>
      </c>
      <c r="M253" t="str">
        <f t="shared" si="3"/>
        <v>[오늘의_근무 9/10(목)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54" spans="1:13">
      <c r="A254" s="1">
        <f>'cal1'!B256</f>
        <v>46276</v>
      </c>
      <c r="B254" t="str">
        <f>'cal1'!I256</f>
        <v>비번</v>
      </c>
      <c r="C254" t="str">
        <f>IF(OR($B254="당직",$B254="야간"),'cal1'!AC256,IF($B254="주간",'cal1'!Q256,""))</f>
        <v/>
      </c>
      <c r="D254" t="str">
        <f>IF(OR($B254="당직",$B254="야간"),'cal1'!AD256,IF($B254="주간",'cal1'!R256,""))</f>
        <v/>
      </c>
      <c r="E254" t="str">
        <f>IF(OR($B254="당직",$B254="야간"),'cal1'!AE256,IF($B254="주간",'cal1'!S256,""))</f>
        <v/>
      </c>
      <c r="F254" t="str">
        <f>IF(OR($B254="당직",$B254="야간"),'cal1'!AF256,IF($B254="주간",'cal1'!T256,""))</f>
        <v/>
      </c>
      <c r="G254" t="str">
        <f>IF(OR($B254="당직",$B254="야간"),'cal1'!AG256,IF($B254="주간",'cal1'!U256,""))</f>
        <v/>
      </c>
      <c r="L254" t="str">
        <f>'cal1'!AJ256</f>
        <v/>
      </c>
      <c r="M254" t="str">
        <f t="shared" si="3"/>
        <v/>
      </c>
    </row>
    <row r="255" spans="1:13">
      <c r="A255" s="1">
        <f>'cal1'!B257</f>
        <v>46277</v>
      </c>
      <c r="B255" t="str">
        <f>'cal1'!I257</f>
        <v>휴무</v>
      </c>
      <c r="C255" t="str">
        <f>IF(OR($B255="당직",$B255="야간"),'cal1'!AC257,IF($B255="주간",'cal1'!Q257,""))</f>
        <v/>
      </c>
      <c r="D255" t="str">
        <f>IF(OR($B255="당직",$B255="야간"),'cal1'!AD257,IF($B255="주간",'cal1'!R257,""))</f>
        <v/>
      </c>
      <c r="E255" t="str">
        <f>IF(OR($B255="당직",$B255="야간"),'cal1'!AE257,IF($B255="주간",'cal1'!S257,""))</f>
        <v/>
      </c>
      <c r="F255" t="str">
        <f>IF(OR($B255="당직",$B255="야간"),'cal1'!AF257,IF($B255="주간",'cal1'!T257,""))</f>
        <v/>
      </c>
      <c r="G255" t="str">
        <f>IF(OR($B255="당직",$B255="야간"),'cal1'!AG257,IF($B255="주간",'cal1'!U257,""))</f>
        <v/>
      </c>
      <c r="L255" t="str">
        <f>'cal1'!AJ257</f>
        <v/>
      </c>
      <c r="M255" t="str">
        <f t="shared" si="3"/>
        <v/>
      </c>
    </row>
    <row r="256" spans="1:13">
      <c r="A256" s="1">
        <f>'cal1'!B258</f>
        <v>46278</v>
      </c>
      <c r="B256" t="str">
        <f>'cal1'!I258</f>
        <v>당직</v>
      </c>
      <c r="C256" t="str">
        <f>IF(OR($B256="당직",$B256="야간"),'cal1'!AC258,IF($B256="주간",'cal1'!Q258,""))</f>
        <v>박성현</v>
      </c>
      <c r="D256" t="str">
        <f>IF(OR($B256="당직",$B256="야간"),'cal1'!AD258,IF($B256="주간",'cal1'!R258,""))</f>
        <v>허지웅</v>
      </c>
      <c r="E256" t="str">
        <f>IF(OR($B256="당직",$B256="야간"),'cal1'!AE258,IF($B256="주간",'cal1'!S258,""))</f>
        <v>정윤준</v>
      </c>
      <c r="F256" t="str">
        <f>IF(OR($B256="당직",$B256="야간"),'cal1'!AF258,IF($B256="주간",'cal1'!T258,""))</f>
        <v>이기수</v>
      </c>
      <c r="G256" t="str">
        <f>IF(OR($B256="당직",$B256="야간"),'cal1'!AG258,IF($B256="주간",'cal1'!U258,""))</f>
        <v>허지웅</v>
      </c>
      <c r="L256" t="str">
        <f>'cal1'!AJ258</f>
        <v/>
      </c>
      <c r="M256" t="str">
        <f t="shared" si="3"/>
        <v>[오늘의_근무 9/13(일)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57" spans="1:13">
      <c r="A257" s="1">
        <f>'cal1'!B259</f>
        <v>46279</v>
      </c>
      <c r="B257" t="str">
        <f>'cal1'!I259</f>
        <v>비번</v>
      </c>
      <c r="C257" t="str">
        <f>IF(OR($B257="당직",$B257="야간"),'cal1'!AC259,IF($B257="주간",'cal1'!Q259,""))</f>
        <v/>
      </c>
      <c r="D257" t="str">
        <f>IF(OR($B257="당직",$B257="야간"),'cal1'!AD259,IF($B257="주간",'cal1'!R259,""))</f>
        <v/>
      </c>
      <c r="E257" t="str">
        <f>IF(OR($B257="당직",$B257="야간"),'cal1'!AE259,IF($B257="주간",'cal1'!S259,""))</f>
        <v/>
      </c>
      <c r="F257" t="str">
        <f>IF(OR($B257="당직",$B257="야간"),'cal1'!AF259,IF($B257="주간",'cal1'!T259,""))</f>
        <v/>
      </c>
      <c r="G257" t="str">
        <f>IF(OR($B257="당직",$B257="야간"),'cal1'!AG259,IF($B257="주간",'cal1'!U259,""))</f>
        <v/>
      </c>
      <c r="L257" t="str">
        <f>'cal1'!AJ259</f>
        <v/>
      </c>
      <c r="M257" t="str">
        <f t="shared" si="3"/>
        <v/>
      </c>
    </row>
    <row r="258" spans="1:13">
      <c r="A258" s="1">
        <f>'cal1'!B260</f>
        <v>46280</v>
      </c>
      <c r="B258" t="str">
        <f>'cal1'!I260</f>
        <v>주간</v>
      </c>
      <c r="C258" t="str">
        <f>IF(OR($B258="당직",$B258="야간"),'cal1'!AC260,IF($B258="주간",'cal1'!Q260,""))</f>
        <v>이기수</v>
      </c>
      <c r="D258" t="str">
        <f>IF(OR($B258="당직",$B258="야간"),'cal1'!AD260,IF($B258="주간",'cal1'!R260,""))</f>
        <v>박성현</v>
      </c>
      <c r="E258" t="str">
        <f>IF(OR($B258="당직",$B258="야간"),'cal1'!AE260,IF($B258="주간",'cal1'!S260,""))</f>
        <v>허지웅</v>
      </c>
      <c r="F258" t="str">
        <f>IF(OR($B258="당직",$B258="야간"),'cal1'!AF260,IF($B258="주간",'cal1'!T260,""))</f>
        <v>정윤준</v>
      </c>
      <c r="G258" t="e">
        <f>IF(OR($B258="당직",$B258="야간"),'cal1'!AG260,IF($B258="주간",'cal1'!U260,""))</f>
        <v>#VALUE!</v>
      </c>
      <c r="L258" t="str">
        <f>'cal1'!AJ260</f>
        <v/>
      </c>
      <c r="M258" t="str">
        <f t="shared" ref="M258:M321" si="4">IF(C258="","","[오늘의_근무 " &amp; TEXT(A258,"m/d(aaa)") &amp; " - " &amp; B258 &amp; "]\n▸ 산업지원동 : " &amp; C258 &amp; "\n▸ 글로벌센터 : " &amp; D258 &amp; "\n▸ 외        곽1 : " &amp; E258 &amp; "\n▸ 외        곽2 : " &amp; F258 &amp; "\n\n-------------------------\n🏠 용역원실   : " &amp; L258 &amp; "\n-------------------------\n\n🔗 시간표 확인\nhttps://bio.oxisnail.top\nhttps://bio.oxisnail.top/timetable.html")</f>
        <v>[오늘의_근무 9/15(화)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259" spans="1:13">
      <c r="A259" s="1">
        <f>'cal1'!B261</f>
        <v>46281</v>
      </c>
      <c r="B259" t="str">
        <f>'cal1'!I261</f>
        <v>야간</v>
      </c>
      <c r="C259" t="str">
        <f>IF(OR($B259="당직",$B259="야간"),'cal1'!AC261,IF($B259="주간",'cal1'!Q261,""))</f>
        <v>이기수</v>
      </c>
      <c r="D259" t="str">
        <f>IF(OR($B259="당직",$B259="야간"),'cal1'!AD261,IF($B259="주간",'cal1'!R261,""))</f>
        <v>박성현</v>
      </c>
      <c r="E259" t="str">
        <f>IF(OR($B259="당직",$B259="야간"),'cal1'!AE261,IF($B259="주간",'cal1'!S261,""))</f>
        <v>허지웅</v>
      </c>
      <c r="F259" t="str">
        <f>IF(OR($B259="당직",$B259="야간"),'cal1'!AF261,IF($B259="주간",'cal1'!T261,""))</f>
        <v>정윤준</v>
      </c>
      <c r="G259" t="str">
        <f>IF(OR($B259="당직",$B259="야간"),'cal1'!AG261,IF($B259="주간",'cal1'!U261,""))</f>
        <v>장혁진</v>
      </c>
      <c r="L259" t="str">
        <f>'cal1'!AJ261</f>
        <v>허지웅</v>
      </c>
      <c r="M259" t="str">
        <f t="shared" si="4"/>
        <v>[오늘의_근무 9/16(수)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260" spans="1:13">
      <c r="A260" s="1">
        <f>'cal1'!B262</f>
        <v>46282</v>
      </c>
      <c r="B260" t="str">
        <f>'cal1'!I262</f>
        <v>비번</v>
      </c>
      <c r="C260" t="str">
        <f>IF(OR($B260="당직",$B260="야간"),'cal1'!AC262,IF($B260="주간",'cal1'!Q262,""))</f>
        <v/>
      </c>
      <c r="D260" t="str">
        <f>IF(OR($B260="당직",$B260="야간"),'cal1'!AD262,IF($B260="주간",'cal1'!R262,""))</f>
        <v/>
      </c>
      <c r="E260" t="str">
        <f>IF(OR($B260="당직",$B260="야간"),'cal1'!AE262,IF($B260="주간",'cal1'!S262,""))</f>
        <v/>
      </c>
      <c r="F260" t="str">
        <f>IF(OR($B260="당직",$B260="야간"),'cal1'!AF262,IF($B260="주간",'cal1'!T262,""))</f>
        <v/>
      </c>
      <c r="G260" t="str">
        <f>IF(OR($B260="당직",$B260="야간"),'cal1'!AG262,IF($B260="주간",'cal1'!U262,""))</f>
        <v/>
      </c>
      <c r="L260" t="str">
        <f>'cal1'!AJ262</f>
        <v/>
      </c>
      <c r="M260" t="str">
        <f t="shared" si="4"/>
        <v/>
      </c>
    </row>
    <row r="261" spans="1:13">
      <c r="A261" s="1">
        <f>'cal1'!B263</f>
        <v>46283</v>
      </c>
      <c r="B261" t="str">
        <f>'cal1'!I263</f>
        <v>주간</v>
      </c>
      <c r="C261" t="str">
        <f>IF(OR($B261="당직",$B261="야간"),'cal1'!AC263,IF($B261="주간",'cal1'!Q263,""))</f>
        <v>정윤준</v>
      </c>
      <c r="D261" t="str">
        <f>IF(OR($B261="당직",$B261="야간"),'cal1'!AD263,IF($B261="주간",'cal1'!R263,""))</f>
        <v>이기수</v>
      </c>
      <c r="E261" t="str">
        <f>IF(OR($B261="당직",$B261="야간"),'cal1'!AE263,IF($B261="주간",'cal1'!S263,""))</f>
        <v>박성현</v>
      </c>
      <c r="F261" t="str">
        <f>IF(OR($B261="당직",$B261="야간"),'cal1'!AF263,IF($B261="주간",'cal1'!T263,""))</f>
        <v>허지웅</v>
      </c>
      <c r="G261" t="str">
        <f>IF(OR($B261="당직",$B261="야간"),'cal1'!AG263,IF($B261="주간",'cal1'!U263,""))</f>
        <v>장혁진</v>
      </c>
      <c r="L261" t="str">
        <f>'cal1'!AJ263</f>
        <v/>
      </c>
      <c r="M261" t="str">
        <f t="shared" si="4"/>
        <v>[오늘의_근무 9/18(금)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62" spans="1:13">
      <c r="A262" s="1">
        <f>'cal1'!B264</f>
        <v>46284</v>
      </c>
      <c r="B262" t="str">
        <f>'cal1'!I264</f>
        <v>당직</v>
      </c>
      <c r="C262" t="str">
        <f>IF(OR($B262="당직",$B262="야간"),'cal1'!AC264,IF($B262="주간",'cal1'!Q264,""))</f>
        <v>정윤준</v>
      </c>
      <c r="D262" t="str">
        <f>IF(OR($B262="당직",$B262="야간"),'cal1'!AD264,IF($B262="주간",'cal1'!R264,""))</f>
        <v>이기수</v>
      </c>
      <c r="E262" t="str">
        <f>IF(OR($B262="당직",$B262="야간"),'cal1'!AE264,IF($B262="주간",'cal1'!S264,""))</f>
        <v>박성현</v>
      </c>
      <c r="F262" t="str">
        <f>IF(OR($B262="당직",$B262="야간"),'cal1'!AF264,IF($B262="주간",'cal1'!T264,""))</f>
        <v>허지웅</v>
      </c>
      <c r="G262" t="str">
        <f>IF(OR($B262="당직",$B262="야간"),'cal1'!AG264,IF($B262="주간",'cal1'!U264,""))</f>
        <v>이기수</v>
      </c>
      <c r="L262" t="str">
        <f>'cal1'!AJ264</f>
        <v/>
      </c>
      <c r="M262" t="str">
        <f t="shared" si="4"/>
        <v>[오늘의_근무 9/19(토)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63" spans="1:13">
      <c r="A263" s="1">
        <f>'cal1'!B265</f>
        <v>46285</v>
      </c>
      <c r="B263" t="str">
        <f>'cal1'!I265</f>
        <v>비번</v>
      </c>
      <c r="C263" t="str">
        <f>IF(OR($B263="당직",$B263="야간"),'cal1'!AC265,IF($B263="주간",'cal1'!Q265,""))</f>
        <v/>
      </c>
      <c r="D263" t="str">
        <f>IF(OR($B263="당직",$B263="야간"),'cal1'!AD265,IF($B263="주간",'cal1'!R265,""))</f>
        <v/>
      </c>
      <c r="E263" t="str">
        <f>IF(OR($B263="당직",$B263="야간"),'cal1'!AE265,IF($B263="주간",'cal1'!S265,""))</f>
        <v/>
      </c>
      <c r="F263" t="str">
        <f>IF(OR($B263="당직",$B263="야간"),'cal1'!AF265,IF($B263="주간",'cal1'!T265,""))</f>
        <v/>
      </c>
      <c r="G263" t="str">
        <f>IF(OR($B263="당직",$B263="야간"),'cal1'!AG265,IF($B263="주간",'cal1'!U265,""))</f>
        <v/>
      </c>
      <c r="L263" t="str">
        <f>'cal1'!AJ265</f>
        <v/>
      </c>
      <c r="M263" t="str">
        <f t="shared" si="4"/>
        <v/>
      </c>
    </row>
    <row r="264" spans="1:13">
      <c r="A264" s="1">
        <f>'cal1'!B266</f>
        <v>46286</v>
      </c>
      <c r="B264" t="str">
        <f>'cal1'!I266</f>
        <v>주간</v>
      </c>
      <c r="C264" t="str">
        <f>IF(OR($B264="당직",$B264="야간"),'cal1'!AC266,IF($B264="주간",'cal1'!Q266,""))</f>
        <v>허지웅</v>
      </c>
      <c r="D264" t="str">
        <f>IF(OR($B264="당직",$B264="야간"),'cal1'!AD266,IF($B264="주간",'cal1'!R266,""))</f>
        <v>정윤준</v>
      </c>
      <c r="E264" t="str">
        <f>IF(OR($B264="당직",$B264="야간"),'cal1'!AE266,IF($B264="주간",'cal1'!S266,""))</f>
        <v>이기수</v>
      </c>
      <c r="F264" t="str">
        <f>IF(OR($B264="당직",$B264="야간"),'cal1'!AF266,IF($B264="주간",'cal1'!T266,""))</f>
        <v>박성현</v>
      </c>
      <c r="G264" t="str">
        <f>IF(OR($B264="당직",$B264="야간"),'cal1'!AG266,IF($B264="주간",'cal1'!U266,""))</f>
        <v>이기수</v>
      </c>
      <c r="L264" t="str">
        <f>'cal1'!AJ266</f>
        <v/>
      </c>
      <c r="M264" t="str">
        <f t="shared" si="4"/>
        <v>[오늘의_근무 9/21(월)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65" spans="1:13">
      <c r="A265" s="1">
        <f>'cal1'!B267</f>
        <v>46287</v>
      </c>
      <c r="B265" t="str">
        <f>'cal1'!I267</f>
        <v>야간</v>
      </c>
      <c r="C265" t="str">
        <f>IF(OR($B265="당직",$B265="야간"),'cal1'!AC267,IF($B265="주간",'cal1'!Q267,""))</f>
        <v>허지웅</v>
      </c>
      <c r="D265" t="str">
        <f>IF(OR($B265="당직",$B265="야간"),'cal1'!AD267,IF($B265="주간",'cal1'!R267,""))</f>
        <v>정윤준</v>
      </c>
      <c r="E265" t="str">
        <f>IF(OR($B265="당직",$B265="야간"),'cal1'!AE267,IF($B265="주간",'cal1'!S267,""))</f>
        <v>이기수</v>
      </c>
      <c r="F265" t="str">
        <f>IF(OR($B265="당직",$B265="야간"),'cal1'!AF267,IF($B265="주간",'cal1'!T267,""))</f>
        <v>박성현</v>
      </c>
      <c r="G265" t="e">
        <f>IF(OR($B265="당직",$B265="야간"),'cal1'!AG267,IF($B265="주간",'cal1'!U267,""))</f>
        <v>#VALUE!</v>
      </c>
      <c r="L265" t="str">
        <f>'cal1'!AJ267</f>
        <v/>
      </c>
      <c r="M265" t="str">
        <f t="shared" si="4"/>
        <v>[오늘의_근무 9/22(화)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66" spans="1:13">
      <c r="A266" s="1">
        <f>'cal1'!B268</f>
        <v>46288</v>
      </c>
      <c r="B266" t="str">
        <f>'cal1'!I268</f>
        <v>비번</v>
      </c>
      <c r="C266" t="str">
        <f>IF(OR($B266="당직",$B266="야간"),'cal1'!AC268,IF($B266="주간",'cal1'!Q268,""))</f>
        <v/>
      </c>
      <c r="D266" t="str">
        <f>IF(OR($B266="당직",$B266="야간"),'cal1'!AD268,IF($B266="주간",'cal1'!R268,""))</f>
        <v/>
      </c>
      <c r="E266" t="str">
        <f>IF(OR($B266="당직",$B266="야간"),'cal1'!AE268,IF($B266="주간",'cal1'!S268,""))</f>
        <v/>
      </c>
      <c r="F266" t="str">
        <f>IF(OR($B266="당직",$B266="야간"),'cal1'!AF268,IF($B266="주간",'cal1'!T268,""))</f>
        <v/>
      </c>
      <c r="G266" t="str">
        <f>IF(OR($B266="당직",$B266="야간"),'cal1'!AG268,IF($B266="주간",'cal1'!U268,""))</f>
        <v/>
      </c>
      <c r="L266" t="str">
        <f>'cal1'!AJ268</f>
        <v/>
      </c>
      <c r="M266" t="str">
        <f t="shared" si="4"/>
        <v/>
      </c>
    </row>
    <row r="267" spans="1:13">
      <c r="A267" s="1">
        <f>'cal1'!B269</f>
        <v>46289</v>
      </c>
      <c r="B267" t="str">
        <f>'cal1'!I269</f>
        <v>휴무</v>
      </c>
      <c r="C267" t="str">
        <f>IF(OR($B267="당직",$B267="야간"),'cal1'!AC269,IF($B267="주간",'cal1'!Q269,""))</f>
        <v/>
      </c>
      <c r="D267" t="str">
        <f>IF(OR($B267="당직",$B267="야간"),'cal1'!AD269,IF($B267="주간",'cal1'!R269,""))</f>
        <v/>
      </c>
      <c r="E267" t="str">
        <f>IF(OR($B267="당직",$B267="야간"),'cal1'!AE269,IF($B267="주간",'cal1'!S269,""))</f>
        <v/>
      </c>
      <c r="F267" t="str">
        <f>IF(OR($B267="당직",$B267="야간"),'cal1'!AF269,IF($B267="주간",'cal1'!T269,""))</f>
        <v/>
      </c>
      <c r="G267" t="str">
        <f>IF(OR($B267="당직",$B267="야간"),'cal1'!AG269,IF($B267="주간",'cal1'!U269,""))</f>
        <v/>
      </c>
      <c r="L267" t="str">
        <f>'cal1'!AJ269</f>
        <v/>
      </c>
      <c r="M267" t="str">
        <f t="shared" si="4"/>
        <v/>
      </c>
    </row>
    <row r="268" spans="1:13">
      <c r="A268" s="1">
        <f>'cal1'!B270</f>
        <v>46290</v>
      </c>
      <c r="B268" t="str">
        <f>'cal1'!I270</f>
        <v>당직</v>
      </c>
      <c r="C268" t="str">
        <f>IF(OR($B268="당직",$B268="야간"),'cal1'!AC270,IF($B268="주간",'cal1'!Q270,""))</f>
        <v>박성현</v>
      </c>
      <c r="D268" t="str">
        <f>IF(OR($B268="당직",$B268="야간"),'cal1'!AD270,IF($B268="주간",'cal1'!R270,""))</f>
        <v>허지웅</v>
      </c>
      <c r="E268" t="str">
        <f>IF(OR($B268="당직",$B268="야간"),'cal1'!AE270,IF($B268="주간",'cal1'!S270,""))</f>
        <v>정윤준</v>
      </c>
      <c r="F268" t="str">
        <f>IF(OR($B268="당직",$B268="야간"),'cal1'!AF270,IF($B268="주간",'cal1'!T270,""))</f>
        <v>이기수</v>
      </c>
      <c r="G268" t="str">
        <f>IF(OR($B268="당직",$B268="야간"),'cal1'!AG270,IF($B268="주간",'cal1'!U270,""))</f>
        <v>정윤준</v>
      </c>
      <c r="L268" t="str">
        <f>'cal1'!AJ270</f>
        <v/>
      </c>
      <c r="M268" t="str">
        <f t="shared" si="4"/>
        <v>[오늘의_근무 9/25(금)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69" spans="1:13">
      <c r="A269" s="1">
        <f>'cal1'!B271</f>
        <v>46291</v>
      </c>
      <c r="B269" t="str">
        <f>'cal1'!I271</f>
        <v>비번</v>
      </c>
      <c r="C269" t="str">
        <f>IF(OR($B269="당직",$B269="야간"),'cal1'!AC271,IF($B269="주간",'cal1'!Q271,""))</f>
        <v/>
      </c>
      <c r="D269" t="str">
        <f>IF(OR($B269="당직",$B269="야간"),'cal1'!AD271,IF($B269="주간",'cal1'!R271,""))</f>
        <v/>
      </c>
      <c r="E269" t="str">
        <f>IF(OR($B269="당직",$B269="야간"),'cal1'!AE271,IF($B269="주간",'cal1'!S271,""))</f>
        <v/>
      </c>
      <c r="F269" t="str">
        <f>IF(OR($B269="당직",$B269="야간"),'cal1'!AF271,IF($B269="주간",'cal1'!T271,""))</f>
        <v/>
      </c>
      <c r="G269" t="str">
        <f>IF(OR($B269="당직",$B269="야간"),'cal1'!AG271,IF($B269="주간",'cal1'!U271,""))</f>
        <v/>
      </c>
      <c r="L269" t="str">
        <f>'cal1'!AJ271</f>
        <v/>
      </c>
      <c r="M269" t="str">
        <f t="shared" si="4"/>
        <v/>
      </c>
    </row>
    <row r="270" spans="1:13">
      <c r="A270" s="1">
        <f>'cal1'!B272</f>
        <v>46292</v>
      </c>
      <c r="B270" t="str">
        <f>'cal1'!I272</f>
        <v>휴무</v>
      </c>
      <c r="C270" t="str">
        <f>IF(OR($B270="당직",$B270="야간"),'cal1'!AC272,IF($B270="주간",'cal1'!Q272,""))</f>
        <v/>
      </c>
      <c r="D270" t="str">
        <f>IF(OR($B270="당직",$B270="야간"),'cal1'!AD272,IF($B270="주간",'cal1'!R272,""))</f>
        <v/>
      </c>
      <c r="E270" t="str">
        <f>IF(OR($B270="당직",$B270="야간"),'cal1'!AE272,IF($B270="주간",'cal1'!S272,""))</f>
        <v/>
      </c>
      <c r="F270" t="str">
        <f>IF(OR($B270="당직",$B270="야간"),'cal1'!AF272,IF($B270="주간",'cal1'!T272,""))</f>
        <v/>
      </c>
      <c r="G270" t="str">
        <f>IF(OR($B270="당직",$B270="야간"),'cal1'!AG272,IF($B270="주간",'cal1'!U272,""))</f>
        <v/>
      </c>
      <c r="L270" t="str">
        <f>'cal1'!AJ272</f>
        <v/>
      </c>
      <c r="M270" t="str">
        <f t="shared" si="4"/>
        <v/>
      </c>
    </row>
    <row r="271" spans="1:13">
      <c r="A271" s="1">
        <f>'cal1'!B273</f>
        <v>46293</v>
      </c>
      <c r="B271" t="str">
        <f>'cal1'!I273</f>
        <v>야간</v>
      </c>
      <c r="C271" t="str">
        <f>IF(OR($B271="당직",$B271="야간"),'cal1'!AC273,IF($B271="주간",'cal1'!Q273,""))</f>
        <v>이기수</v>
      </c>
      <c r="D271" t="str">
        <f>IF(OR($B271="당직",$B271="야간"),'cal1'!AD273,IF($B271="주간",'cal1'!R273,""))</f>
        <v>박성현</v>
      </c>
      <c r="E271" t="str">
        <f>IF(OR($B271="당직",$B271="야간"),'cal1'!AE273,IF($B271="주간",'cal1'!S273,""))</f>
        <v>허지웅</v>
      </c>
      <c r="F271" t="str">
        <f>IF(OR($B271="당직",$B271="야간"),'cal1'!AF273,IF($B271="주간",'cal1'!T273,""))</f>
        <v>정윤준</v>
      </c>
      <c r="G271" t="str">
        <f>IF(OR($B271="당직",$B271="야간"),'cal1'!AG273,IF($B271="주간",'cal1'!U273,""))</f>
        <v>허지웅</v>
      </c>
      <c r="L271" t="str">
        <f>'cal1'!AJ273</f>
        <v>정윤준</v>
      </c>
      <c r="M271" t="str">
        <f t="shared" si="4"/>
        <v>[오늘의_근무 9/28(월)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272" spans="1:13">
      <c r="A272" s="1">
        <f>'cal1'!B274</f>
        <v>46294</v>
      </c>
      <c r="B272" t="str">
        <f>'cal1'!I274</f>
        <v>비번</v>
      </c>
      <c r="C272" t="str">
        <f>IF(OR($B272="당직",$B272="야간"),'cal1'!AC274,IF($B272="주간",'cal1'!Q274,""))</f>
        <v/>
      </c>
      <c r="D272" t="str">
        <f>IF(OR($B272="당직",$B272="야간"),'cal1'!AD274,IF($B272="주간",'cal1'!R274,""))</f>
        <v/>
      </c>
      <c r="E272" t="str">
        <f>IF(OR($B272="당직",$B272="야간"),'cal1'!AE274,IF($B272="주간",'cal1'!S274,""))</f>
        <v/>
      </c>
      <c r="F272" t="str">
        <f>IF(OR($B272="당직",$B272="야간"),'cal1'!AF274,IF($B272="주간",'cal1'!T274,""))</f>
        <v/>
      </c>
      <c r="G272" t="str">
        <f>IF(OR($B272="당직",$B272="야간"),'cal1'!AG274,IF($B272="주간",'cal1'!U274,""))</f>
        <v/>
      </c>
      <c r="L272" t="str">
        <f>'cal1'!AJ274</f>
        <v/>
      </c>
      <c r="M272" t="str">
        <f t="shared" si="4"/>
        <v/>
      </c>
    </row>
    <row r="273" spans="1:13">
      <c r="A273" s="1">
        <f>'cal1'!B275</f>
        <v>46295</v>
      </c>
      <c r="B273" t="str">
        <f>'cal1'!I275</f>
        <v>주간</v>
      </c>
      <c r="C273" t="str">
        <f>IF(OR($B273="당직",$B273="야간"),'cal1'!AC275,IF($B273="주간",'cal1'!Q275,""))</f>
        <v>박성현</v>
      </c>
      <c r="D273" t="str">
        <f>IF(OR($B273="당직",$B273="야간"),'cal1'!AD275,IF($B273="주간",'cal1'!R275,""))</f>
        <v>허지웅</v>
      </c>
      <c r="E273" t="str">
        <f>IF(OR($B273="당직",$B273="야간"),'cal1'!AE275,IF($B273="주간",'cal1'!S275,""))</f>
        <v>정윤준</v>
      </c>
      <c r="F273" t="str">
        <f>IF(OR($B273="당직",$B273="야간"),'cal1'!AF275,IF($B273="주간",'cal1'!T275,""))</f>
        <v>이기수</v>
      </c>
      <c r="G273" t="str">
        <f>IF(OR($B273="당직",$B273="야간"),'cal1'!AG275,IF($B273="주간",'cal1'!U275,""))</f>
        <v>정윤준</v>
      </c>
      <c r="L273" t="str">
        <f>'cal1'!AJ275</f>
        <v/>
      </c>
      <c r="M273" t="str">
        <f t="shared" si="4"/>
        <v>[오늘의_근무 9/30(수)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74" spans="1:13">
      <c r="A274" s="1">
        <f>'cal1'!B276</f>
        <v>46296</v>
      </c>
      <c r="B274" t="str">
        <f>'cal1'!I276</f>
        <v>야간</v>
      </c>
      <c r="C274" t="str">
        <f>IF(OR($B274="당직",$B274="야간"),'cal1'!AC276,IF($B274="주간",'cal1'!Q276,""))</f>
        <v>정윤준</v>
      </c>
      <c r="D274" t="str">
        <f>IF(OR($B274="당직",$B274="야간"),'cal1'!AD276,IF($B274="주간",'cal1'!R276,""))</f>
        <v>이기수</v>
      </c>
      <c r="E274" t="str">
        <f>IF(OR($B274="당직",$B274="야간"),'cal1'!AE276,IF($B274="주간",'cal1'!S276,""))</f>
        <v>박성현</v>
      </c>
      <c r="F274" t="str">
        <f>IF(OR($B274="당직",$B274="야간"),'cal1'!AF276,IF($B274="주간",'cal1'!T276,""))</f>
        <v>허지웅</v>
      </c>
      <c r="G274" t="str">
        <f>IF(OR($B274="당직",$B274="야간"),'cal1'!AG276,IF($B274="주간",'cal1'!U276,""))</f>
        <v>장혁진</v>
      </c>
      <c r="L274" t="str">
        <f>'cal1'!AJ276</f>
        <v/>
      </c>
      <c r="M274" t="str">
        <f t="shared" si="4"/>
        <v>[오늘의_근무 10/1(목)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75" spans="1:13">
      <c r="A275" s="1">
        <f>'cal1'!B277</f>
        <v>46297</v>
      </c>
      <c r="B275" t="str">
        <f>'cal1'!I277</f>
        <v>비번</v>
      </c>
      <c r="C275" t="str">
        <f>IF(OR($B275="당직",$B275="야간"),'cal1'!AC277,IF($B275="주간",'cal1'!Q277,""))</f>
        <v/>
      </c>
      <c r="D275" t="str">
        <f>IF(OR($B275="당직",$B275="야간"),'cal1'!AD277,IF($B275="주간",'cal1'!R277,""))</f>
        <v/>
      </c>
      <c r="E275" t="str">
        <f>IF(OR($B275="당직",$B275="야간"),'cal1'!AE277,IF($B275="주간",'cal1'!S277,""))</f>
        <v/>
      </c>
      <c r="F275" t="str">
        <f>IF(OR($B275="당직",$B275="야간"),'cal1'!AF277,IF($B275="주간",'cal1'!T277,""))</f>
        <v/>
      </c>
      <c r="G275" t="str">
        <f>IF(OR($B275="당직",$B275="야간"),'cal1'!AG277,IF($B275="주간",'cal1'!U277,""))</f>
        <v/>
      </c>
      <c r="L275" t="str">
        <f>'cal1'!AJ277</f>
        <v/>
      </c>
      <c r="M275" t="str">
        <f t="shared" si="4"/>
        <v/>
      </c>
    </row>
    <row r="276" spans="1:13">
      <c r="A276" s="1">
        <f>'cal1'!B278</f>
        <v>46298</v>
      </c>
      <c r="B276" t="str">
        <f>'cal1'!I278</f>
        <v>휴무</v>
      </c>
      <c r="C276" t="str">
        <f>IF(OR($B276="당직",$B276="야간"),'cal1'!AC278,IF($B276="주간",'cal1'!Q278,""))</f>
        <v/>
      </c>
      <c r="D276" t="str">
        <f>IF(OR($B276="당직",$B276="야간"),'cal1'!AD278,IF($B276="주간",'cal1'!R278,""))</f>
        <v/>
      </c>
      <c r="E276" t="str">
        <f>IF(OR($B276="당직",$B276="야간"),'cal1'!AE278,IF($B276="주간",'cal1'!S278,""))</f>
        <v/>
      </c>
      <c r="F276" t="str">
        <f>IF(OR($B276="당직",$B276="야간"),'cal1'!AF278,IF($B276="주간",'cal1'!T278,""))</f>
        <v/>
      </c>
      <c r="G276" t="str">
        <f>IF(OR($B276="당직",$B276="야간"),'cal1'!AG278,IF($B276="주간",'cal1'!U278,""))</f>
        <v/>
      </c>
      <c r="L276" t="str">
        <f>'cal1'!AJ278</f>
        <v/>
      </c>
      <c r="M276" t="str">
        <f t="shared" si="4"/>
        <v/>
      </c>
    </row>
    <row r="277" spans="1:13">
      <c r="A277" s="1">
        <f>'cal1'!B279</f>
        <v>46299</v>
      </c>
      <c r="B277" t="str">
        <f>'cal1'!I279</f>
        <v>당직</v>
      </c>
      <c r="C277" t="str">
        <f>IF(OR($B277="당직",$B277="야간"),'cal1'!AC279,IF($B277="주간",'cal1'!Q279,""))</f>
        <v>허지웅</v>
      </c>
      <c r="D277" t="str">
        <f>IF(OR($B277="당직",$B277="야간"),'cal1'!AD279,IF($B277="주간",'cal1'!R279,""))</f>
        <v>정윤준</v>
      </c>
      <c r="E277" t="str">
        <f>IF(OR($B277="당직",$B277="야간"),'cal1'!AE279,IF($B277="주간",'cal1'!S279,""))</f>
        <v>이기수</v>
      </c>
      <c r="F277" t="str">
        <f>IF(OR($B277="당직",$B277="야간"),'cal1'!AF279,IF($B277="주간",'cal1'!T279,""))</f>
        <v>박성현</v>
      </c>
      <c r="G277" t="str">
        <f>IF(OR($B277="당직",$B277="야간"),'cal1'!AG279,IF($B277="주간",'cal1'!U279,""))</f>
        <v>이기수</v>
      </c>
      <c r="L277" t="str">
        <f>'cal1'!AJ279</f>
        <v/>
      </c>
      <c r="M277" t="str">
        <f t="shared" si="4"/>
        <v>[오늘의_근무 10/4(일)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78" spans="1:13">
      <c r="A278" s="1">
        <f>'cal1'!B280</f>
        <v>46300</v>
      </c>
      <c r="B278" t="str">
        <f>'cal1'!I280</f>
        <v>비번</v>
      </c>
      <c r="C278" t="str">
        <f>IF(OR($B278="당직",$B278="야간"),'cal1'!AC280,IF($B278="주간",'cal1'!Q280,""))</f>
        <v/>
      </c>
      <c r="D278" t="str">
        <f>IF(OR($B278="당직",$B278="야간"),'cal1'!AD280,IF($B278="주간",'cal1'!R280,""))</f>
        <v/>
      </c>
      <c r="E278" t="str">
        <f>IF(OR($B278="당직",$B278="야간"),'cal1'!AE280,IF($B278="주간",'cal1'!S280,""))</f>
        <v/>
      </c>
      <c r="F278" t="str">
        <f>IF(OR($B278="당직",$B278="야간"),'cal1'!AF280,IF($B278="주간",'cal1'!T280,""))</f>
        <v/>
      </c>
      <c r="G278" t="str">
        <f>IF(OR($B278="당직",$B278="야간"),'cal1'!AG280,IF($B278="주간",'cal1'!U280,""))</f>
        <v/>
      </c>
      <c r="L278" t="str">
        <f>'cal1'!AJ280</f>
        <v/>
      </c>
      <c r="M278" t="str">
        <f t="shared" si="4"/>
        <v/>
      </c>
    </row>
    <row r="279" spans="1:13">
      <c r="A279" s="1">
        <f>'cal1'!B281</f>
        <v>46301</v>
      </c>
      <c r="B279" t="str">
        <f>'cal1'!I281</f>
        <v>주간</v>
      </c>
      <c r="C279" t="str">
        <f>IF(OR($B279="당직",$B279="야간"),'cal1'!AC281,IF($B279="주간",'cal1'!Q281,""))</f>
        <v>이기수</v>
      </c>
      <c r="D279" t="str">
        <f>IF(OR($B279="당직",$B279="야간"),'cal1'!AD281,IF($B279="주간",'cal1'!R281,""))</f>
        <v>박성현</v>
      </c>
      <c r="E279" t="str">
        <f>IF(OR($B279="당직",$B279="야간"),'cal1'!AE281,IF($B279="주간",'cal1'!S281,""))</f>
        <v>허지웅</v>
      </c>
      <c r="F279" t="str">
        <f>IF(OR($B279="당직",$B279="야간"),'cal1'!AF281,IF($B279="주간",'cal1'!T281,""))</f>
        <v>정윤준</v>
      </c>
      <c r="G279" t="str">
        <f>IF(OR($B279="당직",$B279="야간"),'cal1'!AG281,IF($B279="주간",'cal1'!U281,""))</f>
        <v>허지웅</v>
      </c>
      <c r="L279" t="str">
        <f>'cal1'!AJ281</f>
        <v/>
      </c>
      <c r="M279" t="str">
        <f t="shared" si="4"/>
        <v>[오늘의_근무 10/6(화)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280" spans="1:13">
      <c r="A280" s="1">
        <f>'cal1'!B282</f>
        <v>46302</v>
      </c>
      <c r="B280" t="str">
        <f>'cal1'!I282</f>
        <v>야간</v>
      </c>
      <c r="C280" t="str">
        <f>IF(OR($B280="당직",$B280="야간"),'cal1'!AC282,IF($B280="주간",'cal1'!Q282,""))</f>
        <v>박성현</v>
      </c>
      <c r="D280" t="str">
        <f>IF(OR($B280="당직",$B280="야간"),'cal1'!AD282,IF($B280="주간",'cal1'!R282,""))</f>
        <v>허지웅</v>
      </c>
      <c r="E280" t="str">
        <f>IF(OR($B280="당직",$B280="야간"),'cal1'!AE282,IF($B280="주간",'cal1'!S282,""))</f>
        <v>정윤준</v>
      </c>
      <c r="F280" t="str">
        <f>IF(OR($B280="당직",$B280="야간"),'cal1'!AF282,IF($B280="주간",'cal1'!T282,""))</f>
        <v>이기수</v>
      </c>
      <c r="G280" t="e">
        <f>IF(OR($B280="당직",$B280="야간"),'cal1'!AG282,IF($B280="주간",'cal1'!U282,""))</f>
        <v>#VALUE!</v>
      </c>
      <c r="L280" t="str">
        <f>'cal1'!AJ282</f>
        <v/>
      </c>
      <c r="M280" t="str">
        <f t="shared" si="4"/>
        <v>[오늘의_근무 10/7(수)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81" spans="1:13">
      <c r="A281" s="1">
        <f>'cal1'!B283</f>
        <v>46303</v>
      </c>
      <c r="B281" t="str">
        <f>'cal1'!I283</f>
        <v>비번</v>
      </c>
      <c r="C281" t="str">
        <f>IF(OR($B281="당직",$B281="야간"),'cal1'!AC283,IF($B281="주간",'cal1'!Q283,""))</f>
        <v/>
      </c>
      <c r="D281" t="str">
        <f>IF(OR($B281="당직",$B281="야간"),'cal1'!AD283,IF($B281="주간",'cal1'!R283,""))</f>
        <v/>
      </c>
      <c r="E281" t="str">
        <f>IF(OR($B281="당직",$B281="야간"),'cal1'!AE283,IF($B281="주간",'cal1'!S283,""))</f>
        <v/>
      </c>
      <c r="F281" t="str">
        <f>IF(OR($B281="당직",$B281="야간"),'cal1'!AF283,IF($B281="주간",'cal1'!T283,""))</f>
        <v/>
      </c>
      <c r="G281" t="str">
        <f>IF(OR($B281="당직",$B281="야간"),'cal1'!AG283,IF($B281="주간",'cal1'!U283,""))</f>
        <v/>
      </c>
      <c r="L281" t="str">
        <f>'cal1'!AJ283</f>
        <v/>
      </c>
      <c r="M281" t="str">
        <f t="shared" si="4"/>
        <v/>
      </c>
    </row>
    <row r="282" spans="1:13">
      <c r="A282" s="1">
        <f>'cal1'!B284</f>
        <v>46304</v>
      </c>
      <c r="B282" t="str">
        <f>'cal1'!I284</f>
        <v>휴무</v>
      </c>
      <c r="C282" t="str">
        <f>IF(OR($B282="당직",$B282="야간"),'cal1'!AC284,IF($B282="주간",'cal1'!Q284,""))</f>
        <v/>
      </c>
      <c r="D282" t="str">
        <f>IF(OR($B282="당직",$B282="야간"),'cal1'!AD284,IF($B282="주간",'cal1'!R284,""))</f>
        <v/>
      </c>
      <c r="E282" t="str">
        <f>IF(OR($B282="당직",$B282="야간"),'cal1'!AE284,IF($B282="주간",'cal1'!S284,""))</f>
        <v/>
      </c>
      <c r="F282" t="str">
        <f>IF(OR($B282="당직",$B282="야간"),'cal1'!AF284,IF($B282="주간",'cal1'!T284,""))</f>
        <v/>
      </c>
      <c r="G282" t="str">
        <f>IF(OR($B282="당직",$B282="야간"),'cal1'!AG284,IF($B282="주간",'cal1'!U284,""))</f>
        <v/>
      </c>
      <c r="L282" t="str">
        <f>'cal1'!AJ284</f>
        <v/>
      </c>
      <c r="M282" t="str">
        <f t="shared" si="4"/>
        <v/>
      </c>
    </row>
    <row r="283" spans="1:13">
      <c r="A283" s="1">
        <f>'cal1'!B285</f>
        <v>46305</v>
      </c>
      <c r="B283" t="str">
        <f>'cal1'!I285</f>
        <v>당직</v>
      </c>
      <c r="C283" t="str">
        <f>IF(OR($B283="당직",$B283="야간"),'cal1'!AC285,IF($B283="주간",'cal1'!Q285,""))</f>
        <v>이기수</v>
      </c>
      <c r="D283" t="str">
        <f>IF(OR($B283="당직",$B283="야간"),'cal1'!AD285,IF($B283="주간",'cal1'!R285,""))</f>
        <v>박성현</v>
      </c>
      <c r="E283" t="str">
        <f>IF(OR($B283="당직",$B283="야간"),'cal1'!AE285,IF($B283="주간",'cal1'!S285,""))</f>
        <v>허지웅</v>
      </c>
      <c r="F283" t="str">
        <f>IF(OR($B283="당직",$B283="야간"),'cal1'!AF285,IF($B283="주간",'cal1'!T285,""))</f>
        <v>정윤준</v>
      </c>
      <c r="G283" t="str">
        <f>IF(OR($B283="당직",$B283="야간"),'cal1'!AG285,IF($B283="주간",'cal1'!U285,""))</f>
        <v>정윤준</v>
      </c>
      <c r="L283" t="str">
        <f>'cal1'!AJ285</f>
        <v>허지웅</v>
      </c>
      <c r="M283" t="str">
        <f t="shared" si="4"/>
        <v>[오늘의_근무 10/10(토) - 당직]\n▸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284" spans="1:13">
      <c r="A284" s="1">
        <f>'cal1'!B286</f>
        <v>46306</v>
      </c>
      <c r="B284" t="str">
        <f>'cal1'!I286</f>
        <v>비번</v>
      </c>
      <c r="C284" t="str">
        <f>IF(OR($B284="당직",$B284="야간"),'cal1'!AC286,IF($B284="주간",'cal1'!Q286,""))</f>
        <v/>
      </c>
      <c r="D284" t="str">
        <f>IF(OR($B284="당직",$B284="야간"),'cal1'!AD286,IF($B284="주간",'cal1'!R286,""))</f>
        <v/>
      </c>
      <c r="E284" t="str">
        <f>IF(OR($B284="당직",$B284="야간"),'cal1'!AE286,IF($B284="주간",'cal1'!S286,""))</f>
        <v/>
      </c>
      <c r="F284" t="str">
        <f>IF(OR($B284="당직",$B284="야간"),'cal1'!AF286,IF($B284="주간",'cal1'!T286,""))</f>
        <v/>
      </c>
      <c r="G284" t="str">
        <f>IF(OR($B284="당직",$B284="야간"),'cal1'!AG286,IF($B284="주간",'cal1'!U286,""))</f>
        <v/>
      </c>
      <c r="L284" t="str">
        <f>'cal1'!AJ286</f>
        <v/>
      </c>
      <c r="M284" t="str">
        <f t="shared" si="4"/>
        <v/>
      </c>
    </row>
    <row r="285" spans="1:13">
      <c r="A285" s="1">
        <f>'cal1'!B287</f>
        <v>46307</v>
      </c>
      <c r="B285" t="str">
        <f>'cal1'!I287</f>
        <v>주간</v>
      </c>
      <c r="C285" t="str">
        <f>IF(OR($B285="당직",$B285="야간"),'cal1'!AC287,IF($B285="주간",'cal1'!Q287,""))</f>
        <v>정윤준</v>
      </c>
      <c r="D285" t="str">
        <f>IF(OR($B285="당직",$B285="야간"),'cal1'!AD287,IF($B285="주간",'cal1'!R287,""))</f>
        <v>이기수</v>
      </c>
      <c r="E285" t="str">
        <f>IF(OR($B285="당직",$B285="야간"),'cal1'!AE287,IF($B285="주간",'cal1'!S287,""))</f>
        <v>박성현</v>
      </c>
      <c r="F285" t="str">
        <f>IF(OR($B285="당직",$B285="야간"),'cal1'!AF287,IF($B285="주간",'cal1'!T287,""))</f>
        <v>허지웅</v>
      </c>
      <c r="G285" t="e">
        <f>IF(OR($B285="당직",$B285="야간"),'cal1'!AG287,IF($B285="주간",'cal1'!U287,""))</f>
        <v>#VALUE!</v>
      </c>
      <c r="L285" t="str">
        <f>'cal1'!AJ287</f>
        <v/>
      </c>
      <c r="M285" t="str">
        <f t="shared" si="4"/>
        <v>[오늘의_근무 10/12(월)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86" spans="1:13">
      <c r="A286" s="1">
        <f>'cal1'!B288</f>
        <v>46308</v>
      </c>
      <c r="B286" t="str">
        <f>'cal1'!I288</f>
        <v>야간</v>
      </c>
      <c r="C286" t="str">
        <f>IF(OR($B286="당직",$B286="야간"),'cal1'!AC288,IF($B286="주간",'cal1'!Q288,""))</f>
        <v>정윤준</v>
      </c>
      <c r="D286" t="str">
        <f>IF(OR($B286="당직",$B286="야간"),'cal1'!AD288,IF($B286="주간",'cal1'!R288,""))</f>
        <v>이기수</v>
      </c>
      <c r="E286" t="str">
        <f>IF(OR($B286="당직",$B286="야간"),'cal1'!AE288,IF($B286="주간",'cal1'!S288,""))</f>
        <v>박성현</v>
      </c>
      <c r="F286" t="str">
        <f>IF(OR($B286="당직",$B286="야간"),'cal1'!AF288,IF($B286="주간",'cal1'!T288,""))</f>
        <v>허지웅</v>
      </c>
      <c r="G286" t="str">
        <f>IF(OR($B286="당직",$B286="야간"),'cal1'!AG288,IF($B286="주간",'cal1'!U288,""))</f>
        <v>허지웅</v>
      </c>
      <c r="L286" t="str">
        <f>'cal1'!AJ288</f>
        <v/>
      </c>
      <c r="M286" t="str">
        <f t="shared" si="4"/>
        <v>[오늘의_근무 10/13(화)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87" spans="1:13">
      <c r="A287" s="1">
        <f>'cal1'!B289</f>
        <v>46309</v>
      </c>
      <c r="B287" t="str">
        <f>'cal1'!I289</f>
        <v>비번</v>
      </c>
      <c r="C287" t="str">
        <f>IF(OR($B287="당직",$B287="야간"),'cal1'!AC289,IF($B287="주간",'cal1'!Q289,""))</f>
        <v/>
      </c>
      <c r="D287" t="str">
        <f>IF(OR($B287="당직",$B287="야간"),'cal1'!AD289,IF($B287="주간",'cal1'!R289,""))</f>
        <v/>
      </c>
      <c r="E287" t="str">
        <f>IF(OR($B287="당직",$B287="야간"),'cal1'!AE289,IF($B287="주간",'cal1'!S289,""))</f>
        <v/>
      </c>
      <c r="F287" t="str">
        <f>IF(OR($B287="당직",$B287="야간"),'cal1'!AF289,IF($B287="주간",'cal1'!T289,""))</f>
        <v/>
      </c>
      <c r="G287" t="str">
        <f>IF(OR($B287="당직",$B287="야간"),'cal1'!AG289,IF($B287="주간",'cal1'!U289,""))</f>
        <v/>
      </c>
      <c r="L287" t="str">
        <f>'cal1'!AJ289</f>
        <v/>
      </c>
      <c r="M287" t="str">
        <f t="shared" si="4"/>
        <v/>
      </c>
    </row>
    <row r="288" spans="1:13">
      <c r="A288" s="1">
        <f>'cal1'!B290</f>
        <v>46310</v>
      </c>
      <c r="B288" t="str">
        <f>'cal1'!I290</f>
        <v>주간</v>
      </c>
      <c r="C288" t="str">
        <f>IF(OR($B288="당직",$B288="야간"),'cal1'!AC290,IF($B288="주간",'cal1'!Q290,""))</f>
        <v>허지웅</v>
      </c>
      <c r="D288" t="str">
        <f>IF(OR($B288="당직",$B288="야간"),'cal1'!AD290,IF($B288="주간",'cal1'!R290,""))</f>
        <v>정윤준</v>
      </c>
      <c r="E288" t="str">
        <f>IF(OR($B288="당직",$B288="야간"),'cal1'!AE290,IF($B288="주간",'cal1'!S290,""))</f>
        <v>이기수</v>
      </c>
      <c r="F288" t="str">
        <f>IF(OR($B288="당직",$B288="야간"),'cal1'!AF290,IF($B288="주간",'cal1'!T290,""))</f>
        <v>박성현</v>
      </c>
      <c r="G288" t="str">
        <f>IF(OR($B288="당직",$B288="야간"),'cal1'!AG290,IF($B288="주간",'cal1'!U290,""))</f>
        <v>장혁진</v>
      </c>
      <c r="L288" t="str">
        <f>'cal1'!AJ290</f>
        <v/>
      </c>
      <c r="M288" t="str">
        <f t="shared" si="4"/>
        <v>[오늘의_근무 10/15(목)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89" spans="1:13">
      <c r="A289" s="1">
        <f>'cal1'!B291</f>
        <v>46311</v>
      </c>
      <c r="B289" t="str">
        <f>'cal1'!I291</f>
        <v>야간</v>
      </c>
      <c r="C289" t="str">
        <f>IF(OR($B289="당직",$B289="야간"),'cal1'!AC291,IF($B289="주간",'cal1'!Q291,""))</f>
        <v>허지웅</v>
      </c>
      <c r="D289" t="str">
        <f>IF(OR($B289="당직",$B289="야간"),'cal1'!AD291,IF($B289="주간",'cal1'!R291,""))</f>
        <v>정윤준</v>
      </c>
      <c r="E289" t="str">
        <f>IF(OR($B289="당직",$B289="야간"),'cal1'!AE291,IF($B289="주간",'cal1'!S291,""))</f>
        <v>이기수</v>
      </c>
      <c r="F289" t="str">
        <f>IF(OR($B289="당직",$B289="야간"),'cal1'!AF291,IF($B289="주간",'cal1'!T291,""))</f>
        <v>박성현</v>
      </c>
      <c r="G289" t="str">
        <f>IF(OR($B289="당직",$B289="야간"),'cal1'!AG291,IF($B289="주간",'cal1'!U291,""))</f>
        <v>장혁진</v>
      </c>
      <c r="L289" t="str">
        <f>'cal1'!AJ291</f>
        <v/>
      </c>
      <c r="M289" t="str">
        <f t="shared" si="4"/>
        <v>[오늘의_근무 10/16(금)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290" spans="1:13">
      <c r="A290" s="1">
        <f>'cal1'!B292</f>
        <v>46312</v>
      </c>
      <c r="B290" t="str">
        <f>'cal1'!I292</f>
        <v>비번</v>
      </c>
      <c r="C290" t="str">
        <f>IF(OR($B290="당직",$B290="야간"),'cal1'!AC292,IF($B290="주간",'cal1'!Q292,""))</f>
        <v/>
      </c>
      <c r="D290" t="str">
        <f>IF(OR($B290="당직",$B290="야간"),'cal1'!AD292,IF($B290="주간",'cal1'!R292,""))</f>
        <v/>
      </c>
      <c r="E290" t="str">
        <f>IF(OR($B290="당직",$B290="야간"),'cal1'!AE292,IF($B290="주간",'cal1'!S292,""))</f>
        <v/>
      </c>
      <c r="F290" t="str">
        <f>IF(OR($B290="당직",$B290="야간"),'cal1'!AF292,IF($B290="주간",'cal1'!T292,""))</f>
        <v/>
      </c>
      <c r="G290" t="str">
        <f>IF(OR($B290="당직",$B290="야간"),'cal1'!AG292,IF($B290="주간",'cal1'!U292,""))</f>
        <v/>
      </c>
      <c r="L290" t="str">
        <f>'cal1'!AJ292</f>
        <v/>
      </c>
      <c r="M290" t="str">
        <f t="shared" si="4"/>
        <v/>
      </c>
    </row>
    <row r="291" spans="1:13">
      <c r="A291" s="1">
        <f>'cal1'!B293</f>
        <v>46313</v>
      </c>
      <c r="B291" t="str">
        <f>'cal1'!I293</f>
        <v>휴무</v>
      </c>
      <c r="C291" t="str">
        <f>IF(OR($B291="당직",$B291="야간"),'cal1'!AC293,IF($B291="주간",'cal1'!Q293,""))</f>
        <v/>
      </c>
      <c r="D291" t="str">
        <f>IF(OR($B291="당직",$B291="야간"),'cal1'!AD293,IF($B291="주간",'cal1'!R293,""))</f>
        <v/>
      </c>
      <c r="E291" t="str">
        <f>IF(OR($B291="당직",$B291="야간"),'cal1'!AE293,IF($B291="주간",'cal1'!S293,""))</f>
        <v/>
      </c>
      <c r="F291" t="str">
        <f>IF(OR($B291="당직",$B291="야간"),'cal1'!AF293,IF($B291="주간",'cal1'!T293,""))</f>
        <v/>
      </c>
      <c r="G291" t="str">
        <f>IF(OR($B291="당직",$B291="야간"),'cal1'!AG293,IF($B291="주간",'cal1'!U293,""))</f>
        <v/>
      </c>
      <c r="L291" t="str">
        <f>'cal1'!AJ293</f>
        <v/>
      </c>
      <c r="M291" t="str">
        <f t="shared" si="4"/>
        <v/>
      </c>
    </row>
    <row r="292" spans="1:13">
      <c r="A292" s="1">
        <f>'cal1'!B294</f>
        <v>46314</v>
      </c>
      <c r="B292" t="str">
        <f>'cal1'!I294</f>
        <v>야간</v>
      </c>
      <c r="C292" t="str">
        <f>IF(OR($B292="당직",$B292="야간"),'cal1'!AC294,IF($B292="주간",'cal1'!Q294,""))</f>
        <v>박성현</v>
      </c>
      <c r="D292" t="str">
        <f>IF(OR($B292="당직",$B292="야간"),'cal1'!AD294,IF($B292="주간",'cal1'!R294,""))</f>
        <v>허지웅</v>
      </c>
      <c r="E292" t="str">
        <f>IF(OR($B292="당직",$B292="야간"),'cal1'!AE294,IF($B292="주간",'cal1'!S294,""))</f>
        <v>정윤준</v>
      </c>
      <c r="F292" t="str">
        <f>IF(OR($B292="당직",$B292="야간"),'cal1'!AF294,IF($B292="주간",'cal1'!T294,""))</f>
        <v>이기수</v>
      </c>
      <c r="G292" t="str">
        <f>IF(OR($B292="당직",$B292="야간"),'cal1'!AG294,IF($B292="주간",'cal1'!U294,""))</f>
        <v>이기수</v>
      </c>
      <c r="L292" t="str">
        <f>'cal1'!AJ294</f>
        <v/>
      </c>
      <c r="M292" t="str">
        <f t="shared" si="4"/>
        <v>[오늘의_근무 10/19(월)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93" spans="1:13">
      <c r="A293" s="1">
        <f>'cal1'!B295</f>
        <v>46315</v>
      </c>
      <c r="B293" t="str">
        <f>'cal1'!I295</f>
        <v>비번</v>
      </c>
      <c r="C293" t="str">
        <f>IF(OR($B293="당직",$B293="야간"),'cal1'!AC295,IF($B293="주간",'cal1'!Q295,""))</f>
        <v/>
      </c>
      <c r="D293" t="str">
        <f>IF(OR($B293="당직",$B293="야간"),'cal1'!AD295,IF($B293="주간",'cal1'!R295,""))</f>
        <v/>
      </c>
      <c r="E293" t="str">
        <f>IF(OR($B293="당직",$B293="야간"),'cal1'!AE295,IF($B293="주간",'cal1'!S295,""))</f>
        <v/>
      </c>
      <c r="F293" t="str">
        <f>IF(OR($B293="당직",$B293="야간"),'cal1'!AF295,IF($B293="주간",'cal1'!T295,""))</f>
        <v/>
      </c>
      <c r="G293" t="str">
        <f>IF(OR($B293="당직",$B293="야간"),'cal1'!AG295,IF($B293="주간",'cal1'!U295,""))</f>
        <v/>
      </c>
      <c r="L293" t="str">
        <f>'cal1'!AJ295</f>
        <v/>
      </c>
      <c r="M293" t="str">
        <f t="shared" si="4"/>
        <v/>
      </c>
    </row>
    <row r="294" spans="1:13">
      <c r="A294" s="1">
        <f>'cal1'!B296</f>
        <v>46316</v>
      </c>
      <c r="B294" t="str">
        <f>'cal1'!I296</f>
        <v>주간</v>
      </c>
      <c r="C294" t="str">
        <f>IF(OR($B294="당직",$B294="야간"),'cal1'!AC296,IF($B294="주간",'cal1'!Q296,""))</f>
        <v>박성현</v>
      </c>
      <c r="D294" t="str">
        <f>IF(OR($B294="당직",$B294="야간"),'cal1'!AD296,IF($B294="주간",'cal1'!R296,""))</f>
        <v>허지웅</v>
      </c>
      <c r="E294" t="str">
        <f>IF(OR($B294="당직",$B294="야간"),'cal1'!AE296,IF($B294="주간",'cal1'!S296,""))</f>
        <v>정윤준</v>
      </c>
      <c r="F294" t="str">
        <f>IF(OR($B294="당직",$B294="야간"),'cal1'!AF296,IF($B294="주간",'cal1'!T296,""))</f>
        <v>이기수</v>
      </c>
      <c r="G294" t="str">
        <f>IF(OR($B294="당직",$B294="야간"),'cal1'!AG296,IF($B294="주간",'cal1'!U296,""))</f>
        <v>이기수</v>
      </c>
      <c r="L294" t="str">
        <f>'cal1'!AJ296</f>
        <v/>
      </c>
      <c r="M294" t="str">
        <f t="shared" si="4"/>
        <v>[오늘의_근무 10/21(수)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295" spans="1:13">
      <c r="A295" s="1">
        <f>'cal1'!B297</f>
        <v>46317</v>
      </c>
      <c r="B295" t="str">
        <f>'cal1'!I297</f>
        <v>야간</v>
      </c>
      <c r="C295" t="str">
        <f>IF(OR($B295="당직",$B295="야간"),'cal1'!AC297,IF($B295="주간",'cal1'!Q297,""))</f>
        <v>이기수</v>
      </c>
      <c r="D295" t="str">
        <f>IF(OR($B295="당직",$B295="야간"),'cal1'!AD297,IF($B295="주간",'cal1'!R297,""))</f>
        <v>박성현</v>
      </c>
      <c r="E295" t="str">
        <f>IF(OR($B295="당직",$B295="야간"),'cal1'!AE297,IF($B295="주간",'cal1'!S297,""))</f>
        <v>허지웅</v>
      </c>
      <c r="F295" t="str">
        <f>IF(OR($B295="당직",$B295="야간"),'cal1'!AF297,IF($B295="주간",'cal1'!T297,""))</f>
        <v>정윤준</v>
      </c>
      <c r="G295" t="e">
        <f>IF(OR($B295="당직",$B295="야간"),'cal1'!AG297,IF($B295="주간",'cal1'!U297,""))</f>
        <v>#VALUE!</v>
      </c>
      <c r="L295" t="str">
        <f>'cal1'!AJ297</f>
        <v>정윤준</v>
      </c>
      <c r="M295" t="str">
        <f t="shared" si="4"/>
        <v>[오늘의_근무 10/22(목)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296" spans="1:13">
      <c r="A296" s="1">
        <f>'cal1'!B298</f>
        <v>46318</v>
      </c>
      <c r="B296" t="str">
        <f>'cal1'!I298</f>
        <v>비번</v>
      </c>
      <c r="C296" t="str">
        <f>IF(OR($B296="당직",$B296="야간"),'cal1'!AC298,IF($B296="주간",'cal1'!Q298,""))</f>
        <v/>
      </c>
      <c r="D296" t="str">
        <f>IF(OR($B296="당직",$B296="야간"),'cal1'!AD298,IF($B296="주간",'cal1'!R298,""))</f>
        <v/>
      </c>
      <c r="E296" t="str">
        <f>IF(OR($B296="당직",$B296="야간"),'cal1'!AE298,IF($B296="주간",'cal1'!S298,""))</f>
        <v/>
      </c>
      <c r="F296" t="str">
        <f>IF(OR($B296="당직",$B296="야간"),'cal1'!AF298,IF($B296="주간",'cal1'!T298,""))</f>
        <v/>
      </c>
      <c r="G296" t="str">
        <f>IF(OR($B296="당직",$B296="야간"),'cal1'!AG298,IF($B296="주간",'cal1'!U298,""))</f>
        <v/>
      </c>
      <c r="L296" t="str">
        <f>'cal1'!AJ298</f>
        <v/>
      </c>
      <c r="M296" t="str">
        <f t="shared" si="4"/>
        <v/>
      </c>
    </row>
    <row r="297" spans="1:13">
      <c r="A297" s="1">
        <f>'cal1'!B299</f>
        <v>46319</v>
      </c>
      <c r="B297" t="str">
        <f>'cal1'!I299</f>
        <v>휴무</v>
      </c>
      <c r="C297" t="str">
        <f>IF(OR($B297="당직",$B297="야간"),'cal1'!AC299,IF($B297="주간",'cal1'!Q299,""))</f>
        <v/>
      </c>
      <c r="D297" t="str">
        <f>IF(OR($B297="당직",$B297="야간"),'cal1'!AD299,IF($B297="주간",'cal1'!R299,""))</f>
        <v/>
      </c>
      <c r="E297" t="str">
        <f>IF(OR($B297="당직",$B297="야간"),'cal1'!AE299,IF($B297="주간",'cal1'!S299,""))</f>
        <v/>
      </c>
      <c r="F297" t="str">
        <f>IF(OR($B297="당직",$B297="야간"),'cal1'!AF299,IF($B297="주간",'cal1'!T299,""))</f>
        <v/>
      </c>
      <c r="G297" t="str">
        <f>IF(OR($B297="당직",$B297="야간"),'cal1'!AG299,IF($B297="주간",'cal1'!U299,""))</f>
        <v/>
      </c>
      <c r="L297" t="str">
        <f>'cal1'!AJ299</f>
        <v/>
      </c>
      <c r="M297" t="str">
        <f t="shared" si="4"/>
        <v/>
      </c>
    </row>
    <row r="298" spans="1:13">
      <c r="A298" s="1">
        <f>'cal1'!B300</f>
        <v>46320</v>
      </c>
      <c r="B298" t="str">
        <f>'cal1'!I300</f>
        <v>당직</v>
      </c>
      <c r="C298" t="str">
        <f>IF(OR($B298="당직",$B298="야간"),'cal1'!AC300,IF($B298="주간",'cal1'!Q300,""))</f>
        <v>정윤준</v>
      </c>
      <c r="D298" t="str">
        <f>IF(OR($B298="당직",$B298="야간"),'cal1'!AD300,IF($B298="주간",'cal1'!R300,""))</f>
        <v>이기수</v>
      </c>
      <c r="E298" t="str">
        <f>IF(OR($B298="당직",$B298="야간"),'cal1'!AE300,IF($B298="주간",'cal1'!S300,""))</f>
        <v>박성현</v>
      </c>
      <c r="F298" t="str">
        <f>IF(OR($B298="당직",$B298="야간"),'cal1'!AF300,IF($B298="주간",'cal1'!T300,""))</f>
        <v>허지웅</v>
      </c>
      <c r="G298" t="str">
        <f>IF(OR($B298="당직",$B298="야간"),'cal1'!AG300,IF($B298="주간",'cal1'!U300,""))</f>
        <v>정윤준</v>
      </c>
      <c r="L298" t="str">
        <f>'cal1'!AJ300</f>
        <v/>
      </c>
      <c r="M298" t="str">
        <f t="shared" si="4"/>
        <v>[오늘의_근무 10/25(일)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299" spans="1:13">
      <c r="A299" s="1">
        <f>'cal1'!B301</f>
        <v>46321</v>
      </c>
      <c r="B299" t="str">
        <f>'cal1'!I301</f>
        <v>비번</v>
      </c>
      <c r="C299" t="str">
        <f>IF(OR($B299="당직",$B299="야간"),'cal1'!AC301,IF($B299="주간",'cal1'!Q301,""))</f>
        <v/>
      </c>
      <c r="D299" t="str">
        <f>IF(OR($B299="당직",$B299="야간"),'cal1'!AD301,IF($B299="주간",'cal1'!R301,""))</f>
        <v/>
      </c>
      <c r="E299" t="str">
        <f>IF(OR($B299="당직",$B299="야간"),'cal1'!AE301,IF($B299="주간",'cal1'!S301,""))</f>
        <v/>
      </c>
      <c r="F299" t="str">
        <f>IF(OR($B299="당직",$B299="야간"),'cal1'!AF301,IF($B299="주간",'cal1'!T301,""))</f>
        <v/>
      </c>
      <c r="G299" t="str">
        <f>IF(OR($B299="당직",$B299="야간"),'cal1'!AG301,IF($B299="주간",'cal1'!U301,""))</f>
        <v/>
      </c>
      <c r="L299" t="str">
        <f>'cal1'!AJ301</f>
        <v/>
      </c>
      <c r="M299" t="str">
        <f t="shared" si="4"/>
        <v/>
      </c>
    </row>
    <row r="300" spans="1:13">
      <c r="A300" s="1">
        <f>'cal1'!B302</f>
        <v>46322</v>
      </c>
      <c r="B300" t="str">
        <f>'cal1'!I302</f>
        <v>주간</v>
      </c>
      <c r="C300" t="str">
        <f>IF(OR($B300="당직",$B300="야간"),'cal1'!AC302,IF($B300="주간",'cal1'!Q302,""))</f>
        <v>이기수</v>
      </c>
      <c r="D300" t="str">
        <f>IF(OR($B300="당직",$B300="야간"),'cal1'!AD302,IF($B300="주간",'cal1'!R302,""))</f>
        <v>박성현</v>
      </c>
      <c r="E300" t="str">
        <f>IF(OR($B300="당직",$B300="야간"),'cal1'!AE302,IF($B300="주간",'cal1'!S302,""))</f>
        <v>허지웅</v>
      </c>
      <c r="F300" t="str">
        <f>IF(OR($B300="당직",$B300="야간"),'cal1'!AF302,IF($B300="주간",'cal1'!T302,""))</f>
        <v>정윤준</v>
      </c>
      <c r="G300" t="str">
        <f>IF(OR($B300="당직",$B300="야간"),'cal1'!AG302,IF($B300="주간",'cal1'!U302,""))</f>
        <v>정윤준</v>
      </c>
      <c r="L300" t="str">
        <f>'cal1'!AJ302</f>
        <v/>
      </c>
      <c r="M300" t="str">
        <f t="shared" si="4"/>
        <v>[오늘의_근무 10/27(화)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301" spans="1:13">
      <c r="A301" s="1">
        <f>'cal1'!B303</f>
        <v>46323</v>
      </c>
      <c r="B301" t="str">
        <f>'cal1'!I303</f>
        <v>야간</v>
      </c>
      <c r="C301" t="str">
        <f>IF(OR($B301="당직",$B301="야간"),'cal1'!AC303,IF($B301="주간",'cal1'!Q303,""))</f>
        <v>허지웅</v>
      </c>
      <c r="D301" t="str">
        <f>IF(OR($B301="당직",$B301="야간"),'cal1'!AD303,IF($B301="주간",'cal1'!R303,""))</f>
        <v>정윤준</v>
      </c>
      <c r="E301" t="str">
        <f>IF(OR($B301="당직",$B301="야간"),'cal1'!AE303,IF($B301="주간",'cal1'!S303,""))</f>
        <v>이기수</v>
      </c>
      <c r="F301" t="str">
        <f>IF(OR($B301="당직",$B301="야간"),'cal1'!AF303,IF($B301="주간",'cal1'!T303,""))</f>
        <v>박성현</v>
      </c>
      <c r="G301" t="str">
        <f>IF(OR($B301="당직",$B301="야간"),'cal1'!AG303,IF($B301="주간",'cal1'!U303,""))</f>
        <v>허지웅</v>
      </c>
      <c r="L301" t="str">
        <f>'cal1'!AJ303</f>
        <v/>
      </c>
      <c r="M301" t="str">
        <f t="shared" si="4"/>
        <v>[오늘의_근무 10/28(수)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02" spans="1:13">
      <c r="A302" s="1">
        <f>'cal1'!B304</f>
        <v>46324</v>
      </c>
      <c r="B302" t="str">
        <f>'cal1'!I304</f>
        <v>비번</v>
      </c>
      <c r="C302" t="str">
        <f>IF(OR($B302="당직",$B302="야간"),'cal1'!AC304,IF($B302="주간",'cal1'!Q304,""))</f>
        <v/>
      </c>
      <c r="D302" t="str">
        <f>IF(OR($B302="당직",$B302="야간"),'cal1'!AD304,IF($B302="주간",'cal1'!R304,""))</f>
        <v/>
      </c>
      <c r="E302" t="str">
        <f>IF(OR($B302="당직",$B302="야간"),'cal1'!AE304,IF($B302="주간",'cal1'!S304,""))</f>
        <v/>
      </c>
      <c r="F302" t="str">
        <f>IF(OR($B302="당직",$B302="야간"),'cal1'!AF304,IF($B302="주간",'cal1'!T304,""))</f>
        <v/>
      </c>
      <c r="G302" t="str">
        <f>IF(OR($B302="당직",$B302="야간"),'cal1'!AG304,IF($B302="주간",'cal1'!U304,""))</f>
        <v/>
      </c>
      <c r="L302" t="str">
        <f>'cal1'!AJ304</f>
        <v/>
      </c>
      <c r="M302" t="str">
        <f t="shared" si="4"/>
        <v/>
      </c>
    </row>
    <row r="303" spans="1:13">
      <c r="A303" s="1">
        <f>'cal1'!B305</f>
        <v>46325</v>
      </c>
      <c r="B303" t="str">
        <f>'cal1'!I305</f>
        <v>주간</v>
      </c>
      <c r="C303" t="str">
        <f>IF(OR($B303="당직",$B303="야간"),'cal1'!AC305,IF($B303="주간",'cal1'!Q305,""))</f>
        <v>정윤준</v>
      </c>
      <c r="D303" t="str">
        <f>IF(OR($B303="당직",$B303="야간"),'cal1'!AD305,IF($B303="주간",'cal1'!R305,""))</f>
        <v>이기수</v>
      </c>
      <c r="E303" t="str">
        <f>IF(OR($B303="당직",$B303="야간"),'cal1'!AE305,IF($B303="주간",'cal1'!S305,""))</f>
        <v>박성현</v>
      </c>
      <c r="F303" t="str">
        <f>IF(OR($B303="당직",$B303="야간"),'cal1'!AF305,IF($B303="주간",'cal1'!T305,""))</f>
        <v>허지웅</v>
      </c>
      <c r="G303" t="str">
        <f>IF(OR($B303="당직",$B303="야간"),'cal1'!AG305,IF($B303="주간",'cal1'!U305,""))</f>
        <v>허지웅</v>
      </c>
      <c r="L303" t="str">
        <f>'cal1'!AJ305</f>
        <v/>
      </c>
      <c r="M303" t="str">
        <f t="shared" si="4"/>
        <v>[오늘의_근무 10/30(금)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04" spans="1:13">
      <c r="A304" s="1">
        <f>'cal1'!B306</f>
        <v>46326</v>
      </c>
      <c r="B304" t="str">
        <f>'cal1'!I306</f>
        <v>당직</v>
      </c>
      <c r="C304" t="str">
        <f>IF(OR($B304="당직",$B304="야간"),'cal1'!AC306,IF($B304="주간",'cal1'!Q306,""))</f>
        <v>박성현</v>
      </c>
      <c r="D304" t="str">
        <f>IF(OR($B304="당직",$B304="야간"),'cal1'!AD306,IF($B304="주간",'cal1'!R306,""))</f>
        <v>허지웅</v>
      </c>
      <c r="E304" t="str">
        <f>IF(OR($B304="당직",$B304="야간"),'cal1'!AE306,IF($B304="주간",'cal1'!S306,""))</f>
        <v>정윤준</v>
      </c>
      <c r="F304" t="str">
        <f>IF(OR($B304="당직",$B304="야간"),'cal1'!AF306,IF($B304="주간",'cal1'!T306,""))</f>
        <v>이기수</v>
      </c>
      <c r="G304" t="str">
        <f>IF(OR($B304="당직",$B304="야간"),'cal1'!AG306,IF($B304="주간",'cal1'!U306,""))</f>
        <v>장혁진</v>
      </c>
      <c r="L304" t="str">
        <f>'cal1'!AJ306</f>
        <v/>
      </c>
      <c r="M304" t="str">
        <f t="shared" si="4"/>
        <v>[오늘의_근무 10/31(토)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05" spans="1:13">
      <c r="A305" s="1">
        <f>'cal1'!B307</f>
        <v>46327</v>
      </c>
      <c r="B305" t="str">
        <f>'cal1'!I307</f>
        <v>비번</v>
      </c>
      <c r="C305" t="str">
        <f>IF(OR($B305="당직",$B305="야간"),'cal1'!AC307,IF($B305="주간",'cal1'!Q307,""))</f>
        <v/>
      </c>
      <c r="D305" t="str">
        <f>IF(OR($B305="당직",$B305="야간"),'cal1'!AD307,IF($B305="주간",'cal1'!R307,""))</f>
        <v/>
      </c>
      <c r="E305" t="str">
        <f>IF(OR($B305="당직",$B305="야간"),'cal1'!AE307,IF($B305="주간",'cal1'!S307,""))</f>
        <v/>
      </c>
      <c r="F305" t="str">
        <f>IF(OR($B305="당직",$B305="야간"),'cal1'!AF307,IF($B305="주간",'cal1'!T307,""))</f>
        <v/>
      </c>
      <c r="G305" t="str">
        <f>IF(OR($B305="당직",$B305="야간"),'cal1'!AG307,IF($B305="주간",'cal1'!U307,""))</f>
        <v/>
      </c>
      <c r="L305" t="str">
        <f>'cal1'!AJ307</f>
        <v/>
      </c>
      <c r="M305" t="str">
        <f t="shared" si="4"/>
        <v/>
      </c>
    </row>
    <row r="306" spans="1:13">
      <c r="A306" s="1">
        <f>'cal1'!B308</f>
        <v>46328</v>
      </c>
      <c r="B306" t="str">
        <f>'cal1'!I308</f>
        <v>주간</v>
      </c>
      <c r="C306" t="str">
        <f>IF(OR($B306="당직",$B306="야간"),'cal1'!AC308,IF($B306="주간",'cal1'!Q308,""))</f>
        <v>허지웅</v>
      </c>
      <c r="D306" t="str">
        <f>IF(OR($B306="당직",$B306="야간"),'cal1'!AD308,IF($B306="주간",'cal1'!R308,""))</f>
        <v>정윤준</v>
      </c>
      <c r="E306" t="str">
        <f>IF(OR($B306="당직",$B306="야간"),'cal1'!AE308,IF($B306="주간",'cal1'!S308,""))</f>
        <v>이기수</v>
      </c>
      <c r="F306" t="str">
        <f>IF(OR($B306="당직",$B306="야간"),'cal1'!AF308,IF($B306="주간",'cal1'!T308,""))</f>
        <v>박성현</v>
      </c>
      <c r="G306" t="e">
        <f>IF(OR($B306="당직",$B306="야간"),'cal1'!AG308,IF($B306="주간",'cal1'!U308,""))</f>
        <v>#VALUE!</v>
      </c>
      <c r="L306" t="str">
        <f>'cal1'!AJ308</f>
        <v/>
      </c>
      <c r="M306" t="str">
        <f t="shared" si="4"/>
        <v>[오늘의_근무 11/2(월)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07" spans="1:13">
      <c r="A307" s="1">
        <f>'cal1'!B309</f>
        <v>46329</v>
      </c>
      <c r="B307" t="str">
        <f>'cal1'!I309</f>
        <v>야간</v>
      </c>
      <c r="C307" t="str">
        <f>IF(OR($B307="당직",$B307="야간"),'cal1'!AC309,IF($B307="주간",'cal1'!Q309,""))</f>
        <v>이기수</v>
      </c>
      <c r="D307" t="str">
        <f>IF(OR($B307="당직",$B307="야간"),'cal1'!AD309,IF($B307="주간",'cal1'!R309,""))</f>
        <v>박성현</v>
      </c>
      <c r="E307" t="str">
        <f>IF(OR($B307="당직",$B307="야간"),'cal1'!AE309,IF($B307="주간",'cal1'!S309,""))</f>
        <v>허지웅</v>
      </c>
      <c r="F307" t="str">
        <f>IF(OR($B307="당직",$B307="야간"),'cal1'!AF309,IF($B307="주간",'cal1'!T309,""))</f>
        <v>정윤준</v>
      </c>
      <c r="G307" t="str">
        <f>IF(OR($B307="당직",$B307="야간"),'cal1'!AG309,IF($B307="주간",'cal1'!U309,""))</f>
        <v>이기수</v>
      </c>
      <c r="L307" t="str">
        <f>'cal1'!AJ309</f>
        <v>허지웅</v>
      </c>
      <c r="M307" t="str">
        <f t="shared" si="4"/>
        <v>[오늘의_근무 11/3(화)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308" spans="1:13">
      <c r="A308" s="1">
        <f>'cal1'!B310</f>
        <v>46330</v>
      </c>
      <c r="B308" t="str">
        <f>'cal1'!I310</f>
        <v>비번</v>
      </c>
      <c r="C308" t="str">
        <f>IF(OR($B308="당직",$B308="야간"),'cal1'!AC310,IF($B308="주간",'cal1'!Q310,""))</f>
        <v/>
      </c>
      <c r="D308" t="str">
        <f>IF(OR($B308="당직",$B308="야간"),'cal1'!AD310,IF($B308="주간",'cal1'!R310,""))</f>
        <v/>
      </c>
      <c r="E308" t="str">
        <f>IF(OR($B308="당직",$B308="야간"),'cal1'!AE310,IF($B308="주간",'cal1'!S310,""))</f>
        <v/>
      </c>
      <c r="F308" t="str">
        <f>IF(OR($B308="당직",$B308="야간"),'cal1'!AF310,IF($B308="주간",'cal1'!T310,""))</f>
        <v/>
      </c>
      <c r="G308" t="str">
        <f>IF(OR($B308="당직",$B308="야간"),'cal1'!AG310,IF($B308="주간",'cal1'!U310,""))</f>
        <v/>
      </c>
      <c r="L308" t="str">
        <f>'cal1'!AJ310</f>
        <v/>
      </c>
      <c r="M308" t="str">
        <f t="shared" si="4"/>
        <v/>
      </c>
    </row>
    <row r="309" spans="1:13">
      <c r="A309" s="1">
        <f>'cal1'!B311</f>
        <v>46331</v>
      </c>
      <c r="B309" t="str">
        <f>'cal1'!I311</f>
        <v>주간</v>
      </c>
      <c r="C309" t="str">
        <f>IF(OR($B309="당직",$B309="야간"),'cal1'!AC311,IF($B309="주간",'cal1'!Q311,""))</f>
        <v>박성현</v>
      </c>
      <c r="D309" t="str">
        <f>IF(OR($B309="당직",$B309="야간"),'cal1'!AD311,IF($B309="주간",'cal1'!R311,""))</f>
        <v>허지웅</v>
      </c>
      <c r="E309" t="str">
        <f>IF(OR($B309="당직",$B309="야간"),'cal1'!AE311,IF($B309="주간",'cal1'!S311,""))</f>
        <v>정윤준</v>
      </c>
      <c r="F309" t="str">
        <f>IF(OR($B309="당직",$B309="야간"),'cal1'!AF311,IF($B309="주간",'cal1'!T311,""))</f>
        <v>이기수</v>
      </c>
      <c r="G309" t="str">
        <f>IF(OR($B309="당직",$B309="야간"),'cal1'!AG311,IF($B309="주간",'cal1'!U311,""))</f>
        <v>장혁진</v>
      </c>
      <c r="L309" t="str">
        <f>'cal1'!AJ311</f>
        <v/>
      </c>
      <c r="M309" t="str">
        <f t="shared" si="4"/>
        <v>[오늘의_근무 11/5(목)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10" spans="1:13">
      <c r="A310" s="1">
        <f>'cal1'!B312</f>
        <v>46332</v>
      </c>
      <c r="B310" t="str">
        <f>'cal1'!I312</f>
        <v>야간</v>
      </c>
      <c r="C310" t="str">
        <f>IF(OR($B310="당직",$B310="야간"),'cal1'!AC312,IF($B310="주간",'cal1'!Q312,""))</f>
        <v>정윤준</v>
      </c>
      <c r="D310" t="str">
        <f>IF(OR($B310="당직",$B310="야간"),'cal1'!AD312,IF($B310="주간",'cal1'!R312,""))</f>
        <v>이기수</v>
      </c>
      <c r="E310" t="str">
        <f>IF(OR($B310="당직",$B310="야간"),'cal1'!AE312,IF($B310="주간",'cal1'!S312,""))</f>
        <v>박성현</v>
      </c>
      <c r="F310" t="str">
        <f>IF(OR($B310="당직",$B310="야간"),'cal1'!AF312,IF($B310="주간",'cal1'!T312,""))</f>
        <v>허지웅</v>
      </c>
      <c r="G310" t="e">
        <f>IF(OR($B310="당직",$B310="야간"),'cal1'!AG312,IF($B310="주간",'cal1'!U312,""))</f>
        <v>#VALUE!</v>
      </c>
      <c r="L310" t="str">
        <f>'cal1'!AJ312</f>
        <v/>
      </c>
      <c r="M310" t="str">
        <f t="shared" si="4"/>
        <v>[오늘의_근무 11/6(금)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11" spans="1:13">
      <c r="A311" s="1">
        <f>'cal1'!B313</f>
        <v>46333</v>
      </c>
      <c r="B311" t="str">
        <f>'cal1'!I313</f>
        <v>비번</v>
      </c>
      <c r="C311" t="str">
        <f>IF(OR($B311="당직",$B311="야간"),'cal1'!AC313,IF($B311="주간",'cal1'!Q313,""))</f>
        <v/>
      </c>
      <c r="D311" t="str">
        <f>IF(OR($B311="당직",$B311="야간"),'cal1'!AD313,IF($B311="주간",'cal1'!R313,""))</f>
        <v/>
      </c>
      <c r="E311" t="str">
        <f>IF(OR($B311="당직",$B311="야간"),'cal1'!AE313,IF($B311="주간",'cal1'!S313,""))</f>
        <v/>
      </c>
      <c r="F311" t="str">
        <f>IF(OR($B311="당직",$B311="야간"),'cal1'!AF313,IF($B311="주간",'cal1'!T313,""))</f>
        <v/>
      </c>
      <c r="G311" t="str">
        <f>IF(OR($B311="당직",$B311="야간"),'cal1'!AG313,IF($B311="주간",'cal1'!U313,""))</f>
        <v/>
      </c>
      <c r="L311" t="str">
        <f>'cal1'!AJ313</f>
        <v/>
      </c>
      <c r="M311" t="str">
        <f t="shared" si="4"/>
        <v/>
      </c>
    </row>
    <row r="312" spans="1:13">
      <c r="A312" s="1">
        <f>'cal1'!B314</f>
        <v>46334</v>
      </c>
      <c r="B312" t="str">
        <f>'cal1'!I314</f>
        <v>휴무</v>
      </c>
      <c r="C312" t="str">
        <f>IF(OR($B312="당직",$B312="야간"),'cal1'!AC314,IF($B312="주간",'cal1'!Q314,""))</f>
        <v/>
      </c>
      <c r="D312" t="str">
        <f>IF(OR($B312="당직",$B312="야간"),'cal1'!AD314,IF($B312="주간",'cal1'!R314,""))</f>
        <v/>
      </c>
      <c r="E312" t="str">
        <f>IF(OR($B312="당직",$B312="야간"),'cal1'!AE314,IF($B312="주간",'cal1'!S314,""))</f>
        <v/>
      </c>
      <c r="F312" t="str">
        <f>IF(OR($B312="당직",$B312="야간"),'cal1'!AF314,IF($B312="주간",'cal1'!T314,""))</f>
        <v/>
      </c>
      <c r="G312" t="str">
        <f>IF(OR($B312="당직",$B312="야간"),'cal1'!AG314,IF($B312="주간",'cal1'!U314,""))</f>
        <v/>
      </c>
      <c r="L312" t="str">
        <f>'cal1'!AJ314</f>
        <v/>
      </c>
      <c r="M312" t="str">
        <f t="shared" si="4"/>
        <v/>
      </c>
    </row>
    <row r="313" spans="1:13">
      <c r="A313" s="1">
        <f>'cal1'!B315</f>
        <v>46335</v>
      </c>
      <c r="B313" t="str">
        <f>'cal1'!I315</f>
        <v>야간</v>
      </c>
      <c r="C313" t="str">
        <f>IF(OR($B313="당직",$B313="야간"),'cal1'!AC315,IF($B313="주간",'cal1'!Q315,""))</f>
        <v>허지웅</v>
      </c>
      <c r="D313" t="str">
        <f>IF(OR($B313="당직",$B313="야간"),'cal1'!AD315,IF($B313="주간",'cal1'!R315,""))</f>
        <v>정윤준</v>
      </c>
      <c r="E313" t="str">
        <f>IF(OR($B313="당직",$B313="야간"),'cal1'!AE315,IF($B313="주간",'cal1'!S315,""))</f>
        <v>이기수</v>
      </c>
      <c r="F313" t="str">
        <f>IF(OR($B313="당직",$B313="야간"),'cal1'!AF315,IF($B313="주간",'cal1'!T315,""))</f>
        <v>박성현</v>
      </c>
      <c r="G313" t="str">
        <f>IF(OR($B313="당직",$B313="야간"),'cal1'!AG315,IF($B313="주간",'cal1'!U315,""))</f>
        <v>정윤준</v>
      </c>
      <c r="L313" t="str">
        <f>'cal1'!AJ315</f>
        <v/>
      </c>
      <c r="M313" t="str">
        <f t="shared" si="4"/>
        <v>[오늘의_근무 11/9(월)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14" spans="1:13">
      <c r="A314" s="1">
        <f>'cal1'!B316</f>
        <v>46336</v>
      </c>
      <c r="B314" t="str">
        <f>'cal1'!I316</f>
        <v>비번</v>
      </c>
      <c r="C314" t="str">
        <f>IF(OR($B314="당직",$B314="야간"),'cal1'!AC316,IF($B314="주간",'cal1'!Q316,""))</f>
        <v/>
      </c>
      <c r="D314" t="str">
        <f>IF(OR($B314="당직",$B314="야간"),'cal1'!AD316,IF($B314="주간",'cal1'!R316,""))</f>
        <v/>
      </c>
      <c r="E314" t="str">
        <f>IF(OR($B314="당직",$B314="야간"),'cal1'!AE316,IF($B314="주간",'cal1'!S316,""))</f>
        <v/>
      </c>
      <c r="F314" t="str">
        <f>IF(OR($B314="당직",$B314="야간"),'cal1'!AF316,IF($B314="주간",'cal1'!T316,""))</f>
        <v/>
      </c>
      <c r="G314" t="str">
        <f>IF(OR($B314="당직",$B314="야간"),'cal1'!AG316,IF($B314="주간",'cal1'!U316,""))</f>
        <v/>
      </c>
      <c r="L314" t="str">
        <f>'cal1'!AJ316</f>
        <v/>
      </c>
      <c r="M314" t="str">
        <f t="shared" si="4"/>
        <v/>
      </c>
    </row>
    <row r="315" spans="1:13">
      <c r="A315" s="1">
        <f>'cal1'!B317</f>
        <v>46337</v>
      </c>
      <c r="B315" t="str">
        <f>'cal1'!I317</f>
        <v>주간</v>
      </c>
      <c r="C315" t="str">
        <f>IF(OR($B315="당직",$B315="야간"),'cal1'!AC317,IF($B315="주간",'cal1'!Q317,""))</f>
        <v>이기수</v>
      </c>
      <c r="D315" t="str">
        <f>IF(OR($B315="당직",$B315="야간"),'cal1'!AD317,IF($B315="주간",'cal1'!R317,""))</f>
        <v>박성현</v>
      </c>
      <c r="E315" t="str">
        <f>IF(OR($B315="당직",$B315="야간"),'cal1'!AE317,IF($B315="주간",'cal1'!S317,""))</f>
        <v>허지웅</v>
      </c>
      <c r="F315" t="str">
        <f>IF(OR($B315="당직",$B315="야간"),'cal1'!AF317,IF($B315="주간",'cal1'!T317,""))</f>
        <v>정윤준</v>
      </c>
      <c r="G315" t="str">
        <f>IF(OR($B315="당직",$B315="야간"),'cal1'!AG317,IF($B315="주간",'cal1'!U317,""))</f>
        <v>이기수</v>
      </c>
      <c r="L315" t="str">
        <f>'cal1'!AJ317</f>
        <v/>
      </c>
      <c r="M315" t="str">
        <f t="shared" si="4"/>
        <v>[오늘의_근무 11/11(수)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316" spans="1:13">
      <c r="A316" s="1">
        <f>'cal1'!B318</f>
        <v>46338</v>
      </c>
      <c r="B316" t="str">
        <f>'cal1'!I318</f>
        <v>야간</v>
      </c>
      <c r="C316" t="str">
        <f>IF(OR($B316="당직",$B316="야간"),'cal1'!AC318,IF($B316="주간",'cal1'!Q318,""))</f>
        <v>박성현</v>
      </c>
      <c r="D316" t="str">
        <f>IF(OR($B316="당직",$B316="야간"),'cal1'!AD318,IF($B316="주간",'cal1'!R318,""))</f>
        <v>허지웅</v>
      </c>
      <c r="E316" t="str">
        <f>IF(OR($B316="당직",$B316="야간"),'cal1'!AE318,IF($B316="주간",'cal1'!S318,""))</f>
        <v>정윤준</v>
      </c>
      <c r="F316" t="str">
        <f>IF(OR($B316="당직",$B316="야간"),'cal1'!AF318,IF($B316="주간",'cal1'!T318,""))</f>
        <v>이기수</v>
      </c>
      <c r="G316" t="str">
        <f>IF(OR($B316="당직",$B316="야간"),'cal1'!AG318,IF($B316="주간",'cal1'!U318,""))</f>
        <v>허지웅</v>
      </c>
      <c r="L316" t="str">
        <f>'cal1'!AJ318</f>
        <v/>
      </c>
      <c r="M316" t="str">
        <f t="shared" si="4"/>
        <v>[오늘의_근무 11/12(목)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17" spans="1:13">
      <c r="A317" s="1">
        <f>'cal1'!B319</f>
        <v>46339</v>
      </c>
      <c r="B317" t="str">
        <f>'cal1'!I319</f>
        <v>비번</v>
      </c>
      <c r="C317" t="str">
        <f>IF(OR($B317="당직",$B317="야간"),'cal1'!AC319,IF($B317="주간",'cal1'!Q319,""))</f>
        <v/>
      </c>
      <c r="D317" t="str">
        <f>IF(OR($B317="당직",$B317="야간"),'cal1'!AD319,IF($B317="주간",'cal1'!R319,""))</f>
        <v/>
      </c>
      <c r="E317" t="str">
        <f>IF(OR($B317="당직",$B317="야간"),'cal1'!AE319,IF($B317="주간",'cal1'!S319,""))</f>
        <v/>
      </c>
      <c r="F317" t="str">
        <f>IF(OR($B317="당직",$B317="야간"),'cal1'!AF319,IF($B317="주간",'cal1'!T319,""))</f>
        <v/>
      </c>
      <c r="G317" t="str">
        <f>IF(OR($B317="당직",$B317="야간"),'cal1'!AG319,IF($B317="주간",'cal1'!U319,""))</f>
        <v/>
      </c>
      <c r="L317" t="str">
        <f>'cal1'!AJ319</f>
        <v/>
      </c>
      <c r="M317" t="str">
        <f t="shared" si="4"/>
        <v/>
      </c>
    </row>
    <row r="318" spans="1:13">
      <c r="A318" s="1">
        <f>'cal1'!B320</f>
        <v>46340</v>
      </c>
      <c r="B318" t="str">
        <f>'cal1'!I320</f>
        <v>휴무</v>
      </c>
      <c r="C318" t="str">
        <f>IF(OR($B318="당직",$B318="야간"),'cal1'!AC320,IF($B318="주간",'cal1'!Q320,""))</f>
        <v/>
      </c>
      <c r="D318" t="str">
        <f>IF(OR($B318="당직",$B318="야간"),'cal1'!AD320,IF($B318="주간",'cal1'!R320,""))</f>
        <v/>
      </c>
      <c r="E318" t="str">
        <f>IF(OR($B318="당직",$B318="야간"),'cal1'!AE320,IF($B318="주간",'cal1'!S320,""))</f>
        <v/>
      </c>
      <c r="F318" t="str">
        <f>IF(OR($B318="당직",$B318="야간"),'cal1'!AF320,IF($B318="주간",'cal1'!T320,""))</f>
        <v/>
      </c>
      <c r="G318" t="str">
        <f>IF(OR($B318="당직",$B318="야간"),'cal1'!AG320,IF($B318="주간",'cal1'!U320,""))</f>
        <v/>
      </c>
      <c r="L318" t="str">
        <f>'cal1'!AJ320</f>
        <v/>
      </c>
      <c r="M318" t="str">
        <f t="shared" si="4"/>
        <v/>
      </c>
    </row>
    <row r="319" spans="1:13">
      <c r="A319" s="1">
        <f>'cal1'!B321</f>
        <v>46341</v>
      </c>
      <c r="B319" t="str">
        <f>'cal1'!I321</f>
        <v>당직</v>
      </c>
      <c r="C319" t="str">
        <f>IF(OR($B319="당직",$B319="야간"),'cal1'!AC321,IF($B319="주간",'cal1'!Q321,""))</f>
        <v>이기수</v>
      </c>
      <c r="D319" t="str">
        <f>IF(OR($B319="당직",$B319="야간"),'cal1'!AD321,IF($B319="주간",'cal1'!R321,""))</f>
        <v>박성현</v>
      </c>
      <c r="E319" t="str">
        <f>IF(OR($B319="당직",$B319="야간"),'cal1'!AE321,IF($B319="주간",'cal1'!S321,""))</f>
        <v>허지웅</v>
      </c>
      <c r="F319" t="str">
        <f>IF(OR($B319="당직",$B319="야간"),'cal1'!AF321,IF($B319="주간",'cal1'!T321,""))</f>
        <v>정윤준</v>
      </c>
      <c r="G319" t="str">
        <f>IF(OR($B319="당직",$B319="야간"),'cal1'!AG321,IF($B319="주간",'cal1'!U321,""))</f>
        <v>장혁진</v>
      </c>
      <c r="L319" t="str">
        <f>'cal1'!AJ321</f>
        <v>정윤준</v>
      </c>
      <c r="M319" t="str">
        <f t="shared" si="4"/>
        <v>[오늘의_근무 11/15(일) - 당직]\n▸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320" spans="1:13">
      <c r="A320" s="1">
        <f>'cal1'!B322</f>
        <v>46342</v>
      </c>
      <c r="B320" t="str">
        <f>'cal1'!I322</f>
        <v>비번</v>
      </c>
      <c r="C320" t="str">
        <f>IF(OR($B320="당직",$B320="야간"),'cal1'!AC322,IF($B320="주간",'cal1'!Q322,""))</f>
        <v/>
      </c>
      <c r="D320" t="str">
        <f>IF(OR($B320="당직",$B320="야간"),'cal1'!AD322,IF($B320="주간",'cal1'!R322,""))</f>
        <v/>
      </c>
      <c r="E320" t="str">
        <f>IF(OR($B320="당직",$B320="야간"),'cal1'!AE322,IF($B320="주간",'cal1'!S322,""))</f>
        <v/>
      </c>
      <c r="F320" t="str">
        <f>IF(OR($B320="당직",$B320="야간"),'cal1'!AF322,IF($B320="주간",'cal1'!T322,""))</f>
        <v/>
      </c>
      <c r="G320" t="str">
        <f>IF(OR($B320="당직",$B320="야간"),'cal1'!AG322,IF($B320="주간",'cal1'!U322,""))</f>
        <v/>
      </c>
      <c r="L320" t="str">
        <f>'cal1'!AJ322</f>
        <v/>
      </c>
      <c r="M320" t="str">
        <f t="shared" si="4"/>
        <v/>
      </c>
    </row>
    <row r="321" spans="1:13">
      <c r="A321" s="1">
        <f>'cal1'!B323</f>
        <v>46343</v>
      </c>
      <c r="B321" t="str">
        <f>'cal1'!I323</f>
        <v>주간</v>
      </c>
      <c r="C321" t="str">
        <f>IF(OR($B321="당직",$B321="야간"),'cal1'!AC323,IF($B321="주간",'cal1'!Q323,""))</f>
        <v>정윤준</v>
      </c>
      <c r="D321" t="str">
        <f>IF(OR($B321="당직",$B321="야간"),'cal1'!AD323,IF($B321="주간",'cal1'!R323,""))</f>
        <v>이기수</v>
      </c>
      <c r="E321" t="str">
        <f>IF(OR($B321="당직",$B321="야간"),'cal1'!AE323,IF($B321="주간",'cal1'!S323,""))</f>
        <v>박성현</v>
      </c>
      <c r="F321" t="str">
        <f>IF(OR($B321="당직",$B321="야간"),'cal1'!AF323,IF($B321="주간",'cal1'!T323,""))</f>
        <v>허지웅</v>
      </c>
      <c r="G321" t="str">
        <f>IF(OR($B321="당직",$B321="야간"),'cal1'!AG323,IF($B321="주간",'cal1'!U323,""))</f>
        <v>정윤준</v>
      </c>
      <c r="L321" t="str">
        <f>'cal1'!AJ323</f>
        <v/>
      </c>
      <c r="M321" t="str">
        <f t="shared" si="4"/>
        <v>[오늘의_근무 11/17(화)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22" spans="1:13">
      <c r="A322" s="1">
        <f>'cal1'!B324</f>
        <v>46344</v>
      </c>
      <c r="B322" t="str">
        <f>'cal1'!I324</f>
        <v>야간</v>
      </c>
      <c r="C322" t="str">
        <f>IF(OR($B322="당직",$B322="야간"),'cal1'!AC324,IF($B322="주간",'cal1'!Q324,""))</f>
        <v>정윤준</v>
      </c>
      <c r="D322" t="str">
        <f>IF(OR($B322="당직",$B322="야간"),'cal1'!AD324,IF($B322="주간",'cal1'!R324,""))</f>
        <v>이기수</v>
      </c>
      <c r="E322" t="str">
        <f>IF(OR($B322="당직",$B322="야간"),'cal1'!AE324,IF($B322="주간",'cal1'!S324,""))</f>
        <v>박성현</v>
      </c>
      <c r="F322" t="str">
        <f>IF(OR($B322="당직",$B322="야간"),'cal1'!AF324,IF($B322="주간",'cal1'!T324,""))</f>
        <v>허지웅</v>
      </c>
      <c r="G322" t="str">
        <f>IF(OR($B322="당직",$B322="야간"),'cal1'!AG324,IF($B322="주간",'cal1'!U324,""))</f>
        <v>이기수</v>
      </c>
      <c r="L322" t="str">
        <f>'cal1'!AJ324</f>
        <v/>
      </c>
      <c r="M322" t="str">
        <f t="shared" ref="M322:M367" si="5">IF(C322="","","[오늘의_근무 " &amp; TEXT(A322,"m/d(aaa)") &amp; " - " &amp; B322 &amp; "]\n▸ 산업지원동 : " &amp; C322 &amp; "\n▸ 글로벌센터 : " &amp; D322 &amp; "\n▸ 외        곽1 : " &amp; E322 &amp; "\n▸ 외        곽2 : " &amp; F322 &amp; "\n\n-------------------------\n🏠 용역원실   : " &amp; L322 &amp; "\n-------------------------\n\n🔗 시간표 확인\nhttps://bio.oxisnail.top\nhttps://bio.oxisnail.top/timetable.html")</f>
        <v>[오늘의_근무 11/18(수)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23" spans="1:13">
      <c r="A323" s="1">
        <f>'cal1'!B325</f>
        <v>46345</v>
      </c>
      <c r="B323" t="str">
        <f>'cal1'!I325</f>
        <v>비번</v>
      </c>
      <c r="C323" t="str">
        <f>IF(OR($B323="당직",$B323="야간"),'cal1'!AC325,IF($B323="주간",'cal1'!Q325,""))</f>
        <v/>
      </c>
      <c r="D323" t="str">
        <f>IF(OR($B323="당직",$B323="야간"),'cal1'!AD325,IF($B323="주간",'cal1'!R325,""))</f>
        <v/>
      </c>
      <c r="E323" t="str">
        <f>IF(OR($B323="당직",$B323="야간"),'cal1'!AE325,IF($B323="주간",'cal1'!S325,""))</f>
        <v/>
      </c>
      <c r="F323" t="str">
        <f>IF(OR($B323="당직",$B323="야간"),'cal1'!AF325,IF($B323="주간",'cal1'!T325,""))</f>
        <v/>
      </c>
      <c r="G323" t="str">
        <f>IF(OR($B323="당직",$B323="야간"),'cal1'!AG325,IF($B323="주간",'cal1'!U325,""))</f>
        <v/>
      </c>
      <c r="L323" t="str">
        <f>'cal1'!AJ325</f>
        <v/>
      </c>
      <c r="M323" t="str">
        <f t="shared" si="5"/>
        <v/>
      </c>
    </row>
    <row r="324" spans="1:13">
      <c r="A324" s="1">
        <f>'cal1'!B326</f>
        <v>46346</v>
      </c>
      <c r="B324" t="str">
        <f>'cal1'!I326</f>
        <v>주간</v>
      </c>
      <c r="C324" t="str">
        <f>IF(OR($B324="당직",$B324="야간"),'cal1'!AC326,IF($B324="주간",'cal1'!Q326,""))</f>
        <v>허지웅</v>
      </c>
      <c r="D324" t="str">
        <f>IF(OR($B324="당직",$B324="야간"),'cal1'!AD326,IF($B324="주간",'cal1'!R326,""))</f>
        <v>정윤준</v>
      </c>
      <c r="E324" t="str">
        <f>IF(OR($B324="당직",$B324="야간"),'cal1'!AE326,IF($B324="주간",'cal1'!S326,""))</f>
        <v>이기수</v>
      </c>
      <c r="F324" t="str">
        <f>IF(OR($B324="당직",$B324="야간"),'cal1'!AF326,IF($B324="주간",'cal1'!T326,""))</f>
        <v>박성현</v>
      </c>
      <c r="G324" t="str">
        <f>IF(OR($B324="당직",$B324="야간"),'cal1'!AG326,IF($B324="주간",'cal1'!U326,""))</f>
        <v>허지웅</v>
      </c>
      <c r="L324" t="str">
        <f>'cal1'!AJ326</f>
        <v/>
      </c>
      <c r="M324" t="str">
        <f t="shared" si="5"/>
        <v>[오늘의_근무 11/20(금)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25" spans="1:13">
      <c r="A325" s="1">
        <f>'cal1'!B327</f>
        <v>46347</v>
      </c>
      <c r="B325" t="str">
        <f>'cal1'!I327</f>
        <v>당직</v>
      </c>
      <c r="C325" t="str">
        <f>IF(OR($B325="당직",$B325="야간"),'cal1'!AC327,IF($B325="주간",'cal1'!Q327,""))</f>
        <v>허지웅</v>
      </c>
      <c r="D325" t="str">
        <f>IF(OR($B325="당직",$B325="야간"),'cal1'!AD327,IF($B325="주간",'cal1'!R327,""))</f>
        <v>정윤준</v>
      </c>
      <c r="E325" t="str">
        <f>IF(OR($B325="당직",$B325="야간"),'cal1'!AE327,IF($B325="주간",'cal1'!S327,""))</f>
        <v>이기수</v>
      </c>
      <c r="F325" t="str">
        <f>IF(OR($B325="당직",$B325="야간"),'cal1'!AF327,IF($B325="주간",'cal1'!T327,""))</f>
        <v>박성현</v>
      </c>
      <c r="G325" t="e">
        <f>IF(OR($B325="당직",$B325="야간"),'cal1'!AG327,IF($B325="주간",'cal1'!U327,""))</f>
        <v>#VALUE!</v>
      </c>
      <c r="L325" t="str">
        <f>'cal1'!AJ327</f>
        <v/>
      </c>
      <c r="M325" t="str">
        <f t="shared" si="5"/>
        <v>[오늘의_근무 11/21(토)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26" spans="1:13">
      <c r="A326" s="1">
        <f>'cal1'!B328</f>
        <v>46348</v>
      </c>
      <c r="B326" t="str">
        <f>'cal1'!I328</f>
        <v>비번</v>
      </c>
      <c r="C326" t="str">
        <f>IF(OR($B326="당직",$B326="야간"),'cal1'!AC328,IF($B326="주간",'cal1'!Q328,""))</f>
        <v/>
      </c>
      <c r="D326" t="str">
        <f>IF(OR($B326="당직",$B326="야간"),'cal1'!AD328,IF($B326="주간",'cal1'!R328,""))</f>
        <v/>
      </c>
      <c r="E326" t="str">
        <f>IF(OR($B326="당직",$B326="야간"),'cal1'!AE328,IF($B326="주간",'cal1'!S328,""))</f>
        <v/>
      </c>
      <c r="F326" t="str">
        <f>IF(OR($B326="당직",$B326="야간"),'cal1'!AF328,IF($B326="주간",'cal1'!T328,""))</f>
        <v/>
      </c>
      <c r="G326" t="str">
        <f>IF(OR($B326="당직",$B326="야간"),'cal1'!AG328,IF($B326="주간",'cal1'!U328,""))</f>
        <v/>
      </c>
      <c r="L326" t="str">
        <f>'cal1'!AJ328</f>
        <v/>
      </c>
      <c r="M326" t="str">
        <f t="shared" si="5"/>
        <v/>
      </c>
    </row>
    <row r="327" spans="1:13">
      <c r="A327" s="1">
        <f>'cal1'!B329</f>
        <v>46349</v>
      </c>
      <c r="B327" t="str">
        <f>'cal1'!I329</f>
        <v>주간</v>
      </c>
      <c r="C327" t="str">
        <f>IF(OR($B327="당직",$B327="야간"),'cal1'!AC329,IF($B327="주간",'cal1'!Q329,""))</f>
        <v>박성현</v>
      </c>
      <c r="D327" t="str">
        <f>IF(OR($B327="당직",$B327="야간"),'cal1'!AD329,IF($B327="주간",'cal1'!R329,""))</f>
        <v>허지웅</v>
      </c>
      <c r="E327" t="str">
        <f>IF(OR($B327="당직",$B327="야간"),'cal1'!AE329,IF($B327="주간",'cal1'!S329,""))</f>
        <v>정윤준</v>
      </c>
      <c r="F327" t="str">
        <f>IF(OR($B327="당직",$B327="야간"),'cal1'!AF329,IF($B327="주간",'cal1'!T329,""))</f>
        <v>이기수</v>
      </c>
      <c r="G327" t="e">
        <f>IF(OR($B327="당직",$B327="야간"),'cal1'!AG329,IF($B327="주간",'cal1'!U329,""))</f>
        <v>#VALUE!</v>
      </c>
      <c r="L327" t="str">
        <f>'cal1'!AJ329</f>
        <v/>
      </c>
      <c r="M327" t="str">
        <f t="shared" si="5"/>
        <v>[오늘의_근무 11/23(월)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28" spans="1:13">
      <c r="A328" s="1">
        <f>'cal1'!B330</f>
        <v>46350</v>
      </c>
      <c r="B328" t="str">
        <f>'cal1'!I330</f>
        <v>야간</v>
      </c>
      <c r="C328" t="str">
        <f>IF(OR($B328="당직",$B328="야간"),'cal1'!AC330,IF($B328="주간",'cal1'!Q330,""))</f>
        <v>박성현</v>
      </c>
      <c r="D328" t="str">
        <f>IF(OR($B328="당직",$B328="야간"),'cal1'!AD330,IF($B328="주간",'cal1'!R330,""))</f>
        <v>허지웅</v>
      </c>
      <c r="E328" t="str">
        <f>IF(OR($B328="당직",$B328="야간"),'cal1'!AE330,IF($B328="주간",'cal1'!S330,""))</f>
        <v>정윤준</v>
      </c>
      <c r="F328" t="str">
        <f>IF(OR($B328="당직",$B328="야간"),'cal1'!AF330,IF($B328="주간",'cal1'!T330,""))</f>
        <v>이기수</v>
      </c>
      <c r="G328" t="str">
        <f>IF(OR($B328="당직",$B328="야간"),'cal1'!AG330,IF($B328="주간",'cal1'!U330,""))</f>
        <v>정윤준</v>
      </c>
      <c r="L328" t="str">
        <f>'cal1'!AJ330</f>
        <v/>
      </c>
      <c r="M328" t="str">
        <f t="shared" si="5"/>
        <v>[오늘의_근무 11/24(화)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29" spans="1:13">
      <c r="A329" s="1">
        <f>'cal1'!B331</f>
        <v>46351</v>
      </c>
      <c r="B329" t="str">
        <f>'cal1'!I331</f>
        <v>비번</v>
      </c>
      <c r="C329" t="str">
        <f>IF(OR($B329="당직",$B329="야간"),'cal1'!AC331,IF($B329="주간",'cal1'!Q331,""))</f>
        <v/>
      </c>
      <c r="D329" t="str">
        <f>IF(OR($B329="당직",$B329="야간"),'cal1'!AD331,IF($B329="주간",'cal1'!R331,""))</f>
        <v/>
      </c>
      <c r="E329" t="str">
        <f>IF(OR($B329="당직",$B329="야간"),'cal1'!AE331,IF($B329="주간",'cal1'!S331,""))</f>
        <v/>
      </c>
      <c r="F329" t="str">
        <f>IF(OR($B329="당직",$B329="야간"),'cal1'!AF331,IF($B329="주간",'cal1'!T331,""))</f>
        <v/>
      </c>
      <c r="G329" t="str">
        <f>IF(OR($B329="당직",$B329="야간"),'cal1'!AG331,IF($B329="주간",'cal1'!U331,""))</f>
        <v/>
      </c>
      <c r="L329" t="str">
        <f>'cal1'!AJ331</f>
        <v/>
      </c>
      <c r="M329" t="str">
        <f t="shared" si="5"/>
        <v/>
      </c>
    </row>
    <row r="330" spans="1:13">
      <c r="A330" s="1">
        <f>'cal1'!B332</f>
        <v>46352</v>
      </c>
      <c r="B330" t="str">
        <f>'cal1'!I332</f>
        <v>주간</v>
      </c>
      <c r="C330" t="str">
        <f>IF(OR($B330="당직",$B330="야간"),'cal1'!AC332,IF($B330="주간",'cal1'!Q332,""))</f>
        <v>이기수</v>
      </c>
      <c r="D330" t="str">
        <f>IF(OR($B330="당직",$B330="야간"),'cal1'!AD332,IF($B330="주간",'cal1'!R332,""))</f>
        <v>박성현</v>
      </c>
      <c r="E330" t="str">
        <f>IF(OR($B330="당직",$B330="야간"),'cal1'!AE332,IF($B330="주간",'cal1'!S332,""))</f>
        <v>허지웅</v>
      </c>
      <c r="F330" t="str">
        <f>IF(OR($B330="당직",$B330="야간"),'cal1'!AF332,IF($B330="주간",'cal1'!T332,""))</f>
        <v>정윤준</v>
      </c>
      <c r="G330" t="str">
        <f>IF(OR($B330="당직",$B330="야간"),'cal1'!AG332,IF($B330="주간",'cal1'!U332,""))</f>
        <v>장혁진</v>
      </c>
      <c r="L330" t="str">
        <f>'cal1'!AJ332</f>
        <v/>
      </c>
      <c r="M330" t="str">
        <f t="shared" si="5"/>
        <v>[오늘의_근무 11/26(목)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331" spans="1:13">
      <c r="A331" s="1">
        <f>'cal1'!B333</f>
        <v>46353</v>
      </c>
      <c r="B331" t="str">
        <f>'cal1'!I333</f>
        <v>야간</v>
      </c>
      <c r="C331" t="str">
        <f>IF(OR($B331="당직",$B331="야간"),'cal1'!AC333,IF($B331="주간",'cal1'!Q333,""))</f>
        <v>이기수</v>
      </c>
      <c r="D331" t="str">
        <f>IF(OR($B331="당직",$B331="야간"),'cal1'!AD333,IF($B331="주간",'cal1'!R333,""))</f>
        <v>박성현</v>
      </c>
      <c r="E331" t="str">
        <f>IF(OR($B331="당직",$B331="야간"),'cal1'!AE333,IF($B331="주간",'cal1'!S333,""))</f>
        <v>허지웅</v>
      </c>
      <c r="F331" t="str">
        <f>IF(OR($B331="당직",$B331="야간"),'cal1'!AF333,IF($B331="주간",'cal1'!T333,""))</f>
        <v>정윤준</v>
      </c>
      <c r="G331" t="str">
        <f>IF(OR($B331="당직",$B331="야간"),'cal1'!AG333,IF($B331="주간",'cal1'!U333,""))</f>
        <v>허지웅</v>
      </c>
      <c r="L331" t="str">
        <f>'cal1'!AJ333</f>
        <v>허지웅</v>
      </c>
      <c r="M331" t="str">
        <f t="shared" si="5"/>
        <v>[오늘의_근무 11/27(금)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332" spans="1:13">
      <c r="A332" s="1">
        <f>'cal1'!B334</f>
        <v>46354</v>
      </c>
      <c r="B332" t="str">
        <f>'cal1'!I334</f>
        <v>비번</v>
      </c>
      <c r="C332" t="str">
        <f>IF(OR($B332="당직",$B332="야간"),'cal1'!AC334,IF($B332="주간",'cal1'!Q334,""))</f>
        <v/>
      </c>
      <c r="D332" t="str">
        <f>IF(OR($B332="당직",$B332="야간"),'cal1'!AD334,IF($B332="주간",'cal1'!R334,""))</f>
        <v/>
      </c>
      <c r="E332" t="str">
        <f>IF(OR($B332="당직",$B332="야간"),'cal1'!AE334,IF($B332="주간",'cal1'!S334,""))</f>
        <v/>
      </c>
      <c r="F332" t="str">
        <f>IF(OR($B332="당직",$B332="야간"),'cal1'!AF334,IF($B332="주간",'cal1'!T334,""))</f>
        <v/>
      </c>
      <c r="G332" t="str">
        <f>IF(OR($B332="당직",$B332="야간"),'cal1'!AG334,IF($B332="주간",'cal1'!U334,""))</f>
        <v/>
      </c>
      <c r="L332" t="str">
        <f>'cal1'!AJ334</f>
        <v/>
      </c>
      <c r="M332" t="str">
        <f t="shared" si="5"/>
        <v/>
      </c>
    </row>
    <row r="333" spans="1:13">
      <c r="A333" s="1">
        <f>'cal1'!B335</f>
        <v>46355</v>
      </c>
      <c r="B333" t="str">
        <f>'cal1'!I335</f>
        <v>휴무</v>
      </c>
      <c r="C333" t="str">
        <f>IF(OR($B333="당직",$B333="야간"),'cal1'!AC335,IF($B333="주간",'cal1'!Q335,""))</f>
        <v/>
      </c>
      <c r="D333" t="str">
        <f>IF(OR($B333="당직",$B333="야간"),'cal1'!AD335,IF($B333="주간",'cal1'!R335,""))</f>
        <v/>
      </c>
      <c r="E333" t="str">
        <f>IF(OR($B333="당직",$B333="야간"),'cal1'!AE335,IF($B333="주간",'cal1'!S335,""))</f>
        <v/>
      </c>
      <c r="F333" t="str">
        <f>IF(OR($B333="당직",$B333="야간"),'cal1'!AF335,IF($B333="주간",'cal1'!T335,""))</f>
        <v/>
      </c>
      <c r="G333" t="str">
        <f>IF(OR($B333="당직",$B333="야간"),'cal1'!AG335,IF($B333="주간",'cal1'!U335,""))</f>
        <v/>
      </c>
      <c r="L333" t="str">
        <f>'cal1'!AJ335</f>
        <v/>
      </c>
      <c r="M333" t="str">
        <f t="shared" si="5"/>
        <v/>
      </c>
    </row>
    <row r="334" spans="1:13">
      <c r="A334" s="1">
        <f>'cal1'!B336</f>
        <v>46356</v>
      </c>
      <c r="B334" t="str">
        <f>'cal1'!I336</f>
        <v>야간</v>
      </c>
      <c r="C334" t="str">
        <f>IF(OR($B334="당직",$B334="야간"),'cal1'!AC336,IF($B334="주간",'cal1'!Q336,""))</f>
        <v>정윤준</v>
      </c>
      <c r="D334" t="str">
        <f>IF(OR($B334="당직",$B334="야간"),'cal1'!AD336,IF($B334="주간",'cal1'!R336,""))</f>
        <v>이기수</v>
      </c>
      <c r="E334" t="str">
        <f>IF(OR($B334="당직",$B334="야간"),'cal1'!AE336,IF($B334="주간",'cal1'!S336,""))</f>
        <v>박성현</v>
      </c>
      <c r="F334" t="str">
        <f>IF(OR($B334="당직",$B334="야간"),'cal1'!AF336,IF($B334="주간",'cal1'!T336,""))</f>
        <v>허지웅</v>
      </c>
      <c r="G334" t="str">
        <f>IF(OR($B334="당직",$B334="야간"),'cal1'!AG336,IF($B334="주간",'cal1'!U336,""))</f>
        <v>장혁진</v>
      </c>
      <c r="L334" t="str">
        <f>'cal1'!AJ336</f>
        <v/>
      </c>
      <c r="M334" t="str">
        <f t="shared" si="5"/>
        <v>[오늘의_근무 11/30(월)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35" spans="1:13">
      <c r="A335" s="1">
        <f>'cal1'!B337</f>
        <v>46357</v>
      </c>
      <c r="B335" t="str">
        <f>'cal1'!I337</f>
        <v>비번</v>
      </c>
      <c r="C335" t="str">
        <f>IF(OR($B335="당직",$B335="야간"),'cal1'!AC337,IF($B335="주간",'cal1'!Q337,""))</f>
        <v/>
      </c>
      <c r="D335" t="str">
        <f>IF(OR($B335="당직",$B335="야간"),'cal1'!AD337,IF($B335="주간",'cal1'!R337,""))</f>
        <v/>
      </c>
      <c r="E335" t="str">
        <f>IF(OR($B335="당직",$B335="야간"),'cal1'!AE337,IF($B335="주간",'cal1'!S337,""))</f>
        <v/>
      </c>
      <c r="F335" t="str">
        <f>IF(OR($B335="당직",$B335="야간"),'cal1'!AF337,IF($B335="주간",'cal1'!T337,""))</f>
        <v/>
      </c>
      <c r="G335" t="str">
        <f>IF(OR($B335="당직",$B335="야간"),'cal1'!AG337,IF($B335="주간",'cal1'!U337,""))</f>
        <v/>
      </c>
      <c r="L335" t="str">
        <f>'cal1'!AJ337</f>
        <v/>
      </c>
      <c r="M335" t="str">
        <f t="shared" si="5"/>
        <v/>
      </c>
    </row>
    <row r="336" spans="1:13">
      <c r="A336" s="1">
        <f>'cal1'!B338</f>
        <v>46358</v>
      </c>
      <c r="B336" t="str">
        <f>'cal1'!I338</f>
        <v>주간</v>
      </c>
      <c r="C336" t="str">
        <f>IF(OR($B336="당직",$B336="야간"),'cal1'!AC338,IF($B336="주간",'cal1'!Q338,""))</f>
        <v>정윤준</v>
      </c>
      <c r="D336" t="str">
        <f>IF(OR($B336="당직",$B336="야간"),'cal1'!AD338,IF($B336="주간",'cal1'!R338,""))</f>
        <v>이기수</v>
      </c>
      <c r="E336" t="str">
        <f>IF(OR($B336="당직",$B336="야간"),'cal1'!AE338,IF($B336="주간",'cal1'!S338,""))</f>
        <v>박성현</v>
      </c>
      <c r="F336" t="str">
        <f>IF(OR($B336="당직",$B336="야간"),'cal1'!AF338,IF($B336="주간",'cal1'!T338,""))</f>
        <v>허지웅</v>
      </c>
      <c r="G336" t="str">
        <f>IF(OR($B336="당직",$B336="야간"),'cal1'!AG338,IF($B336="주간",'cal1'!U338,""))</f>
        <v>이기수</v>
      </c>
      <c r="L336" t="str">
        <f>'cal1'!AJ338</f>
        <v/>
      </c>
      <c r="M336" t="str">
        <f t="shared" si="5"/>
        <v>[오늘의_근무 12/2(수)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37" spans="1:13">
      <c r="A337" s="1">
        <f>'cal1'!B339</f>
        <v>46359</v>
      </c>
      <c r="B337" t="str">
        <f>'cal1'!I339</f>
        <v>야간</v>
      </c>
      <c r="C337" t="str">
        <f>IF(OR($B337="당직",$B337="야간"),'cal1'!AC339,IF($B337="주간",'cal1'!Q339,""))</f>
        <v>허지웅</v>
      </c>
      <c r="D337" t="str">
        <f>IF(OR($B337="당직",$B337="야간"),'cal1'!AD339,IF($B337="주간",'cal1'!R339,""))</f>
        <v>정윤준</v>
      </c>
      <c r="E337" t="str">
        <f>IF(OR($B337="당직",$B337="야간"),'cal1'!AE339,IF($B337="주간",'cal1'!S339,""))</f>
        <v>이기수</v>
      </c>
      <c r="F337" t="str">
        <f>IF(OR($B337="당직",$B337="야간"),'cal1'!AF339,IF($B337="주간",'cal1'!T339,""))</f>
        <v>박성현</v>
      </c>
      <c r="G337" t="str">
        <f>IF(OR($B337="당직",$B337="야간"),'cal1'!AG339,IF($B337="주간",'cal1'!U339,""))</f>
        <v>이기수</v>
      </c>
      <c r="L337" t="str">
        <f>'cal1'!AJ339</f>
        <v/>
      </c>
      <c r="M337" t="str">
        <f t="shared" si="5"/>
        <v>[오늘의_근무 12/3(목)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38" spans="1:13">
      <c r="A338" s="1">
        <f>'cal1'!B340</f>
        <v>46360</v>
      </c>
      <c r="B338" t="str">
        <f>'cal1'!I340</f>
        <v>비번</v>
      </c>
      <c r="C338" t="str">
        <f>IF(OR($B338="당직",$B338="야간"),'cal1'!AC340,IF($B338="주간",'cal1'!Q340,""))</f>
        <v/>
      </c>
      <c r="D338" t="str">
        <f>IF(OR($B338="당직",$B338="야간"),'cal1'!AD340,IF($B338="주간",'cal1'!R340,""))</f>
        <v/>
      </c>
      <c r="E338" t="str">
        <f>IF(OR($B338="당직",$B338="야간"),'cal1'!AE340,IF($B338="주간",'cal1'!S340,""))</f>
        <v/>
      </c>
      <c r="F338" t="str">
        <f>IF(OR($B338="당직",$B338="야간"),'cal1'!AF340,IF($B338="주간",'cal1'!T340,""))</f>
        <v/>
      </c>
      <c r="G338" t="str">
        <f>IF(OR($B338="당직",$B338="야간"),'cal1'!AG340,IF($B338="주간",'cal1'!U340,""))</f>
        <v/>
      </c>
      <c r="L338" t="str">
        <f>'cal1'!AJ340</f>
        <v/>
      </c>
      <c r="M338" t="str">
        <f t="shared" si="5"/>
        <v/>
      </c>
    </row>
    <row r="339" spans="1:13">
      <c r="A339" s="1">
        <f>'cal1'!B341</f>
        <v>46361</v>
      </c>
      <c r="B339" t="str">
        <f>'cal1'!I341</f>
        <v>휴무</v>
      </c>
      <c r="C339" t="str">
        <f>IF(OR($B339="당직",$B339="야간"),'cal1'!AC341,IF($B339="주간",'cal1'!Q341,""))</f>
        <v/>
      </c>
      <c r="D339" t="str">
        <f>IF(OR($B339="당직",$B339="야간"),'cal1'!AD341,IF($B339="주간",'cal1'!R341,""))</f>
        <v/>
      </c>
      <c r="E339" t="str">
        <f>IF(OR($B339="당직",$B339="야간"),'cal1'!AE341,IF($B339="주간",'cal1'!S341,""))</f>
        <v/>
      </c>
      <c r="F339" t="str">
        <f>IF(OR($B339="당직",$B339="야간"),'cal1'!AF341,IF($B339="주간",'cal1'!T341,""))</f>
        <v/>
      </c>
      <c r="G339" t="str">
        <f>IF(OR($B339="당직",$B339="야간"),'cal1'!AG341,IF($B339="주간",'cal1'!U341,""))</f>
        <v/>
      </c>
      <c r="L339" t="str">
        <f>'cal1'!AJ341</f>
        <v/>
      </c>
      <c r="M339" t="str">
        <f t="shared" si="5"/>
        <v/>
      </c>
    </row>
    <row r="340" spans="1:13">
      <c r="A340" s="1">
        <f>'cal1'!B342</f>
        <v>46362</v>
      </c>
      <c r="B340" t="str">
        <f>'cal1'!I342</f>
        <v>당직</v>
      </c>
      <c r="C340" t="str">
        <f>IF(OR($B340="당직",$B340="야간"),'cal1'!AC342,IF($B340="주간",'cal1'!Q342,""))</f>
        <v>박성현</v>
      </c>
      <c r="D340" t="str">
        <f>IF(OR($B340="당직",$B340="야간"),'cal1'!AD342,IF($B340="주간",'cal1'!R342,""))</f>
        <v>허지웅</v>
      </c>
      <c r="E340" t="str">
        <f>IF(OR($B340="당직",$B340="야간"),'cal1'!AE342,IF($B340="주간",'cal1'!S342,""))</f>
        <v>정윤준</v>
      </c>
      <c r="F340" t="str">
        <f>IF(OR($B340="당직",$B340="야간"),'cal1'!AF342,IF($B340="주간",'cal1'!T342,""))</f>
        <v>이기수</v>
      </c>
      <c r="G340" t="e">
        <f>IF(OR($B340="당직",$B340="야간"),'cal1'!AG342,IF($B340="주간",'cal1'!U342,""))</f>
        <v>#VALUE!</v>
      </c>
      <c r="L340" t="str">
        <f>'cal1'!AJ342</f>
        <v/>
      </c>
      <c r="M340" t="str">
        <f t="shared" si="5"/>
        <v>[오늘의_근무 12/6(일) - 당직]\n▸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41" spans="1:13">
      <c r="A341" s="1">
        <f>'cal1'!B343</f>
        <v>46363</v>
      </c>
      <c r="B341" t="str">
        <f>'cal1'!I343</f>
        <v>비번</v>
      </c>
      <c r="C341" t="str">
        <f>IF(OR($B341="당직",$B341="야간"),'cal1'!AC343,IF($B341="주간",'cal1'!Q343,""))</f>
        <v/>
      </c>
      <c r="D341" t="str">
        <f>IF(OR($B341="당직",$B341="야간"),'cal1'!AD343,IF($B341="주간",'cal1'!R343,""))</f>
        <v/>
      </c>
      <c r="E341" t="str">
        <f>IF(OR($B341="당직",$B341="야간"),'cal1'!AE343,IF($B341="주간",'cal1'!S343,""))</f>
        <v/>
      </c>
      <c r="F341" t="str">
        <f>IF(OR($B341="당직",$B341="야간"),'cal1'!AF343,IF($B341="주간",'cal1'!T343,""))</f>
        <v/>
      </c>
      <c r="G341" t="str">
        <f>IF(OR($B341="당직",$B341="야간"),'cal1'!AG343,IF($B341="주간",'cal1'!U343,""))</f>
        <v/>
      </c>
      <c r="L341" t="str">
        <f>'cal1'!AJ343</f>
        <v/>
      </c>
      <c r="M341" t="str">
        <f t="shared" si="5"/>
        <v/>
      </c>
    </row>
    <row r="342" spans="1:13">
      <c r="A342" s="1">
        <f>'cal1'!B344</f>
        <v>46364</v>
      </c>
      <c r="B342" t="str">
        <f>'cal1'!I344</f>
        <v>주간</v>
      </c>
      <c r="C342" t="str">
        <f>IF(OR($B342="당직",$B342="야간"),'cal1'!AC344,IF($B342="주간",'cal1'!Q344,""))</f>
        <v>허지웅</v>
      </c>
      <c r="D342" t="str">
        <f>IF(OR($B342="당직",$B342="야간"),'cal1'!AD344,IF($B342="주간",'cal1'!R344,""))</f>
        <v>정윤준</v>
      </c>
      <c r="E342" t="str">
        <f>IF(OR($B342="당직",$B342="야간"),'cal1'!AE344,IF($B342="주간",'cal1'!S344,""))</f>
        <v>이기수</v>
      </c>
      <c r="F342" t="str">
        <f>IF(OR($B342="당직",$B342="야간"),'cal1'!AF344,IF($B342="주간",'cal1'!T344,""))</f>
        <v>박성현</v>
      </c>
      <c r="G342" t="str">
        <f>IF(OR($B342="당직",$B342="야간"),'cal1'!AG344,IF($B342="주간",'cal1'!U344,""))</f>
        <v>정윤준</v>
      </c>
      <c r="L342" t="str">
        <f>'cal1'!AJ344</f>
        <v/>
      </c>
      <c r="M342" t="str">
        <f t="shared" si="5"/>
        <v>[오늘의_근무 12/8(화)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43" spans="1:13">
      <c r="A343" s="1">
        <f>'cal1'!B345</f>
        <v>46365</v>
      </c>
      <c r="B343" t="str">
        <f>'cal1'!I345</f>
        <v>야간</v>
      </c>
      <c r="C343" t="str">
        <f>IF(OR($B343="당직",$B343="야간"),'cal1'!AC345,IF($B343="주간",'cal1'!Q345,""))</f>
        <v>이기수</v>
      </c>
      <c r="D343" t="str">
        <f>IF(OR($B343="당직",$B343="야간"),'cal1'!AD345,IF($B343="주간",'cal1'!R345,""))</f>
        <v>박성현</v>
      </c>
      <c r="E343" t="str">
        <f>IF(OR($B343="당직",$B343="야간"),'cal1'!AE345,IF($B343="주간",'cal1'!S345,""))</f>
        <v>허지웅</v>
      </c>
      <c r="F343" t="str">
        <f>IF(OR($B343="당직",$B343="야간"),'cal1'!AF345,IF($B343="주간",'cal1'!T345,""))</f>
        <v>정윤준</v>
      </c>
      <c r="G343" t="str">
        <f>IF(OR($B343="당직",$B343="야간"),'cal1'!AG345,IF($B343="주간",'cal1'!U345,""))</f>
        <v>정윤준</v>
      </c>
      <c r="L343" t="str">
        <f>'cal1'!AJ345</f>
        <v>정윤준</v>
      </c>
      <c r="M343" t="str">
        <f t="shared" si="5"/>
        <v>[오늘의_근무 12/9(수) - 야간]\n▸ 산업지원동 : 이기수\n▸ 글로벌센터 : 박성현\n▸ 외        곽1 : 허지웅\n▸ 외        곽2 : 정윤준\n\n-------------------------\n🏠 용역원실   : 정윤준\n-------------------------\n\n🔗 시간표 확인\nhttps://bio.oxisnail.top\nhttps://bio.oxisnail.top/timetable.html</v>
      </c>
    </row>
    <row r="344" spans="1:13">
      <c r="A344" s="1">
        <f>'cal1'!B346</f>
        <v>46366</v>
      </c>
      <c r="B344" t="str">
        <f>'cal1'!I346</f>
        <v>비번</v>
      </c>
      <c r="C344" t="str">
        <f>IF(OR($B344="당직",$B344="야간"),'cal1'!AC346,IF($B344="주간",'cal1'!Q346,""))</f>
        <v/>
      </c>
      <c r="D344" t="str">
        <f>IF(OR($B344="당직",$B344="야간"),'cal1'!AD346,IF($B344="주간",'cal1'!R346,""))</f>
        <v/>
      </c>
      <c r="E344" t="str">
        <f>IF(OR($B344="당직",$B344="야간"),'cal1'!AE346,IF($B344="주간",'cal1'!S346,""))</f>
        <v/>
      </c>
      <c r="F344" t="str">
        <f>IF(OR($B344="당직",$B344="야간"),'cal1'!AF346,IF($B344="주간",'cal1'!T346,""))</f>
        <v/>
      </c>
      <c r="G344" t="str">
        <f>IF(OR($B344="당직",$B344="야간"),'cal1'!AG346,IF($B344="주간",'cal1'!U346,""))</f>
        <v/>
      </c>
      <c r="L344" t="str">
        <f>'cal1'!AJ346</f>
        <v/>
      </c>
      <c r="M344" t="str">
        <f t="shared" si="5"/>
        <v/>
      </c>
    </row>
    <row r="345" spans="1:13">
      <c r="A345" s="1">
        <f>'cal1'!B347</f>
        <v>46367</v>
      </c>
      <c r="B345" t="str">
        <f>'cal1'!I347</f>
        <v>주간</v>
      </c>
      <c r="C345" t="str">
        <f>IF(OR($B345="당직",$B345="야간"),'cal1'!AC347,IF($B345="주간",'cal1'!Q347,""))</f>
        <v>박성현</v>
      </c>
      <c r="D345" t="str">
        <f>IF(OR($B345="당직",$B345="야간"),'cal1'!AD347,IF($B345="주간",'cal1'!R347,""))</f>
        <v>허지웅</v>
      </c>
      <c r="E345" t="str">
        <f>IF(OR($B345="당직",$B345="야간"),'cal1'!AE347,IF($B345="주간",'cal1'!S347,""))</f>
        <v>정윤준</v>
      </c>
      <c r="F345" t="str">
        <f>IF(OR($B345="당직",$B345="야간"),'cal1'!AF347,IF($B345="주간",'cal1'!T347,""))</f>
        <v>이기수</v>
      </c>
      <c r="G345" t="str">
        <f>IF(OR($B345="당직",$B345="야간"),'cal1'!AG347,IF($B345="주간",'cal1'!U347,""))</f>
        <v>허지웅</v>
      </c>
      <c r="L345" t="str">
        <f>'cal1'!AJ347</f>
        <v/>
      </c>
      <c r="M345" t="str">
        <f t="shared" si="5"/>
        <v>[오늘의_근무 12/11(금)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46" spans="1:13">
      <c r="A346" s="1">
        <f>'cal1'!B348</f>
        <v>46368</v>
      </c>
      <c r="B346" t="str">
        <f>'cal1'!I348</f>
        <v>당직</v>
      </c>
      <c r="C346" t="str">
        <f>IF(OR($B346="당직",$B346="야간"),'cal1'!AC348,IF($B346="주간",'cal1'!Q348,""))</f>
        <v>정윤준</v>
      </c>
      <c r="D346" t="str">
        <f>IF(OR($B346="당직",$B346="야간"),'cal1'!AD348,IF($B346="주간",'cal1'!R348,""))</f>
        <v>이기수</v>
      </c>
      <c r="E346" t="str">
        <f>IF(OR($B346="당직",$B346="야간"),'cal1'!AE348,IF($B346="주간",'cal1'!S348,""))</f>
        <v>박성현</v>
      </c>
      <c r="F346" t="str">
        <f>IF(OR($B346="당직",$B346="야간"),'cal1'!AF348,IF($B346="주간",'cal1'!T348,""))</f>
        <v>허지웅</v>
      </c>
      <c r="G346" t="str">
        <f>IF(OR($B346="당직",$B346="야간"),'cal1'!AG348,IF($B346="주간",'cal1'!U348,""))</f>
        <v>허지웅</v>
      </c>
      <c r="L346" t="str">
        <f>'cal1'!AJ348</f>
        <v/>
      </c>
      <c r="M346" t="str">
        <f t="shared" si="5"/>
        <v>[오늘의_근무 12/12(토) - 당직]\n▸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47" spans="1:13">
      <c r="A347" s="1">
        <f>'cal1'!B349</f>
        <v>46369</v>
      </c>
      <c r="B347" t="str">
        <f>'cal1'!I349</f>
        <v>비번</v>
      </c>
      <c r="C347" t="str">
        <f>IF(OR($B347="당직",$B347="야간"),'cal1'!AC349,IF($B347="주간",'cal1'!Q349,""))</f>
        <v/>
      </c>
      <c r="D347" t="str">
        <f>IF(OR($B347="당직",$B347="야간"),'cal1'!AD349,IF($B347="주간",'cal1'!R349,""))</f>
        <v/>
      </c>
      <c r="E347" t="str">
        <f>IF(OR($B347="당직",$B347="야간"),'cal1'!AE349,IF($B347="주간",'cal1'!S349,""))</f>
        <v/>
      </c>
      <c r="F347" t="str">
        <f>IF(OR($B347="당직",$B347="야간"),'cal1'!AF349,IF($B347="주간",'cal1'!T349,""))</f>
        <v/>
      </c>
      <c r="G347" t="str">
        <f>IF(OR($B347="당직",$B347="야간"),'cal1'!AG349,IF($B347="주간",'cal1'!U349,""))</f>
        <v/>
      </c>
      <c r="L347" t="str">
        <f>'cal1'!AJ349</f>
        <v/>
      </c>
      <c r="M347" t="str">
        <f t="shared" si="5"/>
        <v/>
      </c>
    </row>
    <row r="348" spans="1:13">
      <c r="A348" s="1">
        <f>'cal1'!B350</f>
        <v>46370</v>
      </c>
      <c r="B348" t="str">
        <f>'cal1'!I350</f>
        <v>주간</v>
      </c>
      <c r="C348" t="str">
        <f>IF(OR($B348="당직",$B348="야간"),'cal1'!AC350,IF($B348="주간",'cal1'!Q350,""))</f>
        <v>이기수</v>
      </c>
      <c r="D348" t="str">
        <f>IF(OR($B348="당직",$B348="야간"),'cal1'!AD350,IF($B348="주간",'cal1'!R350,""))</f>
        <v>박성현</v>
      </c>
      <c r="E348" t="str">
        <f>IF(OR($B348="당직",$B348="야간"),'cal1'!AE350,IF($B348="주간",'cal1'!S350,""))</f>
        <v>허지웅</v>
      </c>
      <c r="F348" t="str">
        <f>IF(OR($B348="당직",$B348="야간"),'cal1'!AF350,IF($B348="주간",'cal1'!T350,""))</f>
        <v>정윤준</v>
      </c>
      <c r="G348" t="e">
        <f>IF(OR($B348="당직",$B348="야간"),'cal1'!AG350,IF($B348="주간",'cal1'!U350,""))</f>
        <v>#VALUE!</v>
      </c>
      <c r="L348" t="str">
        <f>'cal1'!AJ350</f>
        <v/>
      </c>
      <c r="M348" t="str">
        <f t="shared" si="5"/>
        <v>[오늘의_근무 12/14(월)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349" spans="1:13">
      <c r="A349" s="1">
        <f>'cal1'!B351</f>
        <v>46371</v>
      </c>
      <c r="B349" t="str">
        <f>'cal1'!I351</f>
        <v>야간</v>
      </c>
      <c r="C349" t="str">
        <f>IF(OR($B349="당직",$B349="야간"),'cal1'!AC351,IF($B349="주간",'cal1'!Q351,""))</f>
        <v>허지웅</v>
      </c>
      <c r="D349" t="str">
        <f>IF(OR($B349="당직",$B349="야간"),'cal1'!AD351,IF($B349="주간",'cal1'!R351,""))</f>
        <v>정윤준</v>
      </c>
      <c r="E349" t="str">
        <f>IF(OR($B349="당직",$B349="야간"),'cal1'!AE351,IF($B349="주간",'cal1'!S351,""))</f>
        <v>이기수</v>
      </c>
      <c r="F349" t="str">
        <f>IF(OR($B349="당직",$B349="야간"),'cal1'!AF351,IF($B349="주간",'cal1'!T351,""))</f>
        <v>박성현</v>
      </c>
      <c r="G349" t="str">
        <f>IF(OR($B349="당직",$B349="야간"),'cal1'!AG351,IF($B349="주간",'cal1'!U351,""))</f>
        <v>장혁진</v>
      </c>
      <c r="L349" t="str">
        <f>'cal1'!AJ351</f>
        <v/>
      </c>
      <c r="M349" t="str">
        <f t="shared" si="5"/>
        <v>[오늘의_근무 12/15(화) - 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50" spans="1:13">
      <c r="A350" s="1">
        <f>'cal1'!B352</f>
        <v>46372</v>
      </c>
      <c r="B350" t="str">
        <f>'cal1'!I352</f>
        <v>비번</v>
      </c>
      <c r="C350" t="str">
        <f>IF(OR($B350="당직",$B350="야간"),'cal1'!AC352,IF($B350="주간",'cal1'!Q352,""))</f>
        <v/>
      </c>
      <c r="D350" t="str">
        <f>IF(OR($B350="당직",$B350="야간"),'cal1'!AD352,IF($B350="주간",'cal1'!R352,""))</f>
        <v/>
      </c>
      <c r="E350" t="str">
        <f>IF(OR($B350="당직",$B350="야간"),'cal1'!AE352,IF($B350="주간",'cal1'!S352,""))</f>
        <v/>
      </c>
      <c r="F350" t="str">
        <f>IF(OR($B350="당직",$B350="야간"),'cal1'!AF352,IF($B350="주간",'cal1'!T352,""))</f>
        <v/>
      </c>
      <c r="G350" t="str">
        <f>IF(OR($B350="당직",$B350="야간"),'cal1'!AG352,IF($B350="주간",'cal1'!U352,""))</f>
        <v/>
      </c>
      <c r="L350" t="str">
        <f>'cal1'!AJ352</f>
        <v/>
      </c>
      <c r="M350" t="str">
        <f t="shared" si="5"/>
        <v/>
      </c>
    </row>
    <row r="351" spans="1:13">
      <c r="A351" s="1">
        <f>'cal1'!B353</f>
        <v>46373</v>
      </c>
      <c r="B351" t="str">
        <f>'cal1'!I353</f>
        <v>주간</v>
      </c>
      <c r="C351" t="str">
        <f>IF(OR($B351="당직",$B351="야간"),'cal1'!AC353,IF($B351="주간",'cal1'!Q353,""))</f>
        <v>정윤준</v>
      </c>
      <c r="D351" t="str">
        <f>IF(OR($B351="당직",$B351="야간"),'cal1'!AD353,IF($B351="주간",'cal1'!R353,""))</f>
        <v>이기수</v>
      </c>
      <c r="E351" t="str">
        <f>IF(OR($B351="당직",$B351="야간"),'cal1'!AE353,IF($B351="주간",'cal1'!S353,""))</f>
        <v>박성현</v>
      </c>
      <c r="F351" t="str">
        <f>IF(OR($B351="당직",$B351="야간"),'cal1'!AF353,IF($B351="주간",'cal1'!T353,""))</f>
        <v>허지웅</v>
      </c>
      <c r="G351" t="str">
        <f>IF(OR($B351="당직",$B351="야간"),'cal1'!AG353,IF($B351="주간",'cal1'!U353,""))</f>
        <v>장혁진</v>
      </c>
      <c r="L351" t="str">
        <f>'cal1'!AJ353</f>
        <v/>
      </c>
      <c r="M351" t="str">
        <f t="shared" si="5"/>
        <v>[오늘의_근무 12/17(목) - 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52" spans="1:13">
      <c r="A352" s="1">
        <f>'cal1'!B354</f>
        <v>46374</v>
      </c>
      <c r="B352" t="str">
        <f>'cal1'!I354</f>
        <v>야간</v>
      </c>
      <c r="C352" t="str">
        <f>IF(OR($B352="당직",$B352="야간"),'cal1'!AC354,IF($B352="주간",'cal1'!Q354,""))</f>
        <v>박성현</v>
      </c>
      <c r="D352" t="str">
        <f>IF(OR($B352="당직",$B352="야간"),'cal1'!AD354,IF($B352="주간",'cal1'!R354,""))</f>
        <v>허지웅</v>
      </c>
      <c r="E352" t="str">
        <f>IF(OR($B352="당직",$B352="야간"),'cal1'!AE354,IF($B352="주간",'cal1'!S354,""))</f>
        <v>정윤준</v>
      </c>
      <c r="F352" t="str">
        <f>IF(OR($B352="당직",$B352="야간"),'cal1'!AF354,IF($B352="주간",'cal1'!T354,""))</f>
        <v>이기수</v>
      </c>
      <c r="G352" t="str">
        <f>IF(OR($B352="당직",$B352="야간"),'cal1'!AG354,IF($B352="주간",'cal1'!U354,""))</f>
        <v>이기수</v>
      </c>
      <c r="L352" t="str">
        <f>'cal1'!AJ354</f>
        <v/>
      </c>
      <c r="M352" t="str">
        <f t="shared" si="5"/>
        <v>[오늘의_근무 12/18(금)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53" spans="1:13">
      <c r="A353" s="1">
        <f>'cal1'!B355</f>
        <v>46375</v>
      </c>
      <c r="B353" t="str">
        <f>'cal1'!I355</f>
        <v>비번</v>
      </c>
      <c r="C353" t="str">
        <f>IF(OR($B353="당직",$B353="야간"),'cal1'!AC355,IF($B353="주간",'cal1'!Q355,""))</f>
        <v/>
      </c>
      <c r="D353" t="str">
        <f>IF(OR($B353="당직",$B353="야간"),'cal1'!AD355,IF($B353="주간",'cal1'!R355,""))</f>
        <v/>
      </c>
      <c r="E353" t="str">
        <f>IF(OR($B353="당직",$B353="야간"),'cal1'!AE355,IF($B353="주간",'cal1'!S355,""))</f>
        <v/>
      </c>
      <c r="F353" t="str">
        <f>IF(OR($B353="당직",$B353="야간"),'cal1'!AF355,IF($B353="주간",'cal1'!T355,""))</f>
        <v/>
      </c>
      <c r="G353" t="str">
        <f>IF(OR($B353="당직",$B353="야간"),'cal1'!AG355,IF($B353="주간",'cal1'!U355,""))</f>
        <v/>
      </c>
      <c r="L353" t="str">
        <f>'cal1'!AJ355</f>
        <v/>
      </c>
      <c r="M353" t="str">
        <f t="shared" si="5"/>
        <v/>
      </c>
    </row>
    <row r="354" spans="1:13">
      <c r="A354" s="1">
        <f>'cal1'!B356</f>
        <v>46376</v>
      </c>
      <c r="B354" t="str">
        <f>'cal1'!I356</f>
        <v>휴무</v>
      </c>
      <c r="C354" t="str">
        <f>IF(OR($B354="당직",$B354="야간"),'cal1'!AC356,IF($B354="주간",'cal1'!Q356,""))</f>
        <v/>
      </c>
      <c r="D354" t="str">
        <f>IF(OR($B354="당직",$B354="야간"),'cal1'!AD356,IF($B354="주간",'cal1'!R356,""))</f>
        <v/>
      </c>
      <c r="E354" t="str">
        <f>IF(OR($B354="당직",$B354="야간"),'cal1'!AE356,IF($B354="주간",'cal1'!S356,""))</f>
        <v/>
      </c>
      <c r="F354" t="str">
        <f>IF(OR($B354="당직",$B354="야간"),'cal1'!AF356,IF($B354="주간",'cal1'!T356,""))</f>
        <v/>
      </c>
      <c r="G354" t="str">
        <f>IF(OR($B354="당직",$B354="야간"),'cal1'!AG356,IF($B354="주간",'cal1'!U356,""))</f>
        <v/>
      </c>
      <c r="L354" t="str">
        <f>'cal1'!AJ356</f>
        <v/>
      </c>
      <c r="M354" t="str">
        <f t="shared" si="5"/>
        <v/>
      </c>
    </row>
    <row r="355" spans="1:13">
      <c r="A355" s="1">
        <f>'cal1'!B357</f>
        <v>46377</v>
      </c>
      <c r="B355" t="str">
        <f>'cal1'!I357</f>
        <v>야간</v>
      </c>
      <c r="C355" t="str">
        <f>IF(OR($B355="당직",$B355="야간"),'cal1'!AC357,IF($B355="주간",'cal1'!Q357,""))</f>
        <v>이기수</v>
      </c>
      <c r="D355" t="str">
        <f>IF(OR($B355="당직",$B355="야간"),'cal1'!AD357,IF($B355="주간",'cal1'!R357,""))</f>
        <v>박성현</v>
      </c>
      <c r="E355" t="str">
        <f>IF(OR($B355="당직",$B355="야간"),'cal1'!AE357,IF($B355="주간",'cal1'!S357,""))</f>
        <v>허지웅</v>
      </c>
      <c r="F355" t="str">
        <f>IF(OR($B355="당직",$B355="야간"),'cal1'!AF357,IF($B355="주간",'cal1'!T357,""))</f>
        <v>정윤준</v>
      </c>
      <c r="G355" t="e">
        <f>IF(OR($B355="당직",$B355="야간"),'cal1'!AG357,IF($B355="주간",'cal1'!U357,""))</f>
        <v>#VALUE!</v>
      </c>
      <c r="L355" t="str">
        <f>'cal1'!AJ357</f>
        <v>허지웅</v>
      </c>
      <c r="M355" t="str">
        <f t="shared" si="5"/>
        <v>[오늘의_근무 12/21(월) - 야간]\n▸ 산업지원동 : 이기수\n▸ 글로벌센터 : 박성현\n▸ 외        곽1 : 허지웅\n▸ 외        곽2 : 정윤준\n\n-------------------------\n🏠 용역원실   : 허지웅\n-------------------------\n\n🔗 시간표 확인\nhttps://bio.oxisnail.top\nhttps://bio.oxisnail.top/timetable.html</v>
      </c>
    </row>
    <row r="356" spans="1:13">
      <c r="A356" s="1">
        <f>'cal1'!B358</f>
        <v>46378</v>
      </c>
      <c r="B356" t="str">
        <f>'cal1'!I358</f>
        <v>비번</v>
      </c>
      <c r="C356" t="str">
        <f>IF(OR($B356="당직",$B356="야간"),'cal1'!AC358,IF($B356="주간",'cal1'!Q358,""))</f>
        <v/>
      </c>
      <c r="D356" t="str">
        <f>IF(OR($B356="당직",$B356="야간"),'cal1'!AD358,IF($B356="주간",'cal1'!R358,""))</f>
        <v/>
      </c>
      <c r="E356" t="str">
        <f>IF(OR($B356="당직",$B356="야간"),'cal1'!AE358,IF($B356="주간",'cal1'!S358,""))</f>
        <v/>
      </c>
      <c r="F356" t="str">
        <f>IF(OR($B356="당직",$B356="야간"),'cal1'!AF358,IF($B356="주간",'cal1'!T358,""))</f>
        <v/>
      </c>
      <c r="G356" t="str">
        <f>IF(OR($B356="당직",$B356="야간"),'cal1'!AG358,IF($B356="주간",'cal1'!U358,""))</f>
        <v/>
      </c>
      <c r="L356" t="str">
        <f>'cal1'!AJ358</f>
        <v/>
      </c>
      <c r="M356" t="str">
        <f t="shared" si="5"/>
        <v/>
      </c>
    </row>
    <row r="357" spans="1:13">
      <c r="A357" s="1">
        <f>'cal1'!B359</f>
        <v>46379</v>
      </c>
      <c r="B357" t="str">
        <f>'cal1'!I359</f>
        <v>주간</v>
      </c>
      <c r="C357" t="str">
        <f>IF(OR($B357="당직",$B357="야간"),'cal1'!AC359,IF($B357="주간",'cal1'!Q359,""))</f>
        <v>허지웅</v>
      </c>
      <c r="D357" t="str">
        <f>IF(OR($B357="당직",$B357="야간"),'cal1'!AD359,IF($B357="주간",'cal1'!R359,""))</f>
        <v>정윤준</v>
      </c>
      <c r="E357" t="str">
        <f>IF(OR($B357="당직",$B357="야간"),'cal1'!AE359,IF($B357="주간",'cal1'!S359,""))</f>
        <v>이기수</v>
      </c>
      <c r="F357" t="str">
        <f>IF(OR($B357="당직",$B357="야간"),'cal1'!AF359,IF($B357="주간",'cal1'!T359,""))</f>
        <v>박성현</v>
      </c>
      <c r="G357" t="str">
        <f>IF(OR($B357="당직",$B357="야간"),'cal1'!AG359,IF($B357="주간",'cal1'!U359,""))</f>
        <v>이기수</v>
      </c>
      <c r="L357" t="str">
        <f>'cal1'!AJ359</f>
        <v/>
      </c>
      <c r="M357" t="str">
        <f t="shared" si="5"/>
        <v>[오늘의_근무 12/23(수) - 주간]\n▸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58" spans="1:13">
      <c r="A358" s="1">
        <f>'cal1'!B360</f>
        <v>46380</v>
      </c>
      <c r="B358" t="str">
        <f>'cal1'!I360</f>
        <v>야간</v>
      </c>
      <c r="C358" t="str">
        <f>IF(OR($B358="당직",$B358="야간"),'cal1'!AC360,IF($B358="주간",'cal1'!Q360,""))</f>
        <v>정윤준</v>
      </c>
      <c r="D358" t="str">
        <f>IF(OR($B358="당직",$B358="야간"),'cal1'!AD360,IF($B358="주간",'cal1'!R360,""))</f>
        <v>이기수</v>
      </c>
      <c r="E358" t="str">
        <f>IF(OR($B358="당직",$B358="야간"),'cal1'!AE360,IF($B358="주간",'cal1'!S360,""))</f>
        <v>박성현</v>
      </c>
      <c r="F358" t="str">
        <f>IF(OR($B358="당직",$B358="야간"),'cal1'!AF360,IF($B358="주간",'cal1'!T360,""))</f>
        <v>허지웅</v>
      </c>
      <c r="G358" t="str">
        <f>IF(OR($B358="당직",$B358="야간"),'cal1'!AG360,IF($B358="주간",'cal1'!U360,""))</f>
        <v>정윤준</v>
      </c>
      <c r="L358" t="str">
        <f>'cal1'!AJ360</f>
        <v/>
      </c>
      <c r="M358" t="str">
        <f t="shared" si="5"/>
        <v>[오늘의_근무 12/24(목) - 야간]\n▸ 산업지원동 : 정윤준\n▸ 글로벌센터 : 이기수\n▸ 외        곽1 : 박성현\n▸ 외        곽2 : 허지웅\n\n-------------------------\n🏠 용역원실   : \n-------------------------\n\n🔗 시간표 확인\nhttps://bio.oxisnail.top\nhttps://bio.oxisnail.top/timetable.html</v>
      </c>
    </row>
    <row r="359" spans="1:13">
      <c r="A359" s="1">
        <f>'cal1'!B361</f>
        <v>46381</v>
      </c>
      <c r="B359" t="str">
        <f>'cal1'!I361</f>
        <v>비번</v>
      </c>
      <c r="C359" t="str">
        <f>IF(OR($B359="당직",$B359="야간"),'cal1'!AC361,IF($B359="주간",'cal1'!Q361,""))</f>
        <v/>
      </c>
      <c r="D359" t="str">
        <f>IF(OR($B359="당직",$B359="야간"),'cal1'!AD361,IF($B359="주간",'cal1'!R361,""))</f>
        <v/>
      </c>
      <c r="E359" t="str">
        <f>IF(OR($B359="당직",$B359="야간"),'cal1'!AE361,IF($B359="주간",'cal1'!S361,""))</f>
        <v/>
      </c>
      <c r="F359" t="str">
        <f>IF(OR($B359="당직",$B359="야간"),'cal1'!AF361,IF($B359="주간",'cal1'!T361,""))</f>
        <v/>
      </c>
      <c r="G359" t="str">
        <f>IF(OR($B359="당직",$B359="야간"),'cal1'!AG361,IF($B359="주간",'cal1'!U361,""))</f>
        <v/>
      </c>
      <c r="L359" t="str">
        <f>'cal1'!AJ361</f>
        <v/>
      </c>
      <c r="M359" t="str">
        <f t="shared" si="5"/>
        <v/>
      </c>
    </row>
    <row r="360" spans="1:13">
      <c r="A360" s="1">
        <f>'cal1'!B362</f>
        <v>46382</v>
      </c>
      <c r="B360" t="str">
        <f>'cal1'!I362</f>
        <v>휴무</v>
      </c>
      <c r="C360" t="str">
        <f>IF(OR($B360="당직",$B360="야간"),'cal1'!AC362,IF($B360="주간",'cal1'!Q362,""))</f>
        <v/>
      </c>
      <c r="D360" t="str">
        <f>IF(OR($B360="당직",$B360="야간"),'cal1'!AD362,IF($B360="주간",'cal1'!R362,""))</f>
        <v/>
      </c>
      <c r="E360" t="str">
        <f>IF(OR($B360="당직",$B360="야간"),'cal1'!AE362,IF($B360="주간",'cal1'!S362,""))</f>
        <v/>
      </c>
      <c r="F360" t="str">
        <f>IF(OR($B360="당직",$B360="야간"),'cal1'!AF362,IF($B360="주간",'cal1'!T362,""))</f>
        <v/>
      </c>
      <c r="G360" t="str">
        <f>IF(OR($B360="당직",$B360="야간"),'cal1'!AG362,IF($B360="주간",'cal1'!U362,""))</f>
        <v/>
      </c>
      <c r="L360" t="str">
        <f>'cal1'!AJ362</f>
        <v/>
      </c>
      <c r="M360" t="str">
        <f t="shared" si="5"/>
        <v/>
      </c>
    </row>
    <row r="361" spans="1:13">
      <c r="A361" s="1">
        <f>'cal1'!B363</f>
        <v>46383</v>
      </c>
      <c r="B361" t="str">
        <f>'cal1'!I363</f>
        <v>당직</v>
      </c>
      <c r="C361" t="str">
        <f>IF(OR($B361="당직",$B361="야간"),'cal1'!AC363,IF($B361="주간",'cal1'!Q363,""))</f>
        <v>허지웅</v>
      </c>
      <c r="D361" t="str">
        <f>IF(OR($B361="당직",$B361="야간"),'cal1'!AD363,IF($B361="주간",'cal1'!R363,""))</f>
        <v>정윤준</v>
      </c>
      <c r="E361" t="str">
        <f>IF(OR($B361="당직",$B361="야간"),'cal1'!AE363,IF($B361="주간",'cal1'!S363,""))</f>
        <v>이기수</v>
      </c>
      <c r="F361" t="str">
        <f>IF(OR($B361="당직",$B361="야간"),'cal1'!AF363,IF($B361="주간",'cal1'!T363,""))</f>
        <v>박성현</v>
      </c>
      <c r="G361" t="str">
        <f>IF(OR($B361="당직",$B361="야간"),'cal1'!AG363,IF($B361="주간",'cal1'!U363,""))</f>
        <v>허지웅</v>
      </c>
      <c r="L361" t="str">
        <f>'cal1'!AJ363</f>
        <v/>
      </c>
      <c r="M361" t="str">
        <f t="shared" si="5"/>
        <v>[오늘의_근무 12/27(일) - 당직]\n▸ 산업지원동 : 허지웅\n▸ 글로벌센터 : 정윤준\n▸ 외        곽1 : 이기수\n▸ 외        곽2 : 박성현\n\n-------------------------\n🏠 용역원실   : \n-------------------------\n\n🔗 시간표 확인\nhttps://bio.oxisnail.top\nhttps://bio.oxisnail.top/timetable.html</v>
      </c>
    </row>
    <row r="362" spans="1:13">
      <c r="A362" s="1">
        <f>'cal1'!B364</f>
        <v>46384</v>
      </c>
      <c r="B362" t="str">
        <f>'cal1'!I364</f>
        <v>비번</v>
      </c>
      <c r="C362" t="str">
        <f>IF(OR($B362="당직",$B362="야간"),'cal1'!AC364,IF($B362="주간",'cal1'!Q364,""))</f>
        <v/>
      </c>
      <c r="D362" t="str">
        <f>IF(OR($B362="당직",$B362="야간"),'cal1'!AD364,IF($B362="주간",'cal1'!R364,""))</f>
        <v/>
      </c>
      <c r="E362" t="str">
        <f>IF(OR($B362="당직",$B362="야간"),'cal1'!AE364,IF($B362="주간",'cal1'!S364,""))</f>
        <v/>
      </c>
      <c r="F362" t="str">
        <f>IF(OR($B362="당직",$B362="야간"),'cal1'!AF364,IF($B362="주간",'cal1'!T364,""))</f>
        <v/>
      </c>
      <c r="G362" t="str">
        <f>IF(OR($B362="당직",$B362="야간"),'cal1'!AG364,IF($B362="주간",'cal1'!U364,""))</f>
        <v/>
      </c>
      <c r="L362" t="str">
        <f>'cal1'!AJ364</f>
        <v/>
      </c>
      <c r="M362" t="str">
        <f t="shared" si="5"/>
        <v/>
      </c>
    </row>
    <row r="363" spans="1:13">
      <c r="A363" s="1">
        <f>'cal1'!B365</f>
        <v>46385</v>
      </c>
      <c r="B363" t="str">
        <f>'cal1'!I365</f>
        <v>주간</v>
      </c>
      <c r="C363" t="str">
        <f>IF(OR($B363="당직",$B363="야간"),'cal1'!AC365,IF($B363="주간",'cal1'!Q365,""))</f>
        <v>박성현</v>
      </c>
      <c r="D363" t="str">
        <f>IF(OR($B363="당직",$B363="야간"),'cal1'!AD365,IF($B363="주간",'cal1'!R365,""))</f>
        <v>허지웅</v>
      </c>
      <c r="E363" t="str">
        <f>IF(OR($B363="당직",$B363="야간"),'cal1'!AE365,IF($B363="주간",'cal1'!S365,""))</f>
        <v>정윤준</v>
      </c>
      <c r="F363" t="str">
        <f>IF(OR($B363="당직",$B363="야간"),'cal1'!AF365,IF($B363="주간",'cal1'!T365,""))</f>
        <v>이기수</v>
      </c>
      <c r="G363" t="str">
        <f>IF(OR($B363="당직",$B363="야간"),'cal1'!AG365,IF($B363="주간",'cal1'!U365,""))</f>
        <v>정윤준</v>
      </c>
      <c r="L363" t="str">
        <f>'cal1'!AJ365</f>
        <v/>
      </c>
      <c r="M363" t="str">
        <f t="shared" si="5"/>
        <v>[오늘의_근무 12/29(화) - 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64" spans="1:13">
      <c r="A364" s="1">
        <f>'cal1'!B366</f>
        <v>46386</v>
      </c>
      <c r="B364" t="str">
        <f>'cal1'!I366</f>
        <v>야간</v>
      </c>
      <c r="C364" t="str">
        <f>IF(OR($B364="당직",$B364="야간"),'cal1'!AC366,IF($B364="주간",'cal1'!Q366,""))</f>
        <v>박성현</v>
      </c>
      <c r="D364" t="str">
        <f>IF(OR($B364="당직",$B364="야간"),'cal1'!AD366,IF($B364="주간",'cal1'!R366,""))</f>
        <v>허지웅</v>
      </c>
      <c r="E364" t="str">
        <f>IF(OR($B364="당직",$B364="야간"),'cal1'!AE366,IF($B364="주간",'cal1'!S366,""))</f>
        <v>정윤준</v>
      </c>
      <c r="F364" t="str">
        <f>IF(OR($B364="당직",$B364="야간"),'cal1'!AF366,IF($B364="주간",'cal1'!T366,""))</f>
        <v>이기수</v>
      </c>
      <c r="G364" t="str">
        <f>IF(OR($B364="당직",$B364="야간"),'cal1'!AG366,IF($B364="주간",'cal1'!U366,""))</f>
        <v>장혁진</v>
      </c>
      <c r="L364" t="str">
        <f>'cal1'!AJ366</f>
        <v/>
      </c>
      <c r="M364" t="str">
        <f t="shared" si="5"/>
        <v>[오늘의_근무 12/30(수) - 야간]\n▸ 산업지원동 : 박성현\n▸ 글로벌센터 : 허지웅\n▸ 외        곽1 : 정윤준\n▸ 외        곽2 : 이기수\n\n-------------------------\n🏠 용역원실   : \n-------------------------\n\n🔗 시간표 확인\nhttps://bio.oxisnail.top\nhttps://bio.oxisnail.top/timetable.html</v>
      </c>
    </row>
    <row r="365" spans="1:13">
      <c r="A365" s="1">
        <f>'cal1'!B367</f>
        <v>46387</v>
      </c>
      <c r="B365" t="str">
        <f>'cal1'!I367</f>
        <v>비번</v>
      </c>
      <c r="C365" t="str">
        <f>IF(OR($B365="당직",$B365="야간"),'cal1'!AC367,IF($B365="주간",'cal1'!Q367,""))</f>
        <v/>
      </c>
      <c r="D365" t="str">
        <f>IF(OR($B365="당직",$B365="야간"),'cal1'!AD367,IF($B365="주간",'cal1'!R367,""))</f>
        <v/>
      </c>
      <c r="E365" t="str">
        <f>IF(OR($B365="당직",$B365="야간"),'cal1'!AE367,IF($B365="주간",'cal1'!S367,""))</f>
        <v/>
      </c>
      <c r="F365" t="str">
        <f>IF(OR($B365="당직",$B365="야간"),'cal1'!AF367,IF($B365="주간",'cal1'!T367,""))</f>
        <v/>
      </c>
      <c r="G365" t="str">
        <f>IF(OR($B365="당직",$B365="야간"),'cal1'!AG367,IF($B365="주간",'cal1'!U367,""))</f>
        <v/>
      </c>
      <c r="L365" t="str">
        <f>'cal1'!AJ367</f>
        <v/>
      </c>
      <c r="M365" t="str">
        <f t="shared" si="5"/>
        <v/>
      </c>
    </row>
    <row r="366" spans="1:13">
      <c r="A366" s="1">
        <f>'cal1'!B368</f>
        <v>46388</v>
      </c>
      <c r="B366" t="str">
        <f>'cal1'!I368</f>
        <v>주간</v>
      </c>
      <c r="C366" t="str">
        <f>IF(OR($B366="당직",$B366="야간"),'cal1'!AC368,IF($B366="주간",'cal1'!Q368,""))</f>
        <v>이기수</v>
      </c>
      <c r="D366" t="str">
        <f>IF(OR($B366="당직",$B366="야간"),'cal1'!AD368,IF($B366="주간",'cal1'!R368,""))</f>
        <v>박성현</v>
      </c>
      <c r="E366" t="str">
        <f>IF(OR($B366="당직",$B366="야간"),'cal1'!AE368,IF($B366="주간",'cal1'!S368,""))</f>
        <v>허지웅</v>
      </c>
      <c r="F366" t="str">
        <f>IF(OR($B366="당직",$B366="야간"),'cal1'!AF368,IF($B366="주간",'cal1'!T368,""))</f>
        <v>정윤준</v>
      </c>
      <c r="G366" t="str">
        <f>IF(OR($B366="당직",$B366="야간"),'cal1'!AG368,IF($B366="주간",'cal1'!U368,""))</f>
        <v>허지웅</v>
      </c>
      <c r="L366" t="str">
        <f>'cal1'!AJ368</f>
        <v/>
      </c>
      <c r="M366" t="str">
        <f t="shared" si="5"/>
        <v>[오늘의_근무 1/1(금) - 주간]\n▸ 산업지원동 : 이기수\n▸ 글로벌센터 : 박성현\n▸ 외        곽1 : 허지웅\n▸ 외        곽2 : 정윤준\n\n-------------------------\n🏠 용역원실   : \n-------------------------\n\n🔗 시간표 확인\nhttps://bio.oxisnail.top\nhttps://bio.oxisnail.top/timetable.html</v>
      </c>
    </row>
    <row r="367" spans="1:13">
      <c r="A367" s="1" t="e">
        <f>'cal1'!#REF!</f>
        <v>#REF!</v>
      </c>
      <c r="B367" t="e">
        <f>'cal1'!#REF!</f>
        <v>#REF!</v>
      </c>
      <c r="C367" t="e">
        <f>IF(OR($B367="당직",$B367="야간"),'cal1'!#REF!,IF($B367="주간",'cal1'!#REF!,""))</f>
        <v>#REF!</v>
      </c>
      <c r="D367" t="e">
        <f>IF(OR($B367="당직",$B367="야간"),'cal1'!#REF!,IF($B367="주간",'cal1'!#REF!,""))</f>
        <v>#REF!</v>
      </c>
      <c r="E367" t="e">
        <f>IF(OR($B367="당직",$B367="야간"),'cal1'!#REF!,IF($B367="주간",'cal1'!#REF!,""))</f>
        <v>#REF!</v>
      </c>
      <c r="F367" t="e">
        <f>IF(OR($B367="당직",$B367="야간"),'cal1'!#REF!,IF($B367="주간",'cal1'!#REF!,""))</f>
        <v>#REF!</v>
      </c>
      <c r="G367" t="e">
        <f>IF(OR($B367="당직",$B367="야간"),'cal1'!#REF!,IF($B367="주간",'cal1'!#REF!,""))</f>
        <v>#REF!</v>
      </c>
      <c r="L367">
        <f>'cal1'!AJ369</f>
        <v>0</v>
      </c>
      <c r="M367" t="e">
        <f t="shared" si="5"/>
        <v>#REF!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Gi-Su, Lee</dc:creator>
  <cp:keywords/>
  <dc:description/>
  <cp:lastModifiedBy/>
  <cp:revision/>
  <dcterms:created xsi:type="dcterms:W3CDTF">2024-05-27T11:29:02Z</dcterms:created>
  <dcterms:modified xsi:type="dcterms:W3CDTF">2026-02-15T06:16:39Z</dcterms:modified>
  <cp:category/>
  <cp:contentStatus/>
</cp:coreProperties>
</file>