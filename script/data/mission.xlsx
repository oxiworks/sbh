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1\Desktop\이기수\schedule\"/>
    </mc:Choice>
  </mc:AlternateContent>
  <bookViews>
    <workbookView xWindow="0" yWindow="0" windowWidth="19440" windowHeight="10275"/>
  </bookViews>
  <sheets>
    <sheet name="rule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7" i="2" l="1"/>
  <c r="G107" i="2" s="1"/>
  <c r="B106" i="2"/>
  <c r="G106" i="2" s="1"/>
  <c r="B105" i="2"/>
  <c r="G105" i="2" s="1"/>
  <c r="G109" i="2" l="1"/>
  <c r="B108" i="2"/>
  <c r="B31" i="2" l="1"/>
  <c r="B40" i="2"/>
  <c r="B39" i="2"/>
  <c r="B38" i="2"/>
  <c r="B37" i="2"/>
  <c r="B36" i="2"/>
  <c r="B35" i="2"/>
  <c r="B34" i="2"/>
  <c r="B33" i="2"/>
  <c r="B32" i="2"/>
  <c r="B30" i="2"/>
  <c r="B29" i="2"/>
  <c r="B98" i="2" l="1"/>
  <c r="G98" i="2" s="1"/>
  <c r="B99" i="2"/>
  <c r="G99" i="2" s="1"/>
  <c r="B100" i="2"/>
  <c r="G100" i="2" s="1"/>
  <c r="B101" i="2"/>
  <c r="G101" i="2" s="1"/>
  <c r="B102" i="2"/>
  <c r="G102" i="2" s="1"/>
  <c r="B82" i="2"/>
  <c r="G82" i="2" s="1"/>
  <c r="B104" i="2"/>
  <c r="G104" i="2" s="1"/>
  <c r="B260" i="2" l="1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212" i="2"/>
  <c r="G213" i="2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B259" i="2" s="1"/>
  <c r="B346" i="2"/>
  <c r="B347" i="2"/>
  <c r="B348" i="2"/>
  <c r="B349" i="2"/>
  <c r="B350" i="2"/>
  <c r="B351" i="2"/>
  <c r="B352" i="2"/>
  <c r="B353" i="2"/>
  <c r="B354" i="2"/>
  <c r="B355" i="2"/>
  <c r="B356" i="2"/>
  <c r="B357" i="2"/>
  <c r="G110" i="2"/>
  <c r="G111" i="2"/>
  <c r="G113" i="2" s="1"/>
  <c r="G115" i="2" s="1"/>
  <c r="G117" i="2" s="1"/>
  <c r="G119" i="2" s="1"/>
  <c r="G121" i="2" s="1"/>
  <c r="G123" i="2" s="1"/>
  <c r="G125" i="2" s="1"/>
  <c r="G127" i="2" s="1"/>
  <c r="G129" i="2" s="1"/>
  <c r="G131" i="2" s="1"/>
  <c r="G133" i="2" s="1"/>
  <c r="G135" i="2" s="1"/>
  <c r="G137" i="2" s="1"/>
  <c r="G139" i="2" s="1"/>
  <c r="G141" i="2" s="1"/>
  <c r="G143" i="2" s="1"/>
  <c r="G145" i="2" s="1"/>
  <c r="G147" i="2" s="1"/>
  <c r="G149" i="2" s="1"/>
  <c r="G151" i="2" s="1"/>
  <c r="G153" i="2" s="1"/>
  <c r="G155" i="2" s="1"/>
  <c r="B79" i="2"/>
  <c r="B78" i="2"/>
  <c r="B73" i="2"/>
  <c r="B84" i="2"/>
  <c r="G84" i="2" s="1"/>
  <c r="B86" i="2"/>
  <c r="G86" i="2" s="1"/>
  <c r="B88" i="2"/>
  <c r="G88" i="2" s="1"/>
  <c r="B89" i="2"/>
  <c r="G89" i="2" s="1"/>
  <c r="B91" i="2"/>
  <c r="G91" i="2" s="1"/>
  <c r="B93" i="2"/>
  <c r="G93" i="2" s="1"/>
  <c r="B95" i="2"/>
  <c r="G95" i="2" s="1"/>
  <c r="B97" i="2"/>
  <c r="G97" i="2" s="1"/>
  <c r="B81" i="2"/>
  <c r="G81" i="2" s="1"/>
  <c r="B83" i="2"/>
  <c r="G83" i="2" s="1"/>
  <c r="B85" i="2"/>
  <c r="G85" i="2" s="1"/>
  <c r="B87" i="2"/>
  <c r="G87" i="2" s="1"/>
  <c r="B90" i="2"/>
  <c r="G90" i="2" s="1"/>
  <c r="B92" i="2"/>
  <c r="G92" i="2" s="1"/>
  <c r="B94" i="2"/>
  <c r="G94" i="2" s="1"/>
  <c r="B96" i="2"/>
  <c r="G96" i="2" s="1"/>
  <c r="B103" i="2"/>
  <c r="G103" i="2" s="1"/>
  <c r="B71" i="2"/>
  <c r="B72" i="2"/>
  <c r="B74" i="2"/>
  <c r="B75" i="2"/>
  <c r="B76" i="2"/>
  <c r="B80" i="2"/>
  <c r="G80" i="2" s="1"/>
  <c r="B77" i="2"/>
  <c r="G112" i="2" l="1"/>
  <c r="G114" i="2" s="1"/>
  <c r="B244" i="2"/>
  <c r="B228" i="2"/>
  <c r="B256" i="2"/>
  <c r="B240" i="2"/>
  <c r="B224" i="2"/>
  <c r="B252" i="2"/>
  <c r="B236" i="2"/>
  <c r="B220" i="2"/>
  <c r="B248" i="2"/>
  <c r="B232" i="2"/>
  <c r="B216" i="2"/>
  <c r="B255" i="2"/>
  <c r="B251" i="2"/>
  <c r="B247" i="2"/>
  <c r="B243" i="2"/>
  <c r="B239" i="2"/>
  <c r="B235" i="2"/>
  <c r="B231" i="2"/>
  <c r="B227" i="2"/>
  <c r="B223" i="2"/>
  <c r="B219" i="2"/>
  <c r="B215" i="2"/>
  <c r="B258" i="2"/>
  <c r="B254" i="2"/>
  <c r="B250" i="2"/>
  <c r="B246" i="2"/>
  <c r="B242" i="2"/>
  <c r="B238" i="2"/>
  <c r="B234" i="2"/>
  <c r="B230" i="2"/>
  <c r="B226" i="2"/>
  <c r="B222" i="2"/>
  <c r="B218" i="2"/>
  <c r="B214" i="2"/>
  <c r="B257" i="2"/>
  <c r="B253" i="2"/>
  <c r="B249" i="2"/>
  <c r="B245" i="2"/>
  <c r="B241" i="2"/>
  <c r="B237" i="2"/>
  <c r="B233" i="2"/>
  <c r="B229" i="2"/>
  <c r="B225" i="2"/>
  <c r="B221" i="2"/>
  <c r="B217" i="2"/>
  <c r="B213" i="2"/>
  <c r="G157" i="2"/>
  <c r="B155" i="2"/>
  <c r="B143" i="2"/>
  <c r="B131" i="2"/>
  <c r="B119" i="2"/>
  <c r="B153" i="2"/>
  <c r="B141" i="2"/>
  <c r="B129" i="2"/>
  <c r="B117" i="2"/>
  <c r="B151" i="2"/>
  <c r="B139" i="2"/>
  <c r="B127" i="2"/>
  <c r="B115" i="2"/>
  <c r="B149" i="2"/>
  <c r="B137" i="2"/>
  <c r="B125" i="2"/>
  <c r="B113" i="2"/>
  <c r="B112" i="2"/>
  <c r="B147" i="2"/>
  <c r="B135" i="2"/>
  <c r="B123" i="2"/>
  <c r="B111" i="2"/>
  <c r="B110" i="2"/>
  <c r="B145" i="2"/>
  <c r="B133" i="2"/>
  <c r="B121" i="2"/>
  <c r="B109" i="2"/>
  <c r="B65" i="2"/>
  <c r="B66" i="2"/>
  <c r="B67" i="2"/>
  <c r="B68" i="2"/>
  <c r="B69" i="2"/>
  <c r="B70" i="2"/>
  <c r="F42" i="2"/>
  <c r="B42" i="2" s="1"/>
  <c r="F43" i="2"/>
  <c r="B43" i="2" s="1"/>
  <c r="F44" i="2"/>
  <c r="B44" i="2" s="1"/>
  <c r="F45" i="2"/>
  <c r="B45" i="2" s="1"/>
  <c r="F46" i="2"/>
  <c r="B46" i="2" s="1"/>
  <c r="F47" i="2"/>
  <c r="B47" i="2" s="1"/>
  <c r="F48" i="2"/>
  <c r="B48" i="2" s="1"/>
  <c r="F49" i="2"/>
  <c r="B49" i="2" s="1"/>
  <c r="F50" i="2"/>
  <c r="B50" i="2" s="1"/>
  <c r="F51" i="2"/>
  <c r="B51" i="2" s="1"/>
  <c r="F52" i="2"/>
  <c r="B52" i="2" s="1"/>
  <c r="F41" i="2"/>
  <c r="B41" i="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53" i="2"/>
  <c r="B54" i="2"/>
  <c r="B55" i="2"/>
  <c r="B56" i="2"/>
  <c r="B57" i="2"/>
  <c r="B58" i="2"/>
  <c r="B59" i="2"/>
  <c r="B60" i="2"/>
  <c r="B61" i="2"/>
  <c r="B62" i="2"/>
  <c r="B63" i="2"/>
  <c r="B64" i="2"/>
  <c r="B5" i="2"/>
  <c r="G116" i="2" l="1"/>
  <c r="B114" i="2"/>
  <c r="G159" i="2"/>
  <c r="B157" i="2"/>
  <c r="G118" i="2" l="1"/>
  <c r="B116" i="2"/>
  <c r="G161" i="2"/>
  <c r="B159" i="2"/>
  <c r="G120" i="2" l="1"/>
  <c r="B118" i="2"/>
  <c r="G163" i="2"/>
  <c r="B161" i="2"/>
  <c r="G122" i="2" l="1"/>
  <c r="B120" i="2"/>
  <c r="G165" i="2"/>
  <c r="B163" i="2"/>
  <c r="G124" i="2" l="1"/>
  <c r="B122" i="2"/>
  <c r="G167" i="2"/>
  <c r="B165" i="2"/>
  <c r="G126" i="2" l="1"/>
  <c r="B124" i="2"/>
  <c r="G169" i="2"/>
  <c r="B167" i="2"/>
  <c r="G128" i="2" l="1"/>
  <c r="B126" i="2"/>
  <c r="B169" i="2"/>
  <c r="G171" i="2"/>
  <c r="G130" i="2" l="1"/>
  <c r="B128" i="2"/>
  <c r="G173" i="2"/>
  <c r="B171" i="2"/>
  <c r="G132" i="2" l="1"/>
  <c r="B130" i="2"/>
  <c r="G175" i="2"/>
  <c r="B173" i="2"/>
  <c r="G134" i="2" l="1"/>
  <c r="B132" i="2"/>
  <c r="G177" i="2"/>
  <c r="B175" i="2"/>
  <c r="G136" i="2" l="1"/>
  <c r="B134" i="2"/>
  <c r="G179" i="2"/>
  <c r="B177" i="2"/>
  <c r="G138" i="2" l="1"/>
  <c r="B136" i="2"/>
  <c r="G181" i="2"/>
  <c r="B179" i="2"/>
  <c r="G140" i="2" l="1"/>
  <c r="B138" i="2"/>
  <c r="G183" i="2"/>
  <c r="B181" i="2"/>
  <c r="G142" i="2" l="1"/>
  <c r="B140" i="2"/>
  <c r="G185" i="2"/>
  <c r="B183" i="2"/>
  <c r="G144" i="2" l="1"/>
  <c r="B142" i="2"/>
  <c r="G187" i="2"/>
  <c r="B185" i="2"/>
  <c r="G146" i="2" l="1"/>
  <c r="B144" i="2"/>
  <c r="G189" i="2"/>
  <c r="B187" i="2"/>
  <c r="G148" i="2" l="1"/>
  <c r="B146" i="2"/>
  <c r="G191" i="2"/>
  <c r="B189" i="2"/>
  <c r="G150" i="2" l="1"/>
  <c r="B148" i="2"/>
  <c r="G193" i="2"/>
  <c r="B191" i="2"/>
  <c r="G152" i="2" l="1"/>
  <c r="B150" i="2"/>
  <c r="G195" i="2"/>
  <c r="B193" i="2"/>
  <c r="B152" i="2" l="1"/>
  <c r="G154" i="2"/>
  <c r="G197" i="2"/>
  <c r="B195" i="2"/>
  <c r="B154" i="2" l="1"/>
  <c r="G156" i="2"/>
  <c r="G199" i="2"/>
  <c r="B197" i="2"/>
  <c r="G158" i="2" l="1"/>
  <c r="B156" i="2"/>
  <c r="G201" i="2"/>
  <c r="B199" i="2"/>
  <c r="G160" i="2" l="1"/>
  <c r="B158" i="2"/>
  <c r="G203" i="2"/>
  <c r="B201" i="2"/>
  <c r="B203" i="2" l="1"/>
  <c r="G205" i="2"/>
  <c r="G162" i="2"/>
  <c r="B160" i="2"/>
  <c r="G207" i="2" l="1"/>
  <c r="B205" i="2"/>
  <c r="G164" i="2"/>
  <c r="B162" i="2"/>
  <c r="G209" i="2" l="1"/>
  <c r="B207" i="2"/>
  <c r="G166" i="2"/>
  <c r="B164" i="2"/>
  <c r="G211" i="2" l="1"/>
  <c r="B211" i="2" s="1"/>
  <c r="B209" i="2"/>
  <c r="G168" i="2"/>
  <c r="B166" i="2"/>
  <c r="G170" i="2" l="1"/>
  <c r="B168" i="2"/>
  <c r="B170" i="2" l="1"/>
  <c r="G172" i="2"/>
  <c r="G174" i="2" l="1"/>
  <c r="B172" i="2"/>
  <c r="G176" i="2" l="1"/>
  <c r="B174" i="2"/>
  <c r="G178" i="2" l="1"/>
  <c r="B176" i="2"/>
  <c r="G180" i="2" l="1"/>
  <c r="B178" i="2"/>
  <c r="G182" i="2" l="1"/>
  <c r="B180" i="2"/>
  <c r="G184" i="2" l="1"/>
  <c r="B182" i="2"/>
  <c r="G186" i="2" l="1"/>
  <c r="B184" i="2"/>
  <c r="G188" i="2" l="1"/>
  <c r="B186" i="2"/>
  <c r="G190" i="2" l="1"/>
  <c r="B188" i="2"/>
  <c r="G192" i="2" l="1"/>
  <c r="B190" i="2"/>
  <c r="G194" i="2" l="1"/>
  <c r="B192" i="2"/>
  <c r="G196" i="2" l="1"/>
  <c r="B194" i="2"/>
  <c r="G198" i="2" l="1"/>
  <c r="B196" i="2"/>
  <c r="G200" i="2" l="1"/>
  <c r="B198" i="2"/>
  <c r="G202" i="2" l="1"/>
  <c r="B200" i="2"/>
  <c r="B202" i="2" l="1"/>
  <c r="G204" i="2"/>
  <c r="G206" i="2" l="1"/>
  <c r="B204" i="2"/>
  <c r="G208" i="2" l="1"/>
  <c r="B206" i="2"/>
  <c r="G210" i="2" l="1"/>
  <c r="B210" i="2" s="1"/>
  <c r="B208" i="2"/>
</calcChain>
</file>

<file path=xl/comments1.xml><?xml version="1.0" encoding="utf-8"?>
<comments xmlns="http://schemas.openxmlformats.org/spreadsheetml/2006/main">
  <authors>
    <author>단군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0=Sunday
1=Monday
3=Wednesday
5=Friday
6=Saturday</t>
        </r>
      </text>
    </comment>
  </commentList>
</comments>
</file>

<file path=xl/sharedStrings.xml><?xml version="1.0" encoding="utf-8"?>
<sst xmlns="http://schemas.openxmlformats.org/spreadsheetml/2006/main" count="424" uniqueCount="57">
  <si>
    <t>년도입력:</t>
    <phoneticPr fontId="1" type="noConversion"/>
  </si>
  <si>
    <t>[고정 업무 목록]</t>
    <phoneticPr fontId="1" type="noConversion"/>
  </si>
  <si>
    <t>[글로벌][지원] : ESS 스케줄 야간 정지</t>
    <phoneticPr fontId="1" type="noConversion"/>
  </si>
  <si>
    <t>신정</t>
  </si>
  <si>
    <t>신정</t>
    <phoneticPr fontId="1" type="noConversion"/>
  </si>
  <si>
    <t>설</t>
  </si>
  <si>
    <t>설</t>
    <phoneticPr fontId="1" type="noConversion"/>
  </si>
  <si>
    <t>부처님오신날</t>
    <phoneticPr fontId="1" type="noConversion"/>
  </si>
  <si>
    <t>노동절</t>
  </si>
  <si>
    <t>노동절</t>
    <phoneticPr fontId="1" type="noConversion"/>
  </si>
  <si>
    <t>삼일절 대체</t>
  </si>
  <si>
    <t>삼일절 대체</t>
    <phoneticPr fontId="1" type="noConversion"/>
  </si>
  <si>
    <t>어린이날</t>
    <phoneticPr fontId="1" type="noConversion"/>
  </si>
  <si>
    <t>[지원][글로벌] : 안내방송 시험</t>
    <phoneticPr fontId="1" type="noConversion"/>
  </si>
  <si>
    <t>[지원][글로벌] : 전력일지-태양광 참고 위치. 새위치로 변경</t>
  </si>
  <si>
    <t>[지원][실험] : GHP 가동시간 검침(지원동 드라이버 필요). 종합업무일지기록. 검침표기록</t>
  </si>
  <si>
    <t>[글로벌] : 주간업무 보고 작성</t>
    <phoneticPr fontId="1" type="noConversion"/>
  </si>
  <si>
    <t>[실험동] : 발전기 시험 가동</t>
    <phoneticPr fontId="1" type="noConversion"/>
  </si>
  <si>
    <t>[글로벌] : 발전기 시험 가동</t>
    <phoneticPr fontId="1" type="noConversion"/>
  </si>
  <si>
    <t>[지원동] : 발전기 시험 가동</t>
    <phoneticPr fontId="1" type="noConversion"/>
  </si>
  <si>
    <r>
      <t xml:space="preserve">* 빨간색 부분만 편집, "말일"은 기존 양식 참고, </t>
    </r>
    <r>
      <rPr>
        <b/>
        <sz val="11"/>
        <color rgb="FFFF0000"/>
        <rFont val="맑은 고딕"/>
        <family val="3"/>
        <charset val="129"/>
        <scheme val="minor"/>
      </rPr>
      <t>내용에 "," 콤마 사용금지, 글씨 짤림</t>
    </r>
    <r>
      <rPr>
        <sz val="11"/>
        <color theme="1"/>
        <rFont val="맑은 고딕"/>
        <family val="2"/>
        <charset val="129"/>
        <scheme val="minor"/>
      </rPr>
      <t xml:space="preserve">   , * 스크립트에서 "작업일", "작업요일" 을 보고, "작업내용" 을 가져가는 방식임</t>
    </r>
    <phoneticPr fontId="1" type="noConversion"/>
  </si>
  <si>
    <t>[글로벌] : 전기실 &amp; 기계실 청소</t>
  </si>
  <si>
    <t>[실험동] : 전기실 &amp; 기계실 청소</t>
  </si>
  <si>
    <t>비고1</t>
    <phoneticPr fontId="1" type="noConversion"/>
  </si>
  <si>
    <t>비고2</t>
    <phoneticPr fontId="1" type="noConversion"/>
  </si>
  <si>
    <t>입력_월</t>
    <phoneticPr fontId="1" type="noConversion"/>
  </si>
  <si>
    <t>입력_일</t>
    <phoneticPr fontId="1" type="noConversion"/>
  </si>
  <si>
    <t>추출-'입력-월' 의 말일날짜</t>
    <phoneticPr fontId="1" type="noConversion"/>
  </si>
  <si>
    <t>고정-작업내용</t>
    <phoneticPr fontId="1" type="noConversion"/>
  </si>
  <si>
    <t>고정-작업일</t>
    <phoneticPr fontId="1" type="noConversion"/>
  </si>
  <si>
    <t>고정-작업요일</t>
    <phoneticPr fontId="1" type="noConversion"/>
  </si>
  <si>
    <t>날짜+7 해서, 매주 토요일 날짜 계산</t>
    <phoneticPr fontId="1" type="noConversion"/>
  </si>
  <si>
    <t>날짜+7 해서, 매주 일요일 날짜 계산</t>
    <phoneticPr fontId="1" type="noConversion"/>
  </si>
  <si>
    <t>추출-요일 계산</t>
    <phoneticPr fontId="1" type="noConversion"/>
  </si>
  <si>
    <t>[글로벌][지원] : ESS 스케줄 야간 재시작. 스케쥴 정문 옥상 문 등 그리드 닫기</t>
    <phoneticPr fontId="1" type="noConversion"/>
  </si>
  <si>
    <t>[지원] : 지원동 전기실 "글로벌 메인 전력계" 검침 사진찍어 공유. 지원동 메인계량기. 열린동 ESS 메인계량기 4~15 까지 검침값 "종합업무일지" 기록. ** 년간 누적값 기록 **</t>
    <phoneticPr fontId="1" type="noConversion"/>
  </si>
  <si>
    <t>[지원] : 지원동 전기실 "글로벌 메인 전력계" 검침 사진찍어 공유. 지원동 메인계량기. 열린동 ESS 메인계량기 4~15 까지 검침값 "종합업무일지" 기록</t>
    <phoneticPr fontId="1" type="noConversion"/>
  </si>
  <si>
    <t>[지원] : 검침일지-전기 부문. 아래 "일 사용량" 새로 시작</t>
    <phoneticPr fontId="1" type="noConversion"/>
  </si>
  <si>
    <t>[지원] : 검침일지-전기 부문. 아래 "일 사용량" 새로 시작</t>
    <phoneticPr fontId="1" type="noConversion"/>
  </si>
  <si>
    <t>[지원] : 검침일지-가스 부문. 아래 "일 사용량" 새로 시작</t>
    <phoneticPr fontId="1" type="noConversion"/>
  </si>
  <si>
    <t>[지원] : 검침일지-수도 부문. 아래 "일 사용량" 새로 시작</t>
    <phoneticPr fontId="1" type="noConversion"/>
  </si>
  <si>
    <t>[지원][글로벌] : 전력일지-오른쪽 월간, 년간 기준 값. 7일자 일지 지침(8일00시값) 으로 업데이트</t>
    <phoneticPr fontId="1" type="noConversion"/>
  </si>
  <si>
    <t>[지원][글로벌] : 전력일지-오른쪽 월간 기준 값. 7일자 일지 지침(8일00시값) 으로 업데이트</t>
    <phoneticPr fontId="1" type="noConversion"/>
  </si>
  <si>
    <t>[직접입력] 공휴일 마지막 날</t>
    <phoneticPr fontId="1" type="noConversion"/>
  </si>
  <si>
    <t>[직접입력] 공휴일 시작 전 날</t>
    <phoneticPr fontId="1" type="noConversion"/>
  </si>
  <si>
    <t>지방선거</t>
    <phoneticPr fontId="1" type="noConversion"/>
  </si>
  <si>
    <t>현충일</t>
    <phoneticPr fontId="1" type="noConversion"/>
  </si>
  <si>
    <t>제헌절</t>
    <phoneticPr fontId="1" type="noConversion"/>
  </si>
  <si>
    <t>제헌절</t>
    <phoneticPr fontId="1" type="noConversion"/>
  </si>
  <si>
    <t>광복절</t>
    <phoneticPr fontId="1" type="noConversion"/>
  </si>
  <si>
    <t>추석</t>
    <phoneticPr fontId="1" type="noConversion"/>
  </si>
  <si>
    <t>개천절</t>
    <phoneticPr fontId="1" type="noConversion"/>
  </si>
  <si>
    <t>한글날</t>
    <phoneticPr fontId="1" type="noConversion"/>
  </si>
  <si>
    <t>한글날</t>
    <phoneticPr fontId="1" type="noConversion"/>
  </si>
  <si>
    <t>성탄절</t>
    <phoneticPr fontId="1" type="noConversion"/>
  </si>
  <si>
    <t>[열린동] : 전기실 &amp; 기계실 청소</t>
    <phoneticPr fontId="1" type="noConversion"/>
  </si>
  <si>
    <t>[지원동] : 전기실 &amp; 기계실 청소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</si>
</sst>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m\/dd\(aaa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0" fillId="8" borderId="1" xfId="0" applyFill="1" applyBorder="1">
      <alignment vertical="center"/>
    </xf>
    <xf numFmtId="14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76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>
      <alignment vertical="center"/>
    </xf>
    <xf numFmtId="14" fontId="0" fillId="9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176" fontId="0" fillId="10" borderId="1" xfId="0" applyNumberFormat="1" applyFill="1" applyBorder="1">
      <alignment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FF"/>
      <color rgb="FFC0C0C0"/>
      <color rgb="FFB2B2B2"/>
      <color rgb="FFFF99FF"/>
      <color rgb="FF3399FF"/>
      <color rgb="FF0066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357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6.5" x14ac:dyDescent="0.3"/>
  <cols>
    <col min="1" max="1" width="99.625" style="2" customWidth="1"/>
    <col min="2" max="2" width="11.125" style="2" bestFit="1" customWidth="1"/>
    <col min="3" max="3" width="7.75" style="3" customWidth="1"/>
    <col min="4" max="4" width="13.125" style="2" customWidth="1"/>
    <col min="5" max="5" width="13.125" style="3" bestFit="1" customWidth="1"/>
    <col min="6" max="6" width="12.375" style="3" bestFit="1" customWidth="1"/>
    <col min="7" max="7" width="14.625" style="2" bestFit="1" customWidth="1"/>
    <col min="8" max="8" width="20.75" style="2" customWidth="1"/>
    <col min="9" max="9" width="15.5" style="2" customWidth="1"/>
    <col min="10" max="16384" width="9" style="2"/>
  </cols>
  <sheetData>
    <row r="1" spans="1:12" x14ac:dyDescent="0.3">
      <c r="A1" s="1" t="s">
        <v>1</v>
      </c>
      <c r="H1" s="3"/>
      <c r="I1" s="3"/>
    </row>
    <row r="2" spans="1:12" x14ac:dyDescent="0.3">
      <c r="A2" s="2" t="s">
        <v>0</v>
      </c>
      <c r="B2" s="3">
        <v>2026</v>
      </c>
      <c r="H2" s="3"/>
      <c r="I2" s="3"/>
    </row>
    <row r="3" spans="1:12" x14ac:dyDescent="0.3">
      <c r="A3" s="2" t="s">
        <v>20</v>
      </c>
      <c r="H3" s="3"/>
      <c r="I3" s="3"/>
    </row>
    <row r="4" spans="1:12" s="15" customFormat="1" ht="69" customHeight="1" x14ac:dyDescent="0.3">
      <c r="A4" s="13" t="s">
        <v>28</v>
      </c>
      <c r="B4" s="13" t="s">
        <v>29</v>
      </c>
      <c r="C4" s="13" t="s">
        <v>30</v>
      </c>
      <c r="D4" s="25" t="s">
        <v>25</v>
      </c>
      <c r="E4" s="25" t="s">
        <v>26</v>
      </c>
      <c r="F4" s="15" t="s">
        <v>27</v>
      </c>
      <c r="G4" s="15" t="s">
        <v>33</v>
      </c>
      <c r="H4" s="15" t="s">
        <v>23</v>
      </c>
      <c r="I4" s="15" t="s">
        <v>24</v>
      </c>
    </row>
    <row r="5" spans="1:12" s="4" customFormat="1" x14ac:dyDescent="0.3">
      <c r="A5" s="4" t="s">
        <v>14</v>
      </c>
      <c r="B5" s="4" t="str">
        <f t="shared" ref="B5:B48" si="0">TEXT($B$2&amp;TEXT(D5,"00")&amp;TEXT(E5,"00"),"0000-00-00")</f>
        <v>2026-01-01</v>
      </c>
      <c r="C5" s="5"/>
      <c r="D5" s="4">
        <v>1</v>
      </c>
      <c r="E5" s="5">
        <v>1</v>
      </c>
      <c r="F5" s="5"/>
      <c r="L5" s="6"/>
    </row>
    <row r="6" spans="1:12" s="4" customFormat="1" x14ac:dyDescent="0.3">
      <c r="A6" s="4" t="s">
        <v>14</v>
      </c>
      <c r="B6" s="4" t="str">
        <f t="shared" si="0"/>
        <v>2026-02-01</v>
      </c>
      <c r="C6" s="5"/>
      <c r="D6" s="4">
        <v>2</v>
      </c>
      <c r="E6" s="5">
        <v>1</v>
      </c>
      <c r="F6" s="5"/>
    </row>
    <row r="7" spans="1:12" s="4" customFormat="1" x14ac:dyDescent="0.3">
      <c r="A7" s="4" t="s">
        <v>14</v>
      </c>
      <c r="B7" s="4" t="str">
        <f t="shared" si="0"/>
        <v>2026-03-01</v>
      </c>
      <c r="C7" s="5"/>
      <c r="D7" s="4">
        <v>3</v>
      </c>
      <c r="E7" s="5">
        <v>1</v>
      </c>
      <c r="F7" s="5"/>
    </row>
    <row r="8" spans="1:12" s="4" customFormat="1" x14ac:dyDescent="0.3">
      <c r="A8" s="4" t="s">
        <v>14</v>
      </c>
      <c r="B8" s="4" t="str">
        <f t="shared" si="0"/>
        <v>2026-04-01</v>
      </c>
      <c r="C8" s="5"/>
      <c r="D8" s="4">
        <v>4</v>
      </c>
      <c r="E8" s="5">
        <v>1</v>
      </c>
      <c r="F8" s="5"/>
    </row>
    <row r="9" spans="1:12" s="4" customFormat="1" x14ac:dyDescent="0.3">
      <c r="A9" s="4" t="s">
        <v>14</v>
      </c>
      <c r="B9" s="4" t="str">
        <f t="shared" si="0"/>
        <v>2026-05-01</v>
      </c>
      <c r="C9" s="5"/>
      <c r="D9" s="4">
        <v>5</v>
      </c>
      <c r="E9" s="5">
        <v>1</v>
      </c>
      <c r="F9" s="5"/>
    </row>
    <row r="10" spans="1:12" s="4" customFormat="1" x14ac:dyDescent="0.3">
      <c r="A10" s="4" t="s">
        <v>14</v>
      </c>
      <c r="B10" s="4" t="str">
        <f t="shared" si="0"/>
        <v>2026-06-01</v>
      </c>
      <c r="C10" s="5"/>
      <c r="D10" s="4">
        <v>6</v>
      </c>
      <c r="E10" s="5">
        <v>1</v>
      </c>
      <c r="F10" s="5"/>
    </row>
    <row r="11" spans="1:12" s="4" customFormat="1" x14ac:dyDescent="0.3">
      <c r="A11" s="4" t="s">
        <v>14</v>
      </c>
      <c r="B11" s="4" t="str">
        <f t="shared" si="0"/>
        <v>2026-07-01</v>
      </c>
      <c r="C11" s="5"/>
      <c r="D11" s="4">
        <v>7</v>
      </c>
      <c r="E11" s="5">
        <v>1</v>
      </c>
      <c r="F11" s="5"/>
    </row>
    <row r="12" spans="1:12" s="4" customFormat="1" x14ac:dyDescent="0.3">
      <c r="A12" s="4" t="s">
        <v>14</v>
      </c>
      <c r="B12" s="4" t="str">
        <f t="shared" si="0"/>
        <v>2026-08-01</v>
      </c>
      <c r="C12" s="5"/>
      <c r="D12" s="4">
        <v>8</v>
      </c>
      <c r="E12" s="5">
        <v>1</v>
      </c>
      <c r="F12" s="5"/>
    </row>
    <row r="13" spans="1:12" s="4" customFormat="1" x14ac:dyDescent="0.3">
      <c r="A13" s="4" t="s">
        <v>14</v>
      </c>
      <c r="B13" s="4" t="str">
        <f t="shared" si="0"/>
        <v>2026-09-01</v>
      </c>
      <c r="C13" s="5"/>
      <c r="D13" s="4">
        <v>9</v>
      </c>
      <c r="E13" s="5">
        <v>1</v>
      </c>
      <c r="F13" s="5"/>
    </row>
    <row r="14" spans="1:12" s="4" customFormat="1" x14ac:dyDescent="0.3">
      <c r="A14" s="4" t="s">
        <v>14</v>
      </c>
      <c r="B14" s="4" t="str">
        <f t="shared" si="0"/>
        <v>2026-10-01</v>
      </c>
      <c r="C14" s="5"/>
      <c r="D14" s="4">
        <v>10</v>
      </c>
      <c r="E14" s="5">
        <v>1</v>
      </c>
      <c r="F14" s="5"/>
    </row>
    <row r="15" spans="1:12" s="4" customFormat="1" x14ac:dyDescent="0.3">
      <c r="A15" s="4" t="s">
        <v>14</v>
      </c>
      <c r="B15" s="4" t="str">
        <f t="shared" si="0"/>
        <v>2026-11-01</v>
      </c>
      <c r="C15" s="5"/>
      <c r="D15" s="4">
        <v>11</v>
      </c>
      <c r="E15" s="5">
        <v>1</v>
      </c>
      <c r="F15" s="5"/>
    </row>
    <row r="16" spans="1:12" s="4" customFormat="1" x14ac:dyDescent="0.3">
      <c r="A16" s="4" t="s">
        <v>14</v>
      </c>
      <c r="B16" s="4" t="str">
        <f t="shared" si="0"/>
        <v>2026-12-01</v>
      </c>
      <c r="C16" s="5"/>
      <c r="D16" s="4">
        <v>12</v>
      </c>
      <c r="E16" s="5">
        <v>1</v>
      </c>
      <c r="F16" s="5"/>
    </row>
    <row r="17" spans="1:6" s="7" customFormat="1" ht="43.5" customHeight="1" x14ac:dyDescent="0.3">
      <c r="A17" s="7" t="s">
        <v>41</v>
      </c>
      <c r="B17" s="7" t="str">
        <f t="shared" si="0"/>
        <v>2026-01-08</v>
      </c>
      <c r="C17" s="8"/>
      <c r="D17" s="7">
        <v>1</v>
      </c>
      <c r="E17" s="8">
        <v>8</v>
      </c>
      <c r="F17" s="8"/>
    </row>
    <row r="18" spans="1:6" s="7" customFormat="1" ht="26.25" customHeight="1" x14ac:dyDescent="0.3">
      <c r="A18" s="7" t="s">
        <v>42</v>
      </c>
      <c r="B18" s="7" t="str">
        <f t="shared" si="0"/>
        <v>2026-02-08</v>
      </c>
      <c r="C18" s="8"/>
      <c r="D18" s="7">
        <v>2</v>
      </c>
      <c r="E18" s="8">
        <v>8</v>
      </c>
      <c r="F18" s="8"/>
    </row>
    <row r="19" spans="1:6" s="7" customFormat="1" ht="26.25" customHeight="1" x14ac:dyDescent="0.3">
      <c r="A19" s="7" t="s">
        <v>42</v>
      </c>
      <c r="B19" s="7" t="str">
        <f t="shared" si="0"/>
        <v>2026-03-08</v>
      </c>
      <c r="C19" s="8"/>
      <c r="D19" s="7">
        <v>3</v>
      </c>
      <c r="E19" s="8">
        <v>8</v>
      </c>
      <c r="F19" s="8"/>
    </row>
    <row r="20" spans="1:6" s="7" customFormat="1" ht="26.25" customHeight="1" x14ac:dyDescent="0.3">
      <c r="A20" s="7" t="s">
        <v>42</v>
      </c>
      <c r="B20" s="7" t="str">
        <f t="shared" si="0"/>
        <v>2026-04-08</v>
      </c>
      <c r="C20" s="8"/>
      <c r="D20" s="7">
        <v>4</v>
      </c>
      <c r="E20" s="8">
        <v>8</v>
      </c>
      <c r="F20" s="8"/>
    </row>
    <row r="21" spans="1:6" s="7" customFormat="1" ht="26.25" customHeight="1" x14ac:dyDescent="0.3">
      <c r="A21" s="7" t="s">
        <v>42</v>
      </c>
      <c r="B21" s="7" t="str">
        <f t="shared" si="0"/>
        <v>2026-05-08</v>
      </c>
      <c r="C21" s="8"/>
      <c r="D21" s="7">
        <v>5</v>
      </c>
      <c r="E21" s="8">
        <v>8</v>
      </c>
      <c r="F21" s="8"/>
    </row>
    <row r="22" spans="1:6" s="7" customFormat="1" ht="26.25" customHeight="1" x14ac:dyDescent="0.3">
      <c r="A22" s="7" t="s">
        <v>42</v>
      </c>
      <c r="B22" s="7" t="str">
        <f t="shared" si="0"/>
        <v>2026-06-08</v>
      </c>
      <c r="C22" s="8"/>
      <c r="D22" s="7">
        <v>6</v>
      </c>
      <c r="E22" s="8">
        <v>8</v>
      </c>
      <c r="F22" s="8"/>
    </row>
    <row r="23" spans="1:6" s="7" customFormat="1" ht="26.25" customHeight="1" x14ac:dyDescent="0.3">
      <c r="A23" s="7" t="s">
        <v>42</v>
      </c>
      <c r="B23" s="7" t="str">
        <f t="shared" si="0"/>
        <v>2026-07-08</v>
      </c>
      <c r="C23" s="8"/>
      <c r="D23" s="7">
        <v>7</v>
      </c>
      <c r="E23" s="8">
        <v>8</v>
      </c>
      <c r="F23" s="8"/>
    </row>
    <row r="24" spans="1:6" s="7" customFormat="1" ht="26.25" customHeight="1" x14ac:dyDescent="0.3">
      <c r="A24" s="7" t="s">
        <v>42</v>
      </c>
      <c r="B24" s="7" t="str">
        <f t="shared" si="0"/>
        <v>2026-08-08</v>
      </c>
      <c r="C24" s="8"/>
      <c r="D24" s="7">
        <v>8</v>
      </c>
      <c r="E24" s="8">
        <v>8</v>
      </c>
      <c r="F24" s="8"/>
    </row>
    <row r="25" spans="1:6" s="7" customFormat="1" ht="26.25" customHeight="1" x14ac:dyDescent="0.3">
      <c r="A25" s="7" t="s">
        <v>42</v>
      </c>
      <c r="B25" s="7" t="str">
        <f t="shared" si="0"/>
        <v>2026-09-08</v>
      </c>
      <c r="C25" s="8"/>
      <c r="D25" s="7">
        <v>9</v>
      </c>
      <c r="E25" s="8">
        <v>8</v>
      </c>
      <c r="F25" s="8"/>
    </row>
    <row r="26" spans="1:6" s="7" customFormat="1" ht="26.25" customHeight="1" x14ac:dyDescent="0.3">
      <c r="A26" s="7" t="s">
        <v>42</v>
      </c>
      <c r="B26" s="7" t="str">
        <f t="shared" si="0"/>
        <v>2026-10-08</v>
      </c>
      <c r="C26" s="8"/>
      <c r="D26" s="7">
        <v>10</v>
      </c>
      <c r="E26" s="8">
        <v>8</v>
      </c>
      <c r="F26" s="8"/>
    </row>
    <row r="27" spans="1:6" s="7" customFormat="1" ht="26.25" customHeight="1" x14ac:dyDescent="0.3">
      <c r="A27" s="7" t="s">
        <v>42</v>
      </c>
      <c r="B27" s="7" t="str">
        <f t="shared" si="0"/>
        <v>2026-11-08</v>
      </c>
      <c r="C27" s="8"/>
      <c r="D27" s="7">
        <v>11</v>
      </c>
      <c r="E27" s="8">
        <v>8</v>
      </c>
      <c r="F27" s="8"/>
    </row>
    <row r="28" spans="1:6" s="7" customFormat="1" ht="26.25" customHeight="1" x14ac:dyDescent="0.3">
      <c r="A28" s="7" t="s">
        <v>42</v>
      </c>
      <c r="B28" s="7" t="str">
        <f t="shared" si="0"/>
        <v>2026-12-08</v>
      </c>
      <c r="C28" s="8"/>
      <c r="D28" s="7">
        <v>12</v>
      </c>
      <c r="E28" s="8">
        <v>8</v>
      </c>
      <c r="F28" s="8"/>
    </row>
    <row r="29" spans="1:6" s="29" customFormat="1" ht="43.5" customHeight="1" x14ac:dyDescent="0.3">
      <c r="A29" s="29" t="s">
        <v>37</v>
      </c>
      <c r="B29" s="29" t="str">
        <f t="shared" ref="B29:B40" si="1">TEXT($B$2&amp;TEXT(D29,"00")&amp;TEXT(E29,"00"),"0000-00-00")</f>
        <v>2026-01-08</v>
      </c>
      <c r="C29" s="30"/>
      <c r="D29" s="29">
        <v>1</v>
      </c>
      <c r="E29" s="30">
        <v>8</v>
      </c>
      <c r="F29" s="30"/>
    </row>
    <row r="30" spans="1:6" s="29" customFormat="1" ht="26.25" customHeight="1" x14ac:dyDescent="0.3">
      <c r="A30" s="29" t="s">
        <v>37</v>
      </c>
      <c r="B30" s="29" t="str">
        <f t="shared" si="1"/>
        <v>2026-02-08</v>
      </c>
      <c r="C30" s="30"/>
      <c r="D30" s="29">
        <v>2</v>
      </c>
      <c r="E30" s="30">
        <v>8</v>
      </c>
      <c r="F30" s="30"/>
    </row>
    <row r="31" spans="1:6" s="29" customFormat="1" ht="26.25" customHeight="1" x14ac:dyDescent="0.3">
      <c r="A31" s="29" t="s">
        <v>37</v>
      </c>
      <c r="B31" s="29" t="str">
        <f>TEXT($B$2&amp;TEXT(D31,"00")&amp;TEXT(E31,"00"),"0000-00-00")</f>
        <v>2026-03-08</v>
      </c>
      <c r="C31" s="30"/>
      <c r="D31" s="29">
        <v>3</v>
      </c>
      <c r="E31" s="30">
        <v>8</v>
      </c>
      <c r="F31" s="30"/>
    </row>
    <row r="32" spans="1:6" s="29" customFormat="1" ht="26.25" customHeight="1" x14ac:dyDescent="0.3">
      <c r="A32" s="29" t="s">
        <v>37</v>
      </c>
      <c r="B32" s="29" t="str">
        <f t="shared" si="1"/>
        <v>2026-04-08</v>
      </c>
      <c r="C32" s="30"/>
      <c r="D32" s="29">
        <v>4</v>
      </c>
      <c r="E32" s="30">
        <v>8</v>
      </c>
      <c r="F32" s="30"/>
    </row>
    <row r="33" spans="1:6" s="29" customFormat="1" ht="26.25" customHeight="1" x14ac:dyDescent="0.3">
      <c r="A33" s="29" t="s">
        <v>37</v>
      </c>
      <c r="B33" s="29" t="str">
        <f t="shared" si="1"/>
        <v>2026-05-08</v>
      </c>
      <c r="C33" s="30"/>
      <c r="D33" s="29">
        <v>5</v>
      </c>
      <c r="E33" s="30">
        <v>8</v>
      </c>
      <c r="F33" s="30"/>
    </row>
    <row r="34" spans="1:6" s="29" customFormat="1" ht="26.25" customHeight="1" x14ac:dyDescent="0.3">
      <c r="A34" s="29" t="s">
        <v>38</v>
      </c>
      <c r="B34" s="29" t="str">
        <f t="shared" si="1"/>
        <v>2026-06-08</v>
      </c>
      <c r="C34" s="30"/>
      <c r="D34" s="29">
        <v>6</v>
      </c>
      <c r="E34" s="30">
        <v>8</v>
      </c>
      <c r="F34" s="30"/>
    </row>
    <row r="35" spans="1:6" s="29" customFormat="1" ht="26.25" customHeight="1" x14ac:dyDescent="0.3">
      <c r="A35" s="29" t="s">
        <v>37</v>
      </c>
      <c r="B35" s="29" t="str">
        <f t="shared" si="1"/>
        <v>2026-07-08</v>
      </c>
      <c r="C35" s="30"/>
      <c r="D35" s="29">
        <v>7</v>
      </c>
      <c r="E35" s="30">
        <v>8</v>
      </c>
      <c r="F35" s="30"/>
    </row>
    <row r="36" spans="1:6" s="29" customFormat="1" ht="26.25" customHeight="1" x14ac:dyDescent="0.3">
      <c r="A36" s="29" t="s">
        <v>37</v>
      </c>
      <c r="B36" s="29" t="str">
        <f t="shared" si="1"/>
        <v>2026-08-08</v>
      </c>
      <c r="C36" s="30"/>
      <c r="D36" s="29">
        <v>8</v>
      </c>
      <c r="E36" s="30">
        <v>8</v>
      </c>
      <c r="F36" s="30"/>
    </row>
    <row r="37" spans="1:6" s="29" customFormat="1" ht="26.25" customHeight="1" x14ac:dyDescent="0.3">
      <c r="A37" s="29" t="s">
        <v>37</v>
      </c>
      <c r="B37" s="29" t="str">
        <f t="shared" si="1"/>
        <v>2026-09-08</v>
      </c>
      <c r="C37" s="30"/>
      <c r="D37" s="29">
        <v>9</v>
      </c>
      <c r="E37" s="30">
        <v>8</v>
      </c>
      <c r="F37" s="30"/>
    </row>
    <row r="38" spans="1:6" s="29" customFormat="1" ht="26.25" customHeight="1" x14ac:dyDescent="0.3">
      <c r="A38" s="29" t="s">
        <v>37</v>
      </c>
      <c r="B38" s="29" t="str">
        <f t="shared" si="1"/>
        <v>2026-10-08</v>
      </c>
      <c r="C38" s="30"/>
      <c r="D38" s="29">
        <v>10</v>
      </c>
      <c r="E38" s="30">
        <v>8</v>
      </c>
      <c r="F38" s="30"/>
    </row>
    <row r="39" spans="1:6" s="29" customFormat="1" ht="26.25" customHeight="1" x14ac:dyDescent="0.3">
      <c r="A39" s="29" t="s">
        <v>37</v>
      </c>
      <c r="B39" s="29" t="str">
        <f t="shared" si="1"/>
        <v>2026-11-08</v>
      </c>
      <c r="C39" s="30"/>
      <c r="D39" s="29">
        <v>11</v>
      </c>
      <c r="E39" s="30">
        <v>8</v>
      </c>
      <c r="F39" s="30"/>
    </row>
    <row r="40" spans="1:6" s="29" customFormat="1" ht="26.25" customHeight="1" x14ac:dyDescent="0.3">
      <c r="A40" s="29" t="s">
        <v>37</v>
      </c>
      <c r="B40" s="29" t="str">
        <f t="shared" si="1"/>
        <v>2026-12-08</v>
      </c>
      <c r="C40" s="30"/>
      <c r="D40" s="29">
        <v>12</v>
      </c>
      <c r="E40" s="30">
        <v>8</v>
      </c>
      <c r="F40" s="30"/>
    </row>
    <row r="41" spans="1:6" s="9" customFormat="1" ht="28.5" customHeight="1" x14ac:dyDescent="0.3">
      <c r="A41" s="14" t="s">
        <v>35</v>
      </c>
      <c r="B41" s="9" t="str">
        <f t="shared" si="0"/>
        <v>2026-01-07</v>
      </c>
      <c r="C41" s="10"/>
      <c r="D41" s="9">
        <v>1</v>
      </c>
      <c r="E41" s="10">
        <v>7</v>
      </c>
      <c r="F41" s="10" t="str">
        <f t="shared" ref="F41:F52" si="2">TEXT(EOMONTH(TEXT($B$2&amp;TEXT(D41,"00")&amp;"01","0000-00-00"),0),"dd")</f>
        <v>31</v>
      </c>
    </row>
    <row r="42" spans="1:6" s="9" customFormat="1" ht="28.5" customHeight="1" x14ac:dyDescent="0.3">
      <c r="A42" s="14" t="s">
        <v>36</v>
      </c>
      <c r="B42" s="9" t="str">
        <f t="shared" si="0"/>
        <v>2026-02-07</v>
      </c>
      <c r="C42" s="10"/>
      <c r="D42" s="9">
        <v>2</v>
      </c>
      <c r="E42" s="10">
        <v>7</v>
      </c>
      <c r="F42" s="10" t="str">
        <f t="shared" si="2"/>
        <v>28</v>
      </c>
    </row>
    <row r="43" spans="1:6" s="9" customFormat="1" ht="28.5" customHeight="1" x14ac:dyDescent="0.3">
      <c r="A43" s="14" t="s">
        <v>36</v>
      </c>
      <c r="B43" s="9" t="str">
        <f t="shared" si="0"/>
        <v>2026-03-07</v>
      </c>
      <c r="C43" s="10"/>
      <c r="D43" s="9">
        <v>3</v>
      </c>
      <c r="E43" s="10">
        <v>7</v>
      </c>
      <c r="F43" s="10" t="str">
        <f t="shared" si="2"/>
        <v>31</v>
      </c>
    </row>
    <row r="44" spans="1:6" s="9" customFormat="1" ht="28.5" customHeight="1" x14ac:dyDescent="0.3">
      <c r="A44" s="14" t="s">
        <v>36</v>
      </c>
      <c r="B44" s="9" t="str">
        <f t="shared" si="0"/>
        <v>2026-04-07</v>
      </c>
      <c r="C44" s="10"/>
      <c r="D44" s="9">
        <v>4</v>
      </c>
      <c r="E44" s="10">
        <v>7</v>
      </c>
      <c r="F44" s="10" t="str">
        <f t="shared" si="2"/>
        <v>30</v>
      </c>
    </row>
    <row r="45" spans="1:6" s="9" customFormat="1" ht="28.5" customHeight="1" x14ac:dyDescent="0.3">
      <c r="A45" s="14" t="s">
        <v>36</v>
      </c>
      <c r="B45" s="9" t="str">
        <f t="shared" si="0"/>
        <v>2026-05-07</v>
      </c>
      <c r="C45" s="10"/>
      <c r="D45" s="9">
        <v>5</v>
      </c>
      <c r="E45" s="10">
        <v>7</v>
      </c>
      <c r="F45" s="10" t="str">
        <f t="shared" si="2"/>
        <v>31</v>
      </c>
    </row>
    <row r="46" spans="1:6" s="9" customFormat="1" ht="28.5" customHeight="1" x14ac:dyDescent="0.3">
      <c r="A46" s="14" t="s">
        <v>36</v>
      </c>
      <c r="B46" s="9" t="str">
        <f t="shared" si="0"/>
        <v>2026-06-07</v>
      </c>
      <c r="C46" s="10"/>
      <c r="D46" s="9">
        <v>6</v>
      </c>
      <c r="E46" s="10">
        <v>7</v>
      </c>
      <c r="F46" s="10" t="str">
        <f t="shared" si="2"/>
        <v>30</v>
      </c>
    </row>
    <row r="47" spans="1:6" s="9" customFormat="1" ht="28.5" customHeight="1" x14ac:dyDescent="0.3">
      <c r="A47" s="14" t="s">
        <v>36</v>
      </c>
      <c r="B47" s="9" t="str">
        <f t="shared" si="0"/>
        <v>2026-07-07</v>
      </c>
      <c r="C47" s="10"/>
      <c r="D47" s="9">
        <v>7</v>
      </c>
      <c r="E47" s="10">
        <v>7</v>
      </c>
      <c r="F47" s="10" t="str">
        <f t="shared" si="2"/>
        <v>31</v>
      </c>
    </row>
    <row r="48" spans="1:6" s="9" customFormat="1" ht="28.5" customHeight="1" x14ac:dyDescent="0.3">
      <c r="A48" s="14" t="s">
        <v>36</v>
      </c>
      <c r="B48" s="9" t="str">
        <f t="shared" si="0"/>
        <v>2026-08-07</v>
      </c>
      <c r="C48" s="10"/>
      <c r="D48" s="9">
        <v>8</v>
      </c>
      <c r="E48" s="10">
        <v>7</v>
      </c>
      <c r="F48" s="10" t="str">
        <f t="shared" si="2"/>
        <v>31</v>
      </c>
    </row>
    <row r="49" spans="1:6" s="9" customFormat="1" ht="28.5" customHeight="1" x14ac:dyDescent="0.3">
      <c r="A49" s="14" t="s">
        <v>36</v>
      </c>
      <c r="B49" s="9" t="str">
        <f t="shared" ref="B49:B80" si="3">TEXT($B$2&amp;TEXT(D49,"00")&amp;TEXT(E49,"00"),"0000-00-00")</f>
        <v>2026-09-07</v>
      </c>
      <c r="C49" s="10"/>
      <c r="D49" s="9">
        <v>9</v>
      </c>
      <c r="E49" s="10">
        <v>7</v>
      </c>
      <c r="F49" s="10" t="str">
        <f t="shared" si="2"/>
        <v>30</v>
      </c>
    </row>
    <row r="50" spans="1:6" s="9" customFormat="1" ht="28.5" customHeight="1" x14ac:dyDescent="0.3">
      <c r="A50" s="14" t="s">
        <v>36</v>
      </c>
      <c r="B50" s="9" t="str">
        <f t="shared" si="3"/>
        <v>2026-10-07</v>
      </c>
      <c r="C50" s="10"/>
      <c r="D50" s="9">
        <v>10</v>
      </c>
      <c r="E50" s="10">
        <v>7</v>
      </c>
      <c r="F50" s="10" t="str">
        <f t="shared" si="2"/>
        <v>31</v>
      </c>
    </row>
    <row r="51" spans="1:6" s="9" customFormat="1" ht="28.5" customHeight="1" x14ac:dyDescent="0.3">
      <c r="A51" s="14" t="s">
        <v>36</v>
      </c>
      <c r="B51" s="9" t="str">
        <f t="shared" si="3"/>
        <v>2026-11-07</v>
      </c>
      <c r="C51" s="10"/>
      <c r="D51" s="9">
        <v>11</v>
      </c>
      <c r="E51" s="10">
        <v>7</v>
      </c>
      <c r="F51" s="10" t="str">
        <f t="shared" si="2"/>
        <v>30</v>
      </c>
    </row>
    <row r="52" spans="1:6" s="9" customFormat="1" ht="28.5" customHeight="1" x14ac:dyDescent="0.3">
      <c r="A52" s="14" t="s">
        <v>36</v>
      </c>
      <c r="B52" s="9" t="str">
        <f t="shared" si="3"/>
        <v>2026-12-07</v>
      </c>
      <c r="C52" s="10"/>
      <c r="D52" s="9">
        <v>12</v>
      </c>
      <c r="E52" s="10">
        <v>7</v>
      </c>
      <c r="F52" s="10" t="str">
        <f t="shared" si="2"/>
        <v>31</v>
      </c>
    </row>
    <row r="53" spans="1:6" s="7" customFormat="1" x14ac:dyDescent="0.3">
      <c r="A53" s="7" t="s">
        <v>39</v>
      </c>
      <c r="B53" s="7" t="str">
        <f t="shared" si="3"/>
        <v>2026-01-26</v>
      </c>
      <c r="C53" s="8"/>
      <c r="D53" s="7">
        <v>1</v>
      </c>
      <c r="E53" s="8">
        <v>26</v>
      </c>
      <c r="F53" s="8"/>
    </row>
    <row r="54" spans="1:6" s="7" customFormat="1" x14ac:dyDescent="0.3">
      <c r="A54" s="7" t="s">
        <v>39</v>
      </c>
      <c r="B54" s="7" t="str">
        <f t="shared" si="3"/>
        <v>2026-02-26</v>
      </c>
      <c r="C54" s="8"/>
      <c r="D54" s="7">
        <v>2</v>
      </c>
      <c r="E54" s="8">
        <v>26</v>
      </c>
      <c r="F54" s="8"/>
    </row>
    <row r="55" spans="1:6" s="7" customFormat="1" x14ac:dyDescent="0.3">
      <c r="A55" s="7" t="s">
        <v>39</v>
      </c>
      <c r="B55" s="7" t="str">
        <f t="shared" si="3"/>
        <v>2026-03-26</v>
      </c>
      <c r="C55" s="8"/>
      <c r="D55" s="7">
        <v>3</v>
      </c>
      <c r="E55" s="8">
        <v>26</v>
      </c>
      <c r="F55" s="8"/>
    </row>
    <row r="56" spans="1:6" s="7" customFormat="1" x14ac:dyDescent="0.3">
      <c r="A56" s="7" t="s">
        <v>39</v>
      </c>
      <c r="B56" s="7" t="str">
        <f t="shared" si="3"/>
        <v>2026-04-26</v>
      </c>
      <c r="C56" s="8"/>
      <c r="D56" s="7">
        <v>4</v>
      </c>
      <c r="E56" s="8">
        <v>26</v>
      </c>
      <c r="F56" s="8"/>
    </row>
    <row r="57" spans="1:6" s="7" customFormat="1" x14ac:dyDescent="0.3">
      <c r="A57" s="7" t="s">
        <v>39</v>
      </c>
      <c r="B57" s="7" t="str">
        <f t="shared" si="3"/>
        <v>2026-05-26</v>
      </c>
      <c r="C57" s="8"/>
      <c r="D57" s="7">
        <v>5</v>
      </c>
      <c r="E57" s="8">
        <v>26</v>
      </c>
      <c r="F57" s="8"/>
    </row>
    <row r="58" spans="1:6" s="7" customFormat="1" x14ac:dyDescent="0.3">
      <c r="A58" s="7" t="s">
        <v>39</v>
      </c>
      <c r="B58" s="7" t="str">
        <f t="shared" si="3"/>
        <v>2026-06-26</v>
      </c>
      <c r="C58" s="8"/>
      <c r="D58" s="7">
        <v>6</v>
      </c>
      <c r="E58" s="8">
        <v>26</v>
      </c>
      <c r="F58" s="8"/>
    </row>
    <row r="59" spans="1:6" s="7" customFormat="1" x14ac:dyDescent="0.3">
      <c r="A59" s="7" t="s">
        <v>39</v>
      </c>
      <c r="B59" s="7" t="str">
        <f t="shared" si="3"/>
        <v>2026-07-26</v>
      </c>
      <c r="C59" s="8"/>
      <c r="D59" s="7">
        <v>7</v>
      </c>
      <c r="E59" s="8">
        <v>26</v>
      </c>
      <c r="F59" s="8"/>
    </row>
    <row r="60" spans="1:6" s="7" customFormat="1" x14ac:dyDescent="0.3">
      <c r="A60" s="7" t="s">
        <v>39</v>
      </c>
      <c r="B60" s="7" t="str">
        <f t="shared" si="3"/>
        <v>2026-08-26</v>
      </c>
      <c r="C60" s="8"/>
      <c r="D60" s="7">
        <v>8</v>
      </c>
      <c r="E60" s="8">
        <v>26</v>
      </c>
      <c r="F60" s="8"/>
    </row>
    <row r="61" spans="1:6" s="7" customFormat="1" x14ac:dyDescent="0.3">
      <c r="A61" s="7" t="s">
        <v>39</v>
      </c>
      <c r="B61" s="7" t="str">
        <f t="shared" si="3"/>
        <v>2026-09-26</v>
      </c>
      <c r="C61" s="8"/>
      <c r="D61" s="7">
        <v>9</v>
      </c>
      <c r="E61" s="8">
        <v>26</v>
      </c>
      <c r="F61" s="8"/>
    </row>
    <row r="62" spans="1:6" s="7" customFormat="1" x14ac:dyDescent="0.3">
      <c r="A62" s="7" t="s">
        <v>39</v>
      </c>
      <c r="B62" s="7" t="str">
        <f t="shared" si="3"/>
        <v>2026-10-26</v>
      </c>
      <c r="C62" s="8"/>
      <c r="D62" s="7">
        <v>10</v>
      </c>
      <c r="E62" s="8">
        <v>26</v>
      </c>
      <c r="F62" s="8"/>
    </row>
    <row r="63" spans="1:6" s="7" customFormat="1" x14ac:dyDescent="0.3">
      <c r="A63" s="7" t="s">
        <v>39</v>
      </c>
      <c r="B63" s="7" t="str">
        <f t="shared" si="3"/>
        <v>2026-11-26</v>
      </c>
      <c r="C63" s="8"/>
      <c r="D63" s="7">
        <v>11</v>
      </c>
      <c r="E63" s="8">
        <v>26</v>
      </c>
      <c r="F63" s="8"/>
    </row>
    <row r="64" spans="1:6" s="7" customFormat="1" x14ac:dyDescent="0.3">
      <c r="A64" s="7" t="s">
        <v>39</v>
      </c>
      <c r="B64" s="7" t="str">
        <f t="shared" si="3"/>
        <v>2026-12-26</v>
      </c>
      <c r="C64" s="8"/>
      <c r="D64" s="7">
        <v>12</v>
      </c>
      <c r="E64" s="8">
        <v>26</v>
      </c>
      <c r="F64" s="8"/>
    </row>
    <row r="65" spans="1:9" s="4" customFormat="1" x14ac:dyDescent="0.3">
      <c r="A65" s="4" t="s">
        <v>40</v>
      </c>
      <c r="B65" s="4" t="str">
        <f t="shared" si="3"/>
        <v>2026-01-24</v>
      </c>
      <c r="C65" s="5"/>
      <c r="D65" s="4">
        <v>1</v>
      </c>
      <c r="E65" s="5">
        <v>24</v>
      </c>
      <c r="F65" s="5"/>
    </row>
    <row r="66" spans="1:9" s="4" customFormat="1" x14ac:dyDescent="0.3">
      <c r="A66" s="4" t="s">
        <v>40</v>
      </c>
      <c r="B66" s="4" t="str">
        <f t="shared" si="3"/>
        <v>2026-03-24</v>
      </c>
      <c r="C66" s="5"/>
      <c r="D66" s="4">
        <v>3</v>
      </c>
      <c r="E66" s="5">
        <v>24</v>
      </c>
      <c r="F66" s="5"/>
    </row>
    <row r="67" spans="1:9" s="4" customFormat="1" x14ac:dyDescent="0.3">
      <c r="A67" s="4" t="s">
        <v>40</v>
      </c>
      <c r="B67" s="4" t="str">
        <f t="shared" si="3"/>
        <v>2026-05-24</v>
      </c>
      <c r="C67" s="5"/>
      <c r="D67" s="4">
        <v>5</v>
      </c>
      <c r="E67" s="5">
        <v>24</v>
      </c>
      <c r="F67" s="5"/>
    </row>
    <row r="68" spans="1:9" s="4" customFormat="1" x14ac:dyDescent="0.3">
      <c r="A68" s="4" t="s">
        <v>40</v>
      </c>
      <c r="B68" s="4" t="str">
        <f t="shared" si="3"/>
        <v>2026-07-24</v>
      </c>
      <c r="C68" s="5"/>
      <c r="D68" s="4">
        <v>7</v>
      </c>
      <c r="E68" s="5">
        <v>24</v>
      </c>
      <c r="F68" s="5"/>
    </row>
    <row r="69" spans="1:9" s="4" customFormat="1" x14ac:dyDescent="0.3">
      <c r="A69" s="4" t="s">
        <v>40</v>
      </c>
      <c r="B69" s="4" t="str">
        <f t="shared" si="3"/>
        <v>2026-09-24</v>
      </c>
      <c r="C69" s="5"/>
      <c r="D69" s="4">
        <v>9</v>
      </c>
      <c r="E69" s="5">
        <v>24</v>
      </c>
      <c r="F69" s="5"/>
    </row>
    <row r="70" spans="1:9" s="4" customFormat="1" x14ac:dyDescent="0.3">
      <c r="A70" s="4" t="s">
        <v>40</v>
      </c>
      <c r="B70" s="4" t="str">
        <f t="shared" si="3"/>
        <v>2026-11-24</v>
      </c>
      <c r="C70" s="5"/>
      <c r="D70" s="4">
        <v>11</v>
      </c>
      <c r="E70" s="5">
        <v>24</v>
      </c>
      <c r="F70" s="5"/>
    </row>
    <row r="71" spans="1:9" s="4" customFormat="1" x14ac:dyDescent="0.3">
      <c r="A71" s="4" t="s">
        <v>40</v>
      </c>
      <c r="B71" s="4" t="str">
        <f t="shared" si="3"/>
        <v>2026-01-24</v>
      </c>
      <c r="C71" s="5"/>
      <c r="D71" s="4">
        <v>1</v>
      </c>
      <c r="E71" s="5">
        <v>24</v>
      </c>
      <c r="F71" s="5"/>
    </row>
    <row r="72" spans="1:9" s="4" customFormat="1" x14ac:dyDescent="0.3">
      <c r="A72" s="4" t="s">
        <v>40</v>
      </c>
      <c r="B72" s="4" t="str">
        <f t="shared" si="3"/>
        <v>2026-03-24</v>
      </c>
      <c r="C72" s="5"/>
      <c r="D72" s="4">
        <v>3</v>
      </c>
      <c r="E72" s="5">
        <v>24</v>
      </c>
      <c r="F72" s="5"/>
    </row>
    <row r="73" spans="1:9" s="4" customFormat="1" x14ac:dyDescent="0.3">
      <c r="A73" s="4" t="s">
        <v>40</v>
      </c>
      <c r="B73" s="4" t="str">
        <f t="shared" si="3"/>
        <v>2026-05-24</v>
      </c>
      <c r="C73" s="5"/>
      <c r="D73" s="4">
        <v>5</v>
      </c>
      <c r="E73" s="5">
        <v>24</v>
      </c>
      <c r="F73" s="5"/>
    </row>
    <row r="74" spans="1:9" s="4" customFormat="1" x14ac:dyDescent="0.3">
      <c r="A74" s="4" t="s">
        <v>40</v>
      </c>
      <c r="B74" s="4" t="str">
        <f t="shared" si="3"/>
        <v>2026-07-24</v>
      </c>
      <c r="C74" s="5"/>
      <c r="D74" s="4">
        <v>7</v>
      </c>
      <c r="E74" s="5">
        <v>24</v>
      </c>
      <c r="F74" s="5"/>
    </row>
    <row r="75" spans="1:9" s="4" customFormat="1" x14ac:dyDescent="0.3">
      <c r="A75" s="4" t="s">
        <v>40</v>
      </c>
      <c r="B75" s="4" t="str">
        <f t="shared" si="3"/>
        <v>2026-09-24</v>
      </c>
      <c r="C75" s="5"/>
      <c r="D75" s="4">
        <v>9</v>
      </c>
      <c r="E75" s="5">
        <v>24</v>
      </c>
      <c r="F75" s="5"/>
    </row>
    <row r="76" spans="1:9" s="4" customFormat="1" x14ac:dyDescent="0.3">
      <c r="A76" s="4" t="s">
        <v>40</v>
      </c>
      <c r="B76" s="4" t="str">
        <f t="shared" si="3"/>
        <v>2026-11-24</v>
      </c>
      <c r="C76" s="5"/>
      <c r="D76" s="4">
        <v>11</v>
      </c>
      <c r="E76" s="5">
        <v>24</v>
      </c>
      <c r="F76" s="5"/>
    </row>
    <row r="77" spans="1:9" s="11" customFormat="1" x14ac:dyDescent="0.3">
      <c r="A77" s="11" t="s">
        <v>15</v>
      </c>
      <c r="B77" s="11" t="str">
        <f t="shared" si="3"/>
        <v>2026-00-00</v>
      </c>
      <c r="C77" s="12">
        <v>6</v>
      </c>
      <c r="E77" s="12"/>
      <c r="F77" s="12"/>
    </row>
    <row r="78" spans="1:9" s="11" customFormat="1" x14ac:dyDescent="0.3">
      <c r="A78" s="11" t="s">
        <v>13</v>
      </c>
      <c r="B78" s="11" t="str">
        <f t="shared" si="3"/>
        <v>2026-00-00</v>
      </c>
      <c r="C78" s="12">
        <v>0</v>
      </c>
      <c r="E78" s="12"/>
      <c r="F78" s="12"/>
    </row>
    <row r="79" spans="1:9" s="11" customFormat="1" x14ac:dyDescent="0.3">
      <c r="A79" s="11" t="s">
        <v>16</v>
      </c>
      <c r="B79" s="11" t="str">
        <f t="shared" si="3"/>
        <v>2026-00-00</v>
      </c>
      <c r="C79" s="12">
        <v>0</v>
      </c>
      <c r="E79" s="12"/>
      <c r="F79" s="12"/>
    </row>
    <row r="80" spans="1:9" s="26" customFormat="1" x14ac:dyDescent="0.3">
      <c r="A80" s="26" t="s">
        <v>2</v>
      </c>
      <c r="B80" s="26" t="str">
        <f t="shared" si="3"/>
        <v>2026-12-31</v>
      </c>
      <c r="C80" s="27"/>
      <c r="D80" s="26">
        <v>12</v>
      </c>
      <c r="E80" s="27">
        <v>31</v>
      </c>
      <c r="F80" s="27"/>
      <c r="G80" s="28" t="str">
        <f>TEXT(B80,"aaa")</f>
        <v>목</v>
      </c>
      <c r="H80" s="26" t="s">
        <v>3</v>
      </c>
      <c r="I80" s="26" t="s">
        <v>44</v>
      </c>
    </row>
    <row r="81" spans="1:9" s="26" customFormat="1" x14ac:dyDescent="0.3">
      <c r="A81" s="26" t="s">
        <v>34</v>
      </c>
      <c r="B81" s="26" t="str">
        <f>TEXT($B$2&amp;TEXT(D81,"00")&amp;TEXT(E81,"00"),"0000-00-00")</f>
        <v>2026-01-01</v>
      </c>
      <c r="C81" s="27"/>
      <c r="D81" s="26">
        <v>1</v>
      </c>
      <c r="E81" s="27">
        <v>1</v>
      </c>
      <c r="F81" s="27"/>
      <c r="G81" s="26" t="str">
        <f t="shared" ref="G81:G104" si="4">TEXT(B81,"aaa")</f>
        <v>목</v>
      </c>
      <c r="H81" s="26" t="s">
        <v>4</v>
      </c>
      <c r="I81" s="26" t="s">
        <v>43</v>
      </c>
    </row>
    <row r="82" spans="1:9" s="26" customFormat="1" x14ac:dyDescent="0.3">
      <c r="A82" s="26" t="s">
        <v>2</v>
      </c>
      <c r="B82" s="26" t="str">
        <f t="shared" ref="B82:B103" si="5">TEXT($B$2&amp;TEXT(D82,"00")&amp;TEXT(E82,"00"),"0000-00-00")</f>
        <v>2026-02-15</v>
      </c>
      <c r="C82" s="27"/>
      <c r="D82" s="26">
        <v>2</v>
      </c>
      <c r="E82" s="27">
        <v>15</v>
      </c>
      <c r="F82" s="27"/>
      <c r="G82" s="26" t="str">
        <f t="shared" si="4"/>
        <v>일</v>
      </c>
      <c r="H82" s="26" t="s">
        <v>5</v>
      </c>
      <c r="I82" s="26" t="s">
        <v>44</v>
      </c>
    </row>
    <row r="83" spans="1:9" s="26" customFormat="1" x14ac:dyDescent="0.3">
      <c r="A83" s="26" t="s">
        <v>34</v>
      </c>
      <c r="B83" s="26" t="str">
        <f>TEXT($B$2&amp;TEXT(D83,"00")&amp;TEXT(E83,"00"),"0000-00-00")</f>
        <v>2026-02-18</v>
      </c>
      <c r="C83" s="27"/>
      <c r="D83" s="26">
        <v>2</v>
      </c>
      <c r="E83" s="27">
        <v>18</v>
      </c>
      <c r="F83" s="27"/>
      <c r="G83" s="26" t="str">
        <f t="shared" si="4"/>
        <v>수</v>
      </c>
      <c r="H83" s="26" t="s">
        <v>6</v>
      </c>
      <c r="I83" s="26" t="s">
        <v>43</v>
      </c>
    </row>
    <row r="84" spans="1:9" s="26" customFormat="1" x14ac:dyDescent="0.3">
      <c r="A84" s="26" t="s">
        <v>2</v>
      </c>
      <c r="B84" s="26" t="str">
        <f t="shared" si="5"/>
        <v>2026-03-01</v>
      </c>
      <c r="C84" s="27"/>
      <c r="D84" s="26">
        <v>3</v>
      </c>
      <c r="E84" s="27">
        <v>1</v>
      </c>
      <c r="F84" s="27"/>
      <c r="G84" s="26" t="str">
        <f t="shared" si="4"/>
        <v>일</v>
      </c>
      <c r="H84" s="26" t="s">
        <v>10</v>
      </c>
      <c r="I84" s="26" t="s">
        <v>44</v>
      </c>
    </row>
    <row r="85" spans="1:9" s="26" customFormat="1" x14ac:dyDescent="0.3">
      <c r="A85" s="26" t="s">
        <v>34</v>
      </c>
      <c r="B85" s="26" t="str">
        <f>TEXT($B$2&amp;TEXT(D85,"00")&amp;TEXT(E85,"00"),"0000-00-00")</f>
        <v>2026-03-02</v>
      </c>
      <c r="C85" s="27"/>
      <c r="D85" s="26">
        <v>3</v>
      </c>
      <c r="E85" s="27">
        <v>2</v>
      </c>
      <c r="F85" s="27"/>
      <c r="G85" s="26" t="str">
        <f t="shared" si="4"/>
        <v>월</v>
      </c>
      <c r="H85" s="26" t="s">
        <v>11</v>
      </c>
      <c r="I85" s="26" t="s">
        <v>43</v>
      </c>
    </row>
    <row r="86" spans="1:9" s="26" customFormat="1" x14ac:dyDescent="0.3">
      <c r="A86" s="26" t="s">
        <v>2</v>
      </c>
      <c r="B86" s="26" t="str">
        <f t="shared" si="5"/>
        <v>2026-04-30</v>
      </c>
      <c r="C86" s="27"/>
      <c r="D86" s="26">
        <v>4</v>
      </c>
      <c r="E86" s="27">
        <v>30</v>
      </c>
      <c r="F86" s="27"/>
      <c r="G86" s="26" t="str">
        <f t="shared" si="4"/>
        <v>목</v>
      </c>
      <c r="H86" s="26" t="s">
        <v>8</v>
      </c>
      <c r="I86" s="26" t="s">
        <v>44</v>
      </c>
    </row>
    <row r="87" spans="1:9" s="26" customFormat="1" x14ac:dyDescent="0.3">
      <c r="A87" s="26" t="s">
        <v>34</v>
      </c>
      <c r="B87" s="26" t="str">
        <f>TEXT($B$2&amp;TEXT(D87,"00")&amp;TEXT(E87,"00"),"0000-00-00")</f>
        <v>2026-05-01</v>
      </c>
      <c r="C87" s="27"/>
      <c r="D87" s="26">
        <v>5</v>
      </c>
      <c r="E87" s="27">
        <v>1</v>
      </c>
      <c r="F87" s="27"/>
      <c r="G87" s="26" t="str">
        <f t="shared" si="4"/>
        <v>금</v>
      </c>
      <c r="H87" s="26" t="s">
        <v>9</v>
      </c>
      <c r="I87" s="26" t="s">
        <v>43</v>
      </c>
    </row>
    <row r="88" spans="1:9" s="26" customFormat="1" x14ac:dyDescent="0.3">
      <c r="A88" s="26" t="s">
        <v>2</v>
      </c>
      <c r="B88" s="26" t="str">
        <f t="shared" si="5"/>
        <v>2026-05-04</v>
      </c>
      <c r="C88" s="27"/>
      <c r="D88" s="26">
        <v>5</v>
      </c>
      <c r="E88" s="27">
        <v>4</v>
      </c>
      <c r="F88" s="27"/>
      <c r="G88" s="26" t="str">
        <f t="shared" si="4"/>
        <v>월</v>
      </c>
      <c r="H88" s="26" t="s">
        <v>12</v>
      </c>
      <c r="I88" s="26" t="s">
        <v>44</v>
      </c>
    </row>
    <row r="89" spans="1:9" s="26" customFormat="1" x14ac:dyDescent="0.3">
      <c r="A89" s="26" t="s">
        <v>34</v>
      </c>
      <c r="B89" s="26" t="str">
        <f>TEXT($B$2&amp;TEXT(D89,"00")&amp;TEXT(E89,"00"),"0000-00-00")</f>
        <v>2026-05-05</v>
      </c>
      <c r="C89" s="27"/>
      <c r="D89" s="26">
        <v>5</v>
      </c>
      <c r="E89" s="27">
        <v>5</v>
      </c>
      <c r="F89" s="27"/>
      <c r="G89" s="26" t="str">
        <f t="shared" si="4"/>
        <v>화</v>
      </c>
      <c r="H89" s="26" t="s">
        <v>12</v>
      </c>
      <c r="I89" s="26" t="s">
        <v>43</v>
      </c>
    </row>
    <row r="90" spans="1:9" s="26" customFormat="1" x14ac:dyDescent="0.3">
      <c r="A90" s="26" t="s">
        <v>2</v>
      </c>
      <c r="B90" s="26" t="str">
        <f>TEXT($B$2&amp;TEXT(D90,"00")&amp;TEXT(E90,"00"),"0000-00-00")</f>
        <v>2026-05-24</v>
      </c>
      <c r="C90" s="27"/>
      <c r="D90" s="26">
        <v>5</v>
      </c>
      <c r="E90" s="27">
        <v>24</v>
      </c>
      <c r="F90" s="27"/>
      <c r="G90" s="26" t="str">
        <f t="shared" si="4"/>
        <v>일</v>
      </c>
      <c r="H90" s="26" t="s">
        <v>7</v>
      </c>
      <c r="I90" s="26" t="s">
        <v>44</v>
      </c>
    </row>
    <row r="91" spans="1:9" s="26" customFormat="1" x14ac:dyDescent="0.3">
      <c r="A91" s="26" t="s">
        <v>34</v>
      </c>
      <c r="B91" s="26" t="str">
        <f>TEXT($B$2&amp;TEXT(D91,"00")&amp;TEXT(E91,"00"),"0000-00-00")</f>
        <v>2026-05-25</v>
      </c>
      <c r="C91" s="27"/>
      <c r="D91" s="26">
        <v>5</v>
      </c>
      <c r="E91" s="27">
        <v>25</v>
      </c>
      <c r="F91" s="27"/>
      <c r="G91" s="26" t="str">
        <f t="shared" si="4"/>
        <v>월</v>
      </c>
      <c r="H91" s="26" t="s">
        <v>7</v>
      </c>
      <c r="I91" s="26" t="s">
        <v>43</v>
      </c>
    </row>
    <row r="92" spans="1:9" s="26" customFormat="1" x14ac:dyDescent="0.3">
      <c r="A92" s="26" t="s">
        <v>2</v>
      </c>
      <c r="B92" s="26" t="str">
        <f>TEXT($B$2&amp;TEXT(D92,"00")&amp;TEXT(E92,"00"),"0000-00-00")</f>
        <v>2026-06-02</v>
      </c>
      <c r="C92" s="27"/>
      <c r="D92" s="26">
        <v>6</v>
      </c>
      <c r="E92" s="27">
        <v>2</v>
      </c>
      <c r="F92" s="27"/>
      <c r="G92" s="26" t="str">
        <f t="shared" si="4"/>
        <v>화</v>
      </c>
      <c r="H92" s="26" t="s">
        <v>45</v>
      </c>
      <c r="I92" s="26" t="s">
        <v>44</v>
      </c>
    </row>
    <row r="93" spans="1:9" s="26" customFormat="1" x14ac:dyDescent="0.3">
      <c r="A93" s="26" t="s">
        <v>34</v>
      </c>
      <c r="B93" s="26" t="str">
        <f t="shared" si="5"/>
        <v>2026-06-03</v>
      </c>
      <c r="C93" s="27"/>
      <c r="D93" s="26">
        <v>6</v>
      </c>
      <c r="E93" s="27">
        <v>3</v>
      </c>
      <c r="F93" s="27"/>
      <c r="G93" s="26" t="str">
        <f t="shared" si="4"/>
        <v>수</v>
      </c>
      <c r="H93" s="26" t="s">
        <v>45</v>
      </c>
      <c r="I93" s="26" t="s">
        <v>43</v>
      </c>
    </row>
    <row r="94" spans="1:9" s="26" customFormat="1" x14ac:dyDescent="0.3">
      <c r="A94" s="26" t="s">
        <v>2</v>
      </c>
      <c r="B94" s="26" t="str">
        <f>TEXT($B$2&amp;TEXT(D94,"00")&amp;TEXT(E94,"00"),"0000-00-00")</f>
        <v>2026-06-05</v>
      </c>
      <c r="C94" s="27"/>
      <c r="D94" s="26">
        <v>6</v>
      </c>
      <c r="E94" s="27">
        <v>5</v>
      </c>
      <c r="F94" s="27"/>
      <c r="G94" s="26" t="str">
        <f t="shared" si="4"/>
        <v>금</v>
      </c>
      <c r="H94" s="26" t="s">
        <v>46</v>
      </c>
      <c r="I94" s="26" t="s">
        <v>44</v>
      </c>
    </row>
    <row r="95" spans="1:9" s="26" customFormat="1" x14ac:dyDescent="0.3">
      <c r="A95" s="26" t="s">
        <v>34</v>
      </c>
      <c r="B95" s="26" t="str">
        <f t="shared" si="5"/>
        <v>2026-06-06</v>
      </c>
      <c r="C95" s="27"/>
      <c r="D95" s="26">
        <v>6</v>
      </c>
      <c r="E95" s="27">
        <v>6</v>
      </c>
      <c r="F95" s="27"/>
      <c r="G95" s="26" t="str">
        <f t="shared" si="4"/>
        <v>토</v>
      </c>
      <c r="H95" s="26" t="s">
        <v>46</v>
      </c>
      <c r="I95" s="26" t="s">
        <v>43</v>
      </c>
    </row>
    <row r="96" spans="1:9" s="26" customFormat="1" x14ac:dyDescent="0.3">
      <c r="A96" s="26" t="s">
        <v>2</v>
      </c>
      <c r="B96" s="26" t="str">
        <f>TEXT($B$2&amp;TEXT(D96,"00")&amp;TEXT(E96,"00"),"0000-00-00")</f>
        <v>2026-07-16</v>
      </c>
      <c r="C96" s="27"/>
      <c r="D96" s="26">
        <v>7</v>
      </c>
      <c r="E96" s="27">
        <v>16</v>
      </c>
      <c r="F96" s="27"/>
      <c r="G96" s="26" t="str">
        <f t="shared" si="4"/>
        <v>목</v>
      </c>
      <c r="H96" s="26" t="s">
        <v>47</v>
      </c>
      <c r="I96" s="26" t="s">
        <v>44</v>
      </c>
    </row>
    <row r="97" spans="1:9" s="26" customFormat="1" x14ac:dyDescent="0.3">
      <c r="A97" s="26" t="s">
        <v>34</v>
      </c>
      <c r="B97" s="26" t="str">
        <f t="shared" si="5"/>
        <v>2026-07-17</v>
      </c>
      <c r="C97" s="27"/>
      <c r="D97" s="26">
        <v>7</v>
      </c>
      <c r="E97" s="27">
        <v>17</v>
      </c>
      <c r="F97" s="27"/>
      <c r="G97" s="26" t="str">
        <f t="shared" si="4"/>
        <v>금</v>
      </c>
      <c r="H97" s="26" t="s">
        <v>48</v>
      </c>
      <c r="I97" s="26" t="s">
        <v>43</v>
      </c>
    </row>
    <row r="98" spans="1:9" s="26" customFormat="1" x14ac:dyDescent="0.3">
      <c r="A98" s="26" t="s">
        <v>2</v>
      </c>
      <c r="B98" s="26" t="str">
        <f t="shared" ref="B98:B100" si="6">TEXT($B$2&amp;TEXT(D98,"00")&amp;TEXT(E98,"00"),"0000-00-00")</f>
        <v>2026-08-16</v>
      </c>
      <c r="C98" s="27"/>
      <c r="D98" s="26">
        <v>8</v>
      </c>
      <c r="E98" s="27">
        <v>16</v>
      </c>
      <c r="F98" s="27"/>
      <c r="G98" s="26" t="str">
        <f t="shared" ref="G98:G100" si="7">TEXT(B98,"aaa")</f>
        <v>일</v>
      </c>
      <c r="H98" s="26" t="s">
        <v>49</v>
      </c>
      <c r="I98" s="26" t="s">
        <v>44</v>
      </c>
    </row>
    <row r="99" spans="1:9" s="26" customFormat="1" x14ac:dyDescent="0.3">
      <c r="A99" s="26" t="s">
        <v>34</v>
      </c>
      <c r="B99" s="26" t="str">
        <f t="shared" si="6"/>
        <v>2026-08-17</v>
      </c>
      <c r="C99" s="27"/>
      <c r="D99" s="26">
        <v>8</v>
      </c>
      <c r="E99" s="27">
        <v>17</v>
      </c>
      <c r="F99" s="27"/>
      <c r="G99" s="26" t="str">
        <f t="shared" si="7"/>
        <v>월</v>
      </c>
      <c r="H99" s="26" t="s">
        <v>49</v>
      </c>
      <c r="I99" s="26" t="s">
        <v>43</v>
      </c>
    </row>
    <row r="100" spans="1:9" s="26" customFormat="1" x14ac:dyDescent="0.3">
      <c r="A100" s="26" t="s">
        <v>2</v>
      </c>
      <c r="B100" s="26" t="str">
        <f t="shared" si="6"/>
        <v>2026-09-23</v>
      </c>
      <c r="C100" s="27"/>
      <c r="D100" s="26">
        <v>9</v>
      </c>
      <c r="E100" s="27">
        <v>23</v>
      </c>
      <c r="F100" s="27"/>
      <c r="G100" s="26" t="str">
        <f t="shared" si="7"/>
        <v>수</v>
      </c>
      <c r="H100" s="26" t="s">
        <v>50</v>
      </c>
      <c r="I100" s="26" t="s">
        <v>44</v>
      </c>
    </row>
    <row r="101" spans="1:9" s="26" customFormat="1" x14ac:dyDescent="0.3">
      <c r="A101" s="26" t="s">
        <v>34</v>
      </c>
      <c r="B101" s="26" t="str">
        <f>TEXT($B$2&amp;TEXT(D101,"00")&amp;TEXT(E101,"00"),"0000-00-00")</f>
        <v>2026-09-27</v>
      </c>
      <c r="C101" s="27"/>
      <c r="D101" s="26">
        <v>9</v>
      </c>
      <c r="E101" s="27">
        <v>27</v>
      </c>
      <c r="F101" s="27"/>
      <c r="G101" s="26" t="str">
        <f t="shared" si="4"/>
        <v>일</v>
      </c>
      <c r="H101" s="26" t="s">
        <v>50</v>
      </c>
      <c r="I101" s="26" t="s">
        <v>43</v>
      </c>
    </row>
    <row r="102" spans="1:9" s="26" customFormat="1" x14ac:dyDescent="0.3">
      <c r="A102" s="26" t="s">
        <v>2</v>
      </c>
      <c r="B102" s="26" t="str">
        <f t="shared" si="5"/>
        <v>2026-10-04</v>
      </c>
      <c r="C102" s="27"/>
      <c r="D102" s="26">
        <v>10</v>
      </c>
      <c r="E102" s="27">
        <v>4</v>
      </c>
      <c r="F102" s="27"/>
      <c r="G102" s="26" t="str">
        <f t="shared" si="4"/>
        <v>일</v>
      </c>
      <c r="H102" s="26" t="s">
        <v>51</v>
      </c>
      <c r="I102" s="26" t="s">
        <v>44</v>
      </c>
    </row>
    <row r="103" spans="1:9" s="26" customFormat="1" x14ac:dyDescent="0.3">
      <c r="A103" s="26" t="s">
        <v>34</v>
      </c>
      <c r="B103" s="26" t="str">
        <f t="shared" si="5"/>
        <v>2026-10-05</v>
      </c>
      <c r="C103" s="27"/>
      <c r="D103" s="26">
        <v>10</v>
      </c>
      <c r="E103" s="27">
        <v>5</v>
      </c>
      <c r="F103" s="27"/>
      <c r="G103" s="26" t="str">
        <f t="shared" si="4"/>
        <v>월</v>
      </c>
      <c r="H103" s="26" t="s">
        <v>51</v>
      </c>
      <c r="I103" s="26" t="s">
        <v>43</v>
      </c>
    </row>
    <row r="104" spans="1:9" s="26" customFormat="1" x14ac:dyDescent="0.3">
      <c r="A104" s="26" t="s">
        <v>2</v>
      </c>
      <c r="B104" s="26" t="str">
        <f t="shared" ref="B104" si="8">TEXT($B$2&amp;TEXT(D104,"00")&amp;TEXT(E104,"00"),"0000-00-00")</f>
        <v>2026-10-08</v>
      </c>
      <c r="C104" s="27"/>
      <c r="D104" s="26">
        <v>10</v>
      </c>
      <c r="E104" s="27">
        <v>8</v>
      </c>
      <c r="F104" s="27"/>
      <c r="G104" s="26" t="str">
        <f t="shared" si="4"/>
        <v>목</v>
      </c>
      <c r="H104" s="26" t="s">
        <v>52</v>
      </c>
      <c r="I104" s="26" t="s">
        <v>44</v>
      </c>
    </row>
    <row r="105" spans="1:9" s="26" customFormat="1" x14ac:dyDescent="0.3">
      <c r="B105" s="26" t="str">
        <f t="shared" ref="B105:B107" si="9">TEXT($B$2&amp;TEXT(D105,"00")&amp;TEXT(E105,"00"),"0000-00-00")</f>
        <v>2026-10-11</v>
      </c>
      <c r="C105" s="27"/>
      <c r="D105" s="26">
        <v>10</v>
      </c>
      <c r="E105" s="27">
        <v>11</v>
      </c>
      <c r="F105" s="27"/>
      <c r="G105" s="26" t="str">
        <f t="shared" ref="G105:G107" si="10">TEXT(B105,"aaa")</f>
        <v>일</v>
      </c>
      <c r="H105" s="26" t="s">
        <v>53</v>
      </c>
      <c r="I105" s="26" t="s">
        <v>43</v>
      </c>
    </row>
    <row r="106" spans="1:9" s="26" customFormat="1" x14ac:dyDescent="0.3">
      <c r="B106" s="26" t="str">
        <f t="shared" si="9"/>
        <v>2026-12-24</v>
      </c>
      <c r="C106" s="27"/>
      <c r="D106" s="26">
        <v>12</v>
      </c>
      <c r="E106" s="27">
        <v>24</v>
      </c>
      <c r="F106" s="27"/>
      <c r="G106" s="26" t="str">
        <f t="shared" si="10"/>
        <v>목</v>
      </c>
      <c r="H106" s="26" t="s">
        <v>54</v>
      </c>
      <c r="I106" s="26" t="s">
        <v>44</v>
      </c>
    </row>
    <row r="107" spans="1:9" s="26" customFormat="1" x14ac:dyDescent="0.3">
      <c r="B107" s="26" t="str">
        <f t="shared" si="9"/>
        <v>2026-12-27</v>
      </c>
      <c r="C107" s="27"/>
      <c r="D107" s="26">
        <v>12</v>
      </c>
      <c r="E107" s="27">
        <v>27</v>
      </c>
      <c r="F107" s="27"/>
      <c r="G107" s="26" t="str">
        <f t="shared" si="10"/>
        <v>일</v>
      </c>
      <c r="H107" s="26" t="s">
        <v>54</v>
      </c>
      <c r="I107" s="26" t="s">
        <v>43</v>
      </c>
    </row>
    <row r="108" spans="1:9" s="17" customFormat="1" x14ac:dyDescent="0.3">
      <c r="A108" s="17" t="s">
        <v>21</v>
      </c>
      <c r="B108" s="18">
        <f>G108</f>
        <v>46025</v>
      </c>
      <c r="C108" s="19"/>
      <c r="E108" s="19"/>
      <c r="F108" s="19"/>
      <c r="G108" s="20">
        <v>46025</v>
      </c>
      <c r="H108" s="17" t="s">
        <v>31</v>
      </c>
    </row>
    <row r="109" spans="1:9" s="17" customFormat="1" x14ac:dyDescent="0.3">
      <c r="A109" s="17" t="s">
        <v>55</v>
      </c>
      <c r="B109" s="18">
        <f t="shared" ref="B109:B172" si="11">G109</f>
        <v>46026</v>
      </c>
      <c r="C109" s="19"/>
      <c r="E109" s="19"/>
      <c r="F109" s="19"/>
      <c r="G109" s="20">
        <f>G108+1</f>
        <v>46026</v>
      </c>
      <c r="H109" s="17" t="s">
        <v>32</v>
      </c>
    </row>
    <row r="110" spans="1:9" s="17" customFormat="1" x14ac:dyDescent="0.3">
      <c r="A110" s="17" t="s">
        <v>22</v>
      </c>
      <c r="B110" s="18">
        <f t="shared" si="11"/>
        <v>46032</v>
      </c>
      <c r="C110" s="19"/>
      <c r="E110" s="19"/>
      <c r="F110" s="19"/>
      <c r="G110" s="20">
        <f t="shared" ref="G110:G167" si="12">G108+7</f>
        <v>46032</v>
      </c>
      <c r="H110" s="17" t="s">
        <v>31</v>
      </c>
    </row>
    <row r="111" spans="1:9" s="17" customFormat="1" x14ac:dyDescent="0.3">
      <c r="A111" s="17" t="s">
        <v>56</v>
      </c>
      <c r="B111" s="18">
        <f t="shared" si="11"/>
        <v>46033</v>
      </c>
      <c r="C111" s="19"/>
      <c r="E111" s="19"/>
      <c r="F111" s="19"/>
      <c r="G111" s="20">
        <f t="shared" si="12"/>
        <v>46033</v>
      </c>
      <c r="H111" s="17" t="s">
        <v>32</v>
      </c>
    </row>
    <row r="112" spans="1:9" s="17" customFormat="1" x14ac:dyDescent="0.3">
      <c r="A112" s="17" t="s">
        <v>21</v>
      </c>
      <c r="B112" s="18">
        <f t="shared" si="11"/>
        <v>46039</v>
      </c>
      <c r="C112" s="19"/>
      <c r="E112" s="19"/>
      <c r="F112" s="19"/>
      <c r="G112" s="20">
        <f>G110+7</f>
        <v>46039</v>
      </c>
      <c r="H112" s="17" t="s">
        <v>31</v>
      </c>
    </row>
    <row r="113" spans="1:8" s="17" customFormat="1" x14ac:dyDescent="0.3">
      <c r="A113" s="17" t="s">
        <v>55</v>
      </c>
      <c r="B113" s="18">
        <f t="shared" si="11"/>
        <v>46040</v>
      </c>
      <c r="C113" s="19"/>
      <c r="E113" s="19"/>
      <c r="F113" s="19"/>
      <c r="G113" s="20">
        <f t="shared" si="12"/>
        <v>46040</v>
      </c>
      <c r="H113" s="17" t="s">
        <v>32</v>
      </c>
    </row>
    <row r="114" spans="1:8" s="17" customFormat="1" x14ac:dyDescent="0.3">
      <c r="A114" s="17" t="s">
        <v>22</v>
      </c>
      <c r="B114" s="18">
        <f t="shared" si="11"/>
        <v>46046</v>
      </c>
      <c r="C114" s="19"/>
      <c r="E114" s="19"/>
      <c r="F114" s="19"/>
      <c r="G114" s="20">
        <f t="shared" si="12"/>
        <v>46046</v>
      </c>
      <c r="H114" s="17" t="s">
        <v>31</v>
      </c>
    </row>
    <row r="115" spans="1:8" s="17" customFormat="1" x14ac:dyDescent="0.3">
      <c r="A115" s="17" t="s">
        <v>56</v>
      </c>
      <c r="B115" s="18">
        <f t="shared" si="11"/>
        <v>46047</v>
      </c>
      <c r="C115" s="19"/>
      <c r="E115" s="19"/>
      <c r="F115" s="19"/>
      <c r="G115" s="20">
        <f t="shared" si="12"/>
        <v>46047</v>
      </c>
      <c r="H115" s="17" t="s">
        <v>32</v>
      </c>
    </row>
    <row r="116" spans="1:8" s="17" customFormat="1" x14ac:dyDescent="0.3">
      <c r="A116" s="17" t="s">
        <v>21</v>
      </c>
      <c r="B116" s="18">
        <f t="shared" si="11"/>
        <v>46053</v>
      </c>
      <c r="C116" s="19"/>
      <c r="E116" s="19"/>
      <c r="F116" s="19"/>
      <c r="G116" s="20">
        <f t="shared" si="12"/>
        <v>46053</v>
      </c>
      <c r="H116" s="17" t="s">
        <v>31</v>
      </c>
    </row>
    <row r="117" spans="1:8" s="17" customFormat="1" x14ac:dyDescent="0.3">
      <c r="A117" s="17" t="s">
        <v>55</v>
      </c>
      <c r="B117" s="18">
        <f t="shared" si="11"/>
        <v>46054</v>
      </c>
      <c r="C117" s="19"/>
      <c r="E117" s="19"/>
      <c r="F117" s="19"/>
      <c r="G117" s="20">
        <f t="shared" si="12"/>
        <v>46054</v>
      </c>
      <c r="H117" s="17" t="s">
        <v>32</v>
      </c>
    </row>
    <row r="118" spans="1:8" s="17" customFormat="1" x14ac:dyDescent="0.3">
      <c r="A118" s="17" t="s">
        <v>22</v>
      </c>
      <c r="B118" s="18">
        <f t="shared" si="11"/>
        <v>46060</v>
      </c>
      <c r="C118" s="19"/>
      <c r="E118" s="19"/>
      <c r="F118" s="19"/>
      <c r="G118" s="20">
        <f t="shared" si="12"/>
        <v>46060</v>
      </c>
      <c r="H118" s="17" t="s">
        <v>31</v>
      </c>
    </row>
    <row r="119" spans="1:8" s="17" customFormat="1" x14ac:dyDescent="0.3">
      <c r="A119" s="17" t="s">
        <v>56</v>
      </c>
      <c r="B119" s="18">
        <f t="shared" si="11"/>
        <v>46061</v>
      </c>
      <c r="C119" s="19"/>
      <c r="E119" s="19"/>
      <c r="F119" s="19"/>
      <c r="G119" s="20">
        <f t="shared" si="12"/>
        <v>46061</v>
      </c>
      <c r="H119" s="17" t="s">
        <v>32</v>
      </c>
    </row>
    <row r="120" spans="1:8" s="17" customFormat="1" x14ac:dyDescent="0.3">
      <c r="A120" s="17" t="s">
        <v>21</v>
      </c>
      <c r="B120" s="18">
        <f t="shared" si="11"/>
        <v>46067</v>
      </c>
      <c r="C120" s="19"/>
      <c r="E120" s="19"/>
      <c r="F120" s="19"/>
      <c r="G120" s="20">
        <f t="shared" si="12"/>
        <v>46067</v>
      </c>
      <c r="H120" s="17" t="s">
        <v>31</v>
      </c>
    </row>
    <row r="121" spans="1:8" s="17" customFormat="1" x14ac:dyDescent="0.3">
      <c r="A121" s="17" t="s">
        <v>55</v>
      </c>
      <c r="B121" s="18">
        <f t="shared" si="11"/>
        <v>46068</v>
      </c>
      <c r="C121" s="19"/>
      <c r="E121" s="19"/>
      <c r="F121" s="19"/>
      <c r="G121" s="20">
        <f t="shared" si="12"/>
        <v>46068</v>
      </c>
      <c r="H121" s="17" t="s">
        <v>32</v>
      </c>
    </row>
    <row r="122" spans="1:8" s="17" customFormat="1" x14ac:dyDescent="0.3">
      <c r="A122" s="17" t="s">
        <v>22</v>
      </c>
      <c r="B122" s="18">
        <f t="shared" si="11"/>
        <v>46074</v>
      </c>
      <c r="C122" s="19"/>
      <c r="E122" s="19"/>
      <c r="F122" s="19"/>
      <c r="G122" s="20">
        <f t="shared" si="12"/>
        <v>46074</v>
      </c>
      <c r="H122" s="17" t="s">
        <v>31</v>
      </c>
    </row>
    <row r="123" spans="1:8" s="17" customFormat="1" x14ac:dyDescent="0.3">
      <c r="A123" s="17" t="s">
        <v>56</v>
      </c>
      <c r="B123" s="18">
        <f t="shared" si="11"/>
        <v>46075</v>
      </c>
      <c r="C123" s="19"/>
      <c r="E123" s="19"/>
      <c r="F123" s="19"/>
      <c r="G123" s="20">
        <f t="shared" si="12"/>
        <v>46075</v>
      </c>
      <c r="H123" s="17" t="s">
        <v>32</v>
      </c>
    </row>
    <row r="124" spans="1:8" s="17" customFormat="1" x14ac:dyDescent="0.3">
      <c r="A124" s="17" t="s">
        <v>21</v>
      </c>
      <c r="B124" s="18">
        <f t="shared" si="11"/>
        <v>46081</v>
      </c>
      <c r="C124" s="19"/>
      <c r="E124" s="19"/>
      <c r="F124" s="19"/>
      <c r="G124" s="20">
        <f t="shared" si="12"/>
        <v>46081</v>
      </c>
      <c r="H124" s="17" t="s">
        <v>31</v>
      </c>
    </row>
    <row r="125" spans="1:8" s="17" customFormat="1" x14ac:dyDescent="0.3">
      <c r="A125" s="17" t="s">
        <v>55</v>
      </c>
      <c r="B125" s="18">
        <f t="shared" si="11"/>
        <v>46082</v>
      </c>
      <c r="C125" s="19"/>
      <c r="E125" s="19"/>
      <c r="F125" s="19"/>
      <c r="G125" s="20">
        <f t="shared" si="12"/>
        <v>46082</v>
      </c>
      <c r="H125" s="17" t="s">
        <v>32</v>
      </c>
    </row>
    <row r="126" spans="1:8" s="17" customFormat="1" x14ac:dyDescent="0.3">
      <c r="A126" s="17" t="s">
        <v>22</v>
      </c>
      <c r="B126" s="18">
        <f t="shared" si="11"/>
        <v>46088</v>
      </c>
      <c r="C126" s="19"/>
      <c r="E126" s="19"/>
      <c r="F126" s="19"/>
      <c r="G126" s="20">
        <f t="shared" si="12"/>
        <v>46088</v>
      </c>
      <c r="H126" s="17" t="s">
        <v>31</v>
      </c>
    </row>
    <row r="127" spans="1:8" s="17" customFormat="1" x14ac:dyDescent="0.3">
      <c r="A127" s="17" t="s">
        <v>56</v>
      </c>
      <c r="B127" s="18">
        <f t="shared" si="11"/>
        <v>46089</v>
      </c>
      <c r="C127" s="19"/>
      <c r="E127" s="19"/>
      <c r="F127" s="19"/>
      <c r="G127" s="20">
        <f t="shared" si="12"/>
        <v>46089</v>
      </c>
      <c r="H127" s="17" t="s">
        <v>32</v>
      </c>
    </row>
    <row r="128" spans="1:8" s="17" customFormat="1" x14ac:dyDescent="0.3">
      <c r="A128" s="17" t="s">
        <v>21</v>
      </c>
      <c r="B128" s="18">
        <f t="shared" si="11"/>
        <v>46095</v>
      </c>
      <c r="C128" s="19"/>
      <c r="E128" s="19"/>
      <c r="F128" s="19"/>
      <c r="G128" s="20">
        <f t="shared" si="12"/>
        <v>46095</v>
      </c>
      <c r="H128" s="17" t="s">
        <v>31</v>
      </c>
    </row>
    <row r="129" spans="1:8" s="17" customFormat="1" x14ac:dyDescent="0.3">
      <c r="A129" s="17" t="s">
        <v>55</v>
      </c>
      <c r="B129" s="18">
        <f t="shared" si="11"/>
        <v>46096</v>
      </c>
      <c r="C129" s="19"/>
      <c r="E129" s="19"/>
      <c r="F129" s="19"/>
      <c r="G129" s="20">
        <f t="shared" si="12"/>
        <v>46096</v>
      </c>
      <c r="H129" s="17" t="s">
        <v>32</v>
      </c>
    </row>
    <row r="130" spans="1:8" s="17" customFormat="1" x14ac:dyDescent="0.3">
      <c r="A130" s="17" t="s">
        <v>22</v>
      </c>
      <c r="B130" s="18">
        <f t="shared" si="11"/>
        <v>46102</v>
      </c>
      <c r="C130" s="19"/>
      <c r="E130" s="19"/>
      <c r="F130" s="19"/>
      <c r="G130" s="20">
        <f t="shared" si="12"/>
        <v>46102</v>
      </c>
      <c r="H130" s="17" t="s">
        <v>31</v>
      </c>
    </row>
    <row r="131" spans="1:8" s="17" customFormat="1" x14ac:dyDescent="0.3">
      <c r="A131" s="17" t="s">
        <v>56</v>
      </c>
      <c r="B131" s="18">
        <f t="shared" si="11"/>
        <v>46103</v>
      </c>
      <c r="C131" s="19"/>
      <c r="E131" s="19"/>
      <c r="F131" s="19"/>
      <c r="G131" s="20">
        <f t="shared" si="12"/>
        <v>46103</v>
      </c>
      <c r="H131" s="17" t="s">
        <v>32</v>
      </c>
    </row>
    <row r="132" spans="1:8" s="17" customFormat="1" x14ac:dyDescent="0.3">
      <c r="A132" s="17" t="s">
        <v>21</v>
      </c>
      <c r="B132" s="18">
        <f t="shared" si="11"/>
        <v>46109</v>
      </c>
      <c r="C132" s="19"/>
      <c r="E132" s="19"/>
      <c r="F132" s="19"/>
      <c r="G132" s="20">
        <f t="shared" si="12"/>
        <v>46109</v>
      </c>
      <c r="H132" s="17" t="s">
        <v>31</v>
      </c>
    </row>
    <row r="133" spans="1:8" s="17" customFormat="1" x14ac:dyDescent="0.3">
      <c r="A133" s="17" t="s">
        <v>55</v>
      </c>
      <c r="B133" s="18">
        <f t="shared" si="11"/>
        <v>46110</v>
      </c>
      <c r="C133" s="19"/>
      <c r="E133" s="19"/>
      <c r="F133" s="19"/>
      <c r="G133" s="20">
        <f t="shared" si="12"/>
        <v>46110</v>
      </c>
      <c r="H133" s="17" t="s">
        <v>32</v>
      </c>
    </row>
    <row r="134" spans="1:8" s="17" customFormat="1" x14ac:dyDescent="0.3">
      <c r="A134" s="17" t="s">
        <v>22</v>
      </c>
      <c r="B134" s="18">
        <f t="shared" si="11"/>
        <v>46116</v>
      </c>
      <c r="C134" s="19"/>
      <c r="E134" s="19"/>
      <c r="F134" s="19"/>
      <c r="G134" s="20">
        <f t="shared" si="12"/>
        <v>46116</v>
      </c>
      <c r="H134" s="17" t="s">
        <v>31</v>
      </c>
    </row>
    <row r="135" spans="1:8" s="17" customFormat="1" x14ac:dyDescent="0.3">
      <c r="A135" s="17" t="s">
        <v>56</v>
      </c>
      <c r="B135" s="18">
        <f t="shared" si="11"/>
        <v>46117</v>
      </c>
      <c r="C135" s="19"/>
      <c r="E135" s="19"/>
      <c r="F135" s="19"/>
      <c r="G135" s="20">
        <f t="shared" si="12"/>
        <v>46117</v>
      </c>
      <c r="H135" s="17" t="s">
        <v>32</v>
      </c>
    </row>
    <row r="136" spans="1:8" s="17" customFormat="1" x14ac:dyDescent="0.3">
      <c r="A136" s="17" t="s">
        <v>21</v>
      </c>
      <c r="B136" s="18">
        <f t="shared" si="11"/>
        <v>46123</v>
      </c>
      <c r="C136" s="19"/>
      <c r="E136" s="19"/>
      <c r="F136" s="19"/>
      <c r="G136" s="20">
        <f t="shared" si="12"/>
        <v>46123</v>
      </c>
      <c r="H136" s="17" t="s">
        <v>31</v>
      </c>
    </row>
    <row r="137" spans="1:8" s="17" customFormat="1" x14ac:dyDescent="0.3">
      <c r="A137" s="17" t="s">
        <v>55</v>
      </c>
      <c r="B137" s="18">
        <f t="shared" si="11"/>
        <v>46124</v>
      </c>
      <c r="C137" s="19"/>
      <c r="E137" s="19"/>
      <c r="F137" s="19"/>
      <c r="G137" s="20">
        <f t="shared" si="12"/>
        <v>46124</v>
      </c>
      <c r="H137" s="17" t="s">
        <v>32</v>
      </c>
    </row>
    <row r="138" spans="1:8" s="17" customFormat="1" x14ac:dyDescent="0.3">
      <c r="A138" s="17" t="s">
        <v>22</v>
      </c>
      <c r="B138" s="18">
        <f t="shared" si="11"/>
        <v>46130</v>
      </c>
      <c r="C138" s="19"/>
      <c r="E138" s="19"/>
      <c r="F138" s="19"/>
      <c r="G138" s="20">
        <f t="shared" si="12"/>
        <v>46130</v>
      </c>
      <c r="H138" s="17" t="s">
        <v>31</v>
      </c>
    </row>
    <row r="139" spans="1:8" s="17" customFormat="1" x14ac:dyDescent="0.3">
      <c r="A139" s="17" t="s">
        <v>56</v>
      </c>
      <c r="B139" s="18">
        <f t="shared" si="11"/>
        <v>46131</v>
      </c>
      <c r="C139" s="19"/>
      <c r="E139" s="19"/>
      <c r="F139" s="19"/>
      <c r="G139" s="20">
        <f t="shared" si="12"/>
        <v>46131</v>
      </c>
      <c r="H139" s="17" t="s">
        <v>32</v>
      </c>
    </row>
    <row r="140" spans="1:8" s="17" customFormat="1" x14ac:dyDescent="0.3">
      <c r="A140" s="17" t="s">
        <v>21</v>
      </c>
      <c r="B140" s="18">
        <f t="shared" si="11"/>
        <v>46137</v>
      </c>
      <c r="C140" s="19"/>
      <c r="E140" s="19"/>
      <c r="F140" s="19"/>
      <c r="G140" s="20">
        <f t="shared" si="12"/>
        <v>46137</v>
      </c>
      <c r="H140" s="17" t="s">
        <v>31</v>
      </c>
    </row>
    <row r="141" spans="1:8" s="17" customFormat="1" x14ac:dyDescent="0.3">
      <c r="A141" s="17" t="s">
        <v>55</v>
      </c>
      <c r="B141" s="18">
        <f t="shared" si="11"/>
        <v>46138</v>
      </c>
      <c r="C141" s="19"/>
      <c r="E141" s="19"/>
      <c r="F141" s="19"/>
      <c r="G141" s="20">
        <f t="shared" si="12"/>
        <v>46138</v>
      </c>
      <c r="H141" s="17" t="s">
        <v>32</v>
      </c>
    </row>
    <row r="142" spans="1:8" s="17" customFormat="1" x14ac:dyDescent="0.3">
      <c r="A142" s="17" t="s">
        <v>22</v>
      </c>
      <c r="B142" s="18">
        <f t="shared" si="11"/>
        <v>46144</v>
      </c>
      <c r="C142" s="19"/>
      <c r="E142" s="19"/>
      <c r="F142" s="19"/>
      <c r="G142" s="20">
        <f t="shared" si="12"/>
        <v>46144</v>
      </c>
      <c r="H142" s="17" t="s">
        <v>31</v>
      </c>
    </row>
    <row r="143" spans="1:8" s="17" customFormat="1" x14ac:dyDescent="0.3">
      <c r="A143" s="17" t="s">
        <v>56</v>
      </c>
      <c r="B143" s="18">
        <f t="shared" si="11"/>
        <v>46145</v>
      </c>
      <c r="C143" s="19"/>
      <c r="E143" s="19"/>
      <c r="F143" s="19"/>
      <c r="G143" s="20">
        <f t="shared" si="12"/>
        <v>46145</v>
      </c>
      <c r="H143" s="17" t="s">
        <v>32</v>
      </c>
    </row>
    <row r="144" spans="1:8" s="17" customFormat="1" x14ac:dyDescent="0.3">
      <c r="A144" s="17" t="s">
        <v>21</v>
      </c>
      <c r="B144" s="18">
        <f t="shared" si="11"/>
        <v>46151</v>
      </c>
      <c r="C144" s="19"/>
      <c r="E144" s="19"/>
      <c r="F144" s="19"/>
      <c r="G144" s="20">
        <f t="shared" si="12"/>
        <v>46151</v>
      </c>
      <c r="H144" s="17" t="s">
        <v>31</v>
      </c>
    </row>
    <row r="145" spans="1:8" s="17" customFormat="1" x14ac:dyDescent="0.3">
      <c r="A145" s="17" t="s">
        <v>55</v>
      </c>
      <c r="B145" s="18">
        <f t="shared" si="11"/>
        <v>46152</v>
      </c>
      <c r="C145" s="19"/>
      <c r="E145" s="19"/>
      <c r="F145" s="19"/>
      <c r="G145" s="20">
        <f t="shared" si="12"/>
        <v>46152</v>
      </c>
      <c r="H145" s="17" t="s">
        <v>32</v>
      </c>
    </row>
    <row r="146" spans="1:8" s="17" customFormat="1" x14ac:dyDescent="0.3">
      <c r="A146" s="17" t="s">
        <v>22</v>
      </c>
      <c r="B146" s="18">
        <f t="shared" si="11"/>
        <v>46158</v>
      </c>
      <c r="C146" s="19"/>
      <c r="E146" s="19"/>
      <c r="F146" s="19"/>
      <c r="G146" s="20">
        <f t="shared" si="12"/>
        <v>46158</v>
      </c>
      <c r="H146" s="17" t="s">
        <v>31</v>
      </c>
    </row>
    <row r="147" spans="1:8" s="17" customFormat="1" x14ac:dyDescent="0.3">
      <c r="A147" s="17" t="s">
        <v>56</v>
      </c>
      <c r="B147" s="18">
        <f t="shared" si="11"/>
        <v>46159</v>
      </c>
      <c r="C147" s="19"/>
      <c r="E147" s="19"/>
      <c r="F147" s="19"/>
      <c r="G147" s="20">
        <f t="shared" si="12"/>
        <v>46159</v>
      </c>
      <c r="H147" s="17" t="s">
        <v>32</v>
      </c>
    </row>
    <row r="148" spans="1:8" s="17" customFormat="1" x14ac:dyDescent="0.3">
      <c r="A148" s="17" t="s">
        <v>21</v>
      </c>
      <c r="B148" s="18">
        <f t="shared" si="11"/>
        <v>46165</v>
      </c>
      <c r="C148" s="19"/>
      <c r="E148" s="19"/>
      <c r="F148" s="19"/>
      <c r="G148" s="20">
        <f t="shared" si="12"/>
        <v>46165</v>
      </c>
      <c r="H148" s="17" t="s">
        <v>31</v>
      </c>
    </row>
    <row r="149" spans="1:8" s="17" customFormat="1" x14ac:dyDescent="0.3">
      <c r="A149" s="17" t="s">
        <v>55</v>
      </c>
      <c r="B149" s="18">
        <f t="shared" si="11"/>
        <v>46166</v>
      </c>
      <c r="C149" s="19"/>
      <c r="E149" s="19"/>
      <c r="F149" s="19"/>
      <c r="G149" s="20">
        <f t="shared" si="12"/>
        <v>46166</v>
      </c>
      <c r="H149" s="17" t="s">
        <v>32</v>
      </c>
    </row>
    <row r="150" spans="1:8" s="17" customFormat="1" x14ac:dyDescent="0.3">
      <c r="A150" s="17" t="s">
        <v>22</v>
      </c>
      <c r="B150" s="18">
        <f t="shared" si="11"/>
        <v>46172</v>
      </c>
      <c r="C150" s="19"/>
      <c r="E150" s="19"/>
      <c r="F150" s="19"/>
      <c r="G150" s="20">
        <f t="shared" si="12"/>
        <v>46172</v>
      </c>
      <c r="H150" s="17" t="s">
        <v>31</v>
      </c>
    </row>
    <row r="151" spans="1:8" s="17" customFormat="1" x14ac:dyDescent="0.3">
      <c r="A151" s="17" t="s">
        <v>56</v>
      </c>
      <c r="B151" s="18">
        <f t="shared" si="11"/>
        <v>46173</v>
      </c>
      <c r="C151" s="19"/>
      <c r="E151" s="19"/>
      <c r="F151" s="19"/>
      <c r="G151" s="20">
        <f t="shared" si="12"/>
        <v>46173</v>
      </c>
      <c r="H151" s="17" t="s">
        <v>32</v>
      </c>
    </row>
    <row r="152" spans="1:8" s="17" customFormat="1" x14ac:dyDescent="0.3">
      <c r="A152" s="17" t="s">
        <v>21</v>
      </c>
      <c r="B152" s="18">
        <f t="shared" si="11"/>
        <v>46179</v>
      </c>
      <c r="C152" s="19"/>
      <c r="E152" s="19"/>
      <c r="F152" s="19"/>
      <c r="G152" s="20">
        <f t="shared" si="12"/>
        <v>46179</v>
      </c>
      <c r="H152" s="17" t="s">
        <v>31</v>
      </c>
    </row>
    <row r="153" spans="1:8" s="17" customFormat="1" x14ac:dyDescent="0.3">
      <c r="A153" s="17" t="s">
        <v>55</v>
      </c>
      <c r="B153" s="18">
        <f t="shared" si="11"/>
        <v>46180</v>
      </c>
      <c r="C153" s="19"/>
      <c r="E153" s="19"/>
      <c r="F153" s="19"/>
      <c r="G153" s="20">
        <f t="shared" si="12"/>
        <v>46180</v>
      </c>
      <c r="H153" s="17" t="s">
        <v>32</v>
      </c>
    </row>
    <row r="154" spans="1:8" s="17" customFormat="1" x14ac:dyDescent="0.3">
      <c r="A154" s="17" t="s">
        <v>22</v>
      </c>
      <c r="B154" s="18">
        <f t="shared" si="11"/>
        <v>46186</v>
      </c>
      <c r="C154" s="19"/>
      <c r="E154" s="19"/>
      <c r="F154" s="19"/>
      <c r="G154" s="20">
        <f t="shared" si="12"/>
        <v>46186</v>
      </c>
      <c r="H154" s="17" t="s">
        <v>31</v>
      </c>
    </row>
    <row r="155" spans="1:8" s="17" customFormat="1" x14ac:dyDescent="0.3">
      <c r="A155" s="17" t="s">
        <v>56</v>
      </c>
      <c r="B155" s="18">
        <f t="shared" si="11"/>
        <v>46187</v>
      </c>
      <c r="C155" s="19"/>
      <c r="E155" s="19"/>
      <c r="F155" s="19"/>
      <c r="G155" s="20">
        <f t="shared" si="12"/>
        <v>46187</v>
      </c>
      <c r="H155" s="17" t="s">
        <v>32</v>
      </c>
    </row>
    <row r="156" spans="1:8" s="17" customFormat="1" x14ac:dyDescent="0.3">
      <c r="A156" s="17" t="s">
        <v>21</v>
      </c>
      <c r="B156" s="18">
        <f t="shared" si="11"/>
        <v>46193</v>
      </c>
      <c r="C156" s="19"/>
      <c r="E156" s="19"/>
      <c r="F156" s="19"/>
      <c r="G156" s="20">
        <f t="shared" si="12"/>
        <v>46193</v>
      </c>
      <c r="H156" s="17" t="s">
        <v>31</v>
      </c>
    </row>
    <row r="157" spans="1:8" s="17" customFormat="1" x14ac:dyDescent="0.3">
      <c r="A157" s="17" t="s">
        <v>55</v>
      </c>
      <c r="B157" s="18">
        <f t="shared" si="11"/>
        <v>46194</v>
      </c>
      <c r="C157" s="19"/>
      <c r="E157" s="19"/>
      <c r="F157" s="19"/>
      <c r="G157" s="20">
        <f t="shared" si="12"/>
        <v>46194</v>
      </c>
      <c r="H157" s="17" t="s">
        <v>32</v>
      </c>
    </row>
    <row r="158" spans="1:8" s="17" customFormat="1" x14ac:dyDescent="0.3">
      <c r="A158" s="17" t="s">
        <v>22</v>
      </c>
      <c r="B158" s="18">
        <f t="shared" si="11"/>
        <v>46200</v>
      </c>
      <c r="C158" s="19"/>
      <c r="E158" s="19"/>
      <c r="F158" s="19"/>
      <c r="G158" s="20">
        <f t="shared" si="12"/>
        <v>46200</v>
      </c>
      <c r="H158" s="17" t="s">
        <v>31</v>
      </c>
    </row>
    <row r="159" spans="1:8" s="17" customFormat="1" x14ac:dyDescent="0.3">
      <c r="A159" s="17" t="s">
        <v>56</v>
      </c>
      <c r="B159" s="18">
        <f t="shared" si="11"/>
        <v>46201</v>
      </c>
      <c r="C159" s="19"/>
      <c r="E159" s="19"/>
      <c r="F159" s="19"/>
      <c r="G159" s="20">
        <f t="shared" si="12"/>
        <v>46201</v>
      </c>
      <c r="H159" s="17" t="s">
        <v>32</v>
      </c>
    </row>
    <row r="160" spans="1:8" s="17" customFormat="1" x14ac:dyDescent="0.3">
      <c r="A160" s="17" t="s">
        <v>21</v>
      </c>
      <c r="B160" s="18">
        <f t="shared" si="11"/>
        <v>46207</v>
      </c>
      <c r="C160" s="19"/>
      <c r="E160" s="19"/>
      <c r="F160" s="19"/>
      <c r="G160" s="20">
        <f t="shared" si="12"/>
        <v>46207</v>
      </c>
      <c r="H160" s="17" t="s">
        <v>31</v>
      </c>
    </row>
    <row r="161" spans="1:8" s="17" customFormat="1" x14ac:dyDescent="0.3">
      <c r="A161" s="17" t="s">
        <v>55</v>
      </c>
      <c r="B161" s="18">
        <f t="shared" si="11"/>
        <v>46208</v>
      </c>
      <c r="C161" s="19"/>
      <c r="E161" s="19"/>
      <c r="F161" s="19"/>
      <c r="G161" s="20">
        <f t="shared" si="12"/>
        <v>46208</v>
      </c>
      <c r="H161" s="17" t="s">
        <v>32</v>
      </c>
    </row>
    <row r="162" spans="1:8" s="17" customFormat="1" x14ac:dyDescent="0.3">
      <c r="A162" s="17" t="s">
        <v>22</v>
      </c>
      <c r="B162" s="18">
        <f t="shared" si="11"/>
        <v>46214</v>
      </c>
      <c r="C162" s="19"/>
      <c r="E162" s="19"/>
      <c r="F162" s="19"/>
      <c r="G162" s="20">
        <f t="shared" si="12"/>
        <v>46214</v>
      </c>
      <c r="H162" s="17" t="s">
        <v>31</v>
      </c>
    </row>
    <row r="163" spans="1:8" s="17" customFormat="1" x14ac:dyDescent="0.3">
      <c r="A163" s="17" t="s">
        <v>56</v>
      </c>
      <c r="B163" s="18">
        <f t="shared" si="11"/>
        <v>46215</v>
      </c>
      <c r="C163" s="19"/>
      <c r="E163" s="19"/>
      <c r="F163" s="19"/>
      <c r="G163" s="20">
        <f t="shared" si="12"/>
        <v>46215</v>
      </c>
      <c r="H163" s="17" t="s">
        <v>32</v>
      </c>
    </row>
    <row r="164" spans="1:8" s="17" customFormat="1" x14ac:dyDescent="0.3">
      <c r="A164" s="17" t="s">
        <v>21</v>
      </c>
      <c r="B164" s="18">
        <f t="shared" si="11"/>
        <v>46221</v>
      </c>
      <c r="C164" s="19"/>
      <c r="E164" s="19"/>
      <c r="F164" s="19"/>
      <c r="G164" s="20">
        <f t="shared" si="12"/>
        <v>46221</v>
      </c>
      <c r="H164" s="17" t="s">
        <v>31</v>
      </c>
    </row>
    <row r="165" spans="1:8" s="17" customFormat="1" x14ac:dyDescent="0.3">
      <c r="A165" s="17" t="s">
        <v>55</v>
      </c>
      <c r="B165" s="18">
        <f t="shared" si="11"/>
        <v>46222</v>
      </c>
      <c r="C165" s="19"/>
      <c r="E165" s="19"/>
      <c r="F165" s="19"/>
      <c r="G165" s="20">
        <f t="shared" si="12"/>
        <v>46222</v>
      </c>
      <c r="H165" s="17" t="s">
        <v>32</v>
      </c>
    </row>
    <row r="166" spans="1:8" s="17" customFormat="1" x14ac:dyDescent="0.3">
      <c r="A166" s="17" t="s">
        <v>22</v>
      </c>
      <c r="B166" s="18">
        <f t="shared" si="11"/>
        <v>46228</v>
      </c>
      <c r="C166" s="19"/>
      <c r="E166" s="19"/>
      <c r="F166" s="19"/>
      <c r="G166" s="20">
        <f t="shared" si="12"/>
        <v>46228</v>
      </c>
      <c r="H166" s="17" t="s">
        <v>31</v>
      </c>
    </row>
    <row r="167" spans="1:8" s="17" customFormat="1" x14ac:dyDescent="0.3">
      <c r="A167" s="17" t="s">
        <v>56</v>
      </c>
      <c r="B167" s="18">
        <f t="shared" si="11"/>
        <v>46229</v>
      </c>
      <c r="C167" s="19"/>
      <c r="E167" s="19"/>
      <c r="F167" s="19"/>
      <c r="G167" s="20">
        <f t="shared" si="12"/>
        <v>46229</v>
      </c>
      <c r="H167" s="17" t="s">
        <v>32</v>
      </c>
    </row>
    <row r="168" spans="1:8" s="17" customFormat="1" x14ac:dyDescent="0.3">
      <c r="A168" s="17" t="s">
        <v>21</v>
      </c>
      <c r="B168" s="18">
        <f t="shared" si="11"/>
        <v>46235</v>
      </c>
      <c r="C168" s="19"/>
      <c r="E168" s="19"/>
      <c r="F168" s="19"/>
      <c r="G168" s="20">
        <f t="shared" ref="G168:G211" si="13">G166+7</f>
        <v>46235</v>
      </c>
      <c r="H168" s="17" t="s">
        <v>31</v>
      </c>
    </row>
    <row r="169" spans="1:8" s="17" customFormat="1" x14ac:dyDescent="0.3">
      <c r="A169" s="17" t="s">
        <v>55</v>
      </c>
      <c r="B169" s="18">
        <f t="shared" si="11"/>
        <v>46236</v>
      </c>
      <c r="C169" s="19"/>
      <c r="E169" s="19"/>
      <c r="F169" s="19"/>
      <c r="G169" s="20">
        <f t="shared" si="13"/>
        <v>46236</v>
      </c>
      <c r="H169" s="17" t="s">
        <v>32</v>
      </c>
    </row>
    <row r="170" spans="1:8" s="17" customFormat="1" x14ac:dyDescent="0.3">
      <c r="A170" s="17" t="s">
        <v>22</v>
      </c>
      <c r="B170" s="18">
        <f t="shared" si="11"/>
        <v>46242</v>
      </c>
      <c r="C170" s="19"/>
      <c r="E170" s="19"/>
      <c r="F170" s="19"/>
      <c r="G170" s="20">
        <f t="shared" si="13"/>
        <v>46242</v>
      </c>
      <c r="H170" s="17" t="s">
        <v>31</v>
      </c>
    </row>
    <row r="171" spans="1:8" s="17" customFormat="1" x14ac:dyDescent="0.3">
      <c r="A171" s="17" t="s">
        <v>56</v>
      </c>
      <c r="B171" s="18">
        <f t="shared" si="11"/>
        <v>46243</v>
      </c>
      <c r="C171" s="19"/>
      <c r="E171" s="19"/>
      <c r="F171" s="19"/>
      <c r="G171" s="20">
        <f t="shared" si="13"/>
        <v>46243</v>
      </c>
      <c r="H171" s="17" t="s">
        <v>32</v>
      </c>
    </row>
    <row r="172" spans="1:8" s="17" customFormat="1" x14ac:dyDescent="0.3">
      <c r="A172" s="17" t="s">
        <v>21</v>
      </c>
      <c r="B172" s="18">
        <f t="shared" si="11"/>
        <v>46249</v>
      </c>
      <c r="C172" s="19"/>
      <c r="E172" s="19"/>
      <c r="F172" s="19"/>
      <c r="G172" s="20">
        <f t="shared" si="13"/>
        <v>46249</v>
      </c>
      <c r="H172" s="17" t="s">
        <v>31</v>
      </c>
    </row>
    <row r="173" spans="1:8" s="17" customFormat="1" x14ac:dyDescent="0.3">
      <c r="A173" s="17" t="s">
        <v>55</v>
      </c>
      <c r="B173" s="18">
        <f t="shared" ref="B173:B244" si="14">G173</f>
        <v>46250</v>
      </c>
      <c r="C173" s="19"/>
      <c r="E173" s="19"/>
      <c r="F173" s="19"/>
      <c r="G173" s="20">
        <f t="shared" si="13"/>
        <v>46250</v>
      </c>
      <c r="H173" s="17" t="s">
        <v>32</v>
      </c>
    </row>
    <row r="174" spans="1:8" s="17" customFormat="1" x14ac:dyDescent="0.3">
      <c r="A174" s="17" t="s">
        <v>22</v>
      </c>
      <c r="B174" s="18">
        <f t="shared" si="14"/>
        <v>46256</v>
      </c>
      <c r="C174" s="19"/>
      <c r="E174" s="19"/>
      <c r="F174" s="19"/>
      <c r="G174" s="20">
        <f t="shared" si="13"/>
        <v>46256</v>
      </c>
      <c r="H174" s="17" t="s">
        <v>31</v>
      </c>
    </row>
    <row r="175" spans="1:8" s="17" customFormat="1" x14ac:dyDescent="0.3">
      <c r="A175" s="17" t="s">
        <v>56</v>
      </c>
      <c r="B175" s="18">
        <f t="shared" si="14"/>
        <v>46257</v>
      </c>
      <c r="C175" s="19"/>
      <c r="E175" s="19"/>
      <c r="F175" s="19"/>
      <c r="G175" s="20">
        <f t="shared" si="13"/>
        <v>46257</v>
      </c>
      <c r="H175" s="17" t="s">
        <v>32</v>
      </c>
    </row>
    <row r="176" spans="1:8" s="17" customFormat="1" x14ac:dyDescent="0.3">
      <c r="A176" s="17" t="s">
        <v>21</v>
      </c>
      <c r="B176" s="18">
        <f t="shared" si="14"/>
        <v>46263</v>
      </c>
      <c r="C176" s="19"/>
      <c r="E176" s="19"/>
      <c r="F176" s="19"/>
      <c r="G176" s="20">
        <f t="shared" si="13"/>
        <v>46263</v>
      </c>
      <c r="H176" s="17" t="s">
        <v>31</v>
      </c>
    </row>
    <row r="177" spans="1:8" s="17" customFormat="1" x14ac:dyDescent="0.3">
      <c r="A177" s="17" t="s">
        <v>55</v>
      </c>
      <c r="B177" s="18">
        <f t="shared" si="14"/>
        <v>46264</v>
      </c>
      <c r="C177" s="19"/>
      <c r="E177" s="19"/>
      <c r="F177" s="19"/>
      <c r="G177" s="20">
        <f t="shared" si="13"/>
        <v>46264</v>
      </c>
      <c r="H177" s="17" t="s">
        <v>32</v>
      </c>
    </row>
    <row r="178" spans="1:8" s="17" customFormat="1" x14ac:dyDescent="0.3">
      <c r="A178" s="17" t="s">
        <v>22</v>
      </c>
      <c r="B178" s="18">
        <f t="shared" si="14"/>
        <v>46270</v>
      </c>
      <c r="C178" s="19"/>
      <c r="E178" s="19"/>
      <c r="F178" s="19"/>
      <c r="G178" s="20">
        <f t="shared" si="13"/>
        <v>46270</v>
      </c>
      <c r="H178" s="17" t="s">
        <v>31</v>
      </c>
    </row>
    <row r="179" spans="1:8" s="17" customFormat="1" x14ac:dyDescent="0.3">
      <c r="A179" s="17" t="s">
        <v>56</v>
      </c>
      <c r="B179" s="18">
        <f t="shared" si="14"/>
        <v>46271</v>
      </c>
      <c r="C179" s="19"/>
      <c r="E179" s="19"/>
      <c r="F179" s="19"/>
      <c r="G179" s="20">
        <f t="shared" si="13"/>
        <v>46271</v>
      </c>
      <c r="H179" s="17" t="s">
        <v>32</v>
      </c>
    </row>
    <row r="180" spans="1:8" s="17" customFormat="1" x14ac:dyDescent="0.3">
      <c r="A180" s="17" t="s">
        <v>21</v>
      </c>
      <c r="B180" s="18">
        <f t="shared" si="14"/>
        <v>46277</v>
      </c>
      <c r="C180" s="19"/>
      <c r="E180" s="19"/>
      <c r="F180" s="19"/>
      <c r="G180" s="20">
        <f t="shared" si="13"/>
        <v>46277</v>
      </c>
      <c r="H180" s="17" t="s">
        <v>31</v>
      </c>
    </row>
    <row r="181" spans="1:8" s="17" customFormat="1" x14ac:dyDescent="0.3">
      <c r="A181" s="17" t="s">
        <v>55</v>
      </c>
      <c r="B181" s="18">
        <f t="shared" si="14"/>
        <v>46278</v>
      </c>
      <c r="C181" s="19"/>
      <c r="E181" s="19"/>
      <c r="F181" s="19"/>
      <c r="G181" s="20">
        <f t="shared" si="13"/>
        <v>46278</v>
      </c>
      <c r="H181" s="17" t="s">
        <v>32</v>
      </c>
    </row>
    <row r="182" spans="1:8" s="17" customFormat="1" x14ac:dyDescent="0.3">
      <c r="A182" s="17" t="s">
        <v>22</v>
      </c>
      <c r="B182" s="18">
        <f t="shared" si="14"/>
        <v>46284</v>
      </c>
      <c r="C182" s="19"/>
      <c r="E182" s="19"/>
      <c r="F182" s="19"/>
      <c r="G182" s="20">
        <f t="shared" si="13"/>
        <v>46284</v>
      </c>
      <c r="H182" s="17" t="s">
        <v>31</v>
      </c>
    </row>
    <row r="183" spans="1:8" s="17" customFormat="1" x14ac:dyDescent="0.3">
      <c r="A183" s="17" t="s">
        <v>56</v>
      </c>
      <c r="B183" s="18">
        <f t="shared" si="14"/>
        <v>46285</v>
      </c>
      <c r="C183" s="19"/>
      <c r="E183" s="19"/>
      <c r="F183" s="19"/>
      <c r="G183" s="20">
        <f t="shared" si="13"/>
        <v>46285</v>
      </c>
      <c r="H183" s="17" t="s">
        <v>32</v>
      </c>
    </row>
    <row r="184" spans="1:8" s="17" customFormat="1" x14ac:dyDescent="0.3">
      <c r="A184" s="17" t="s">
        <v>21</v>
      </c>
      <c r="B184" s="18">
        <f t="shared" si="14"/>
        <v>46291</v>
      </c>
      <c r="C184" s="19"/>
      <c r="E184" s="19"/>
      <c r="F184" s="19"/>
      <c r="G184" s="20">
        <f t="shared" si="13"/>
        <v>46291</v>
      </c>
      <c r="H184" s="17" t="s">
        <v>31</v>
      </c>
    </row>
    <row r="185" spans="1:8" s="17" customFormat="1" x14ac:dyDescent="0.3">
      <c r="A185" s="17" t="s">
        <v>55</v>
      </c>
      <c r="B185" s="18">
        <f t="shared" si="14"/>
        <v>46292</v>
      </c>
      <c r="C185" s="19"/>
      <c r="E185" s="19"/>
      <c r="F185" s="19"/>
      <c r="G185" s="20">
        <f t="shared" si="13"/>
        <v>46292</v>
      </c>
      <c r="H185" s="17" t="s">
        <v>32</v>
      </c>
    </row>
    <row r="186" spans="1:8" s="17" customFormat="1" x14ac:dyDescent="0.3">
      <c r="A186" s="17" t="s">
        <v>22</v>
      </c>
      <c r="B186" s="18">
        <f t="shared" si="14"/>
        <v>46298</v>
      </c>
      <c r="C186" s="19"/>
      <c r="E186" s="19"/>
      <c r="F186" s="19"/>
      <c r="G186" s="20">
        <f t="shared" si="13"/>
        <v>46298</v>
      </c>
      <c r="H186" s="17" t="s">
        <v>31</v>
      </c>
    </row>
    <row r="187" spans="1:8" s="17" customFormat="1" x14ac:dyDescent="0.3">
      <c r="A187" s="17" t="s">
        <v>56</v>
      </c>
      <c r="B187" s="18">
        <f t="shared" si="14"/>
        <v>46299</v>
      </c>
      <c r="C187" s="19"/>
      <c r="E187" s="19"/>
      <c r="F187" s="19"/>
      <c r="G187" s="20">
        <f t="shared" si="13"/>
        <v>46299</v>
      </c>
      <c r="H187" s="17" t="s">
        <v>32</v>
      </c>
    </row>
    <row r="188" spans="1:8" s="17" customFormat="1" x14ac:dyDescent="0.3">
      <c r="A188" s="17" t="s">
        <v>21</v>
      </c>
      <c r="B188" s="18">
        <f t="shared" si="14"/>
        <v>46305</v>
      </c>
      <c r="C188" s="19"/>
      <c r="E188" s="19"/>
      <c r="F188" s="19"/>
      <c r="G188" s="20">
        <f t="shared" si="13"/>
        <v>46305</v>
      </c>
      <c r="H188" s="17" t="s">
        <v>31</v>
      </c>
    </row>
    <row r="189" spans="1:8" s="17" customFormat="1" x14ac:dyDescent="0.3">
      <c r="A189" s="17" t="s">
        <v>55</v>
      </c>
      <c r="B189" s="18">
        <f t="shared" si="14"/>
        <v>46306</v>
      </c>
      <c r="C189" s="19"/>
      <c r="E189" s="19"/>
      <c r="F189" s="19"/>
      <c r="G189" s="20">
        <f t="shared" si="13"/>
        <v>46306</v>
      </c>
      <c r="H189" s="17" t="s">
        <v>32</v>
      </c>
    </row>
    <row r="190" spans="1:8" s="17" customFormat="1" x14ac:dyDescent="0.3">
      <c r="A190" s="17" t="s">
        <v>22</v>
      </c>
      <c r="B190" s="18">
        <f t="shared" si="14"/>
        <v>46312</v>
      </c>
      <c r="C190" s="19"/>
      <c r="E190" s="19"/>
      <c r="F190" s="19"/>
      <c r="G190" s="20">
        <f t="shared" si="13"/>
        <v>46312</v>
      </c>
      <c r="H190" s="17" t="s">
        <v>31</v>
      </c>
    </row>
    <row r="191" spans="1:8" s="17" customFormat="1" x14ac:dyDescent="0.3">
      <c r="A191" s="17" t="s">
        <v>56</v>
      </c>
      <c r="B191" s="18">
        <f t="shared" si="14"/>
        <v>46313</v>
      </c>
      <c r="C191" s="19"/>
      <c r="E191" s="19"/>
      <c r="F191" s="19"/>
      <c r="G191" s="20">
        <f t="shared" si="13"/>
        <v>46313</v>
      </c>
      <c r="H191" s="17" t="s">
        <v>32</v>
      </c>
    </row>
    <row r="192" spans="1:8" s="17" customFormat="1" x14ac:dyDescent="0.3">
      <c r="A192" s="17" t="s">
        <v>21</v>
      </c>
      <c r="B192" s="18">
        <f t="shared" si="14"/>
        <v>46319</v>
      </c>
      <c r="C192" s="19"/>
      <c r="E192" s="19"/>
      <c r="F192" s="19"/>
      <c r="G192" s="20">
        <f t="shared" si="13"/>
        <v>46319</v>
      </c>
      <c r="H192" s="17" t="s">
        <v>31</v>
      </c>
    </row>
    <row r="193" spans="1:8" s="17" customFormat="1" x14ac:dyDescent="0.3">
      <c r="A193" s="17" t="s">
        <v>55</v>
      </c>
      <c r="B193" s="18">
        <f t="shared" si="14"/>
        <v>46320</v>
      </c>
      <c r="C193" s="19"/>
      <c r="E193" s="19"/>
      <c r="F193" s="19"/>
      <c r="G193" s="20">
        <f t="shared" si="13"/>
        <v>46320</v>
      </c>
      <c r="H193" s="17" t="s">
        <v>32</v>
      </c>
    </row>
    <row r="194" spans="1:8" s="17" customFormat="1" x14ac:dyDescent="0.3">
      <c r="A194" s="17" t="s">
        <v>22</v>
      </c>
      <c r="B194" s="18">
        <f t="shared" si="14"/>
        <v>46326</v>
      </c>
      <c r="C194" s="19"/>
      <c r="E194" s="19"/>
      <c r="F194" s="19"/>
      <c r="G194" s="20">
        <f t="shared" si="13"/>
        <v>46326</v>
      </c>
      <c r="H194" s="17" t="s">
        <v>31</v>
      </c>
    </row>
    <row r="195" spans="1:8" s="17" customFormat="1" x14ac:dyDescent="0.3">
      <c r="A195" s="17" t="s">
        <v>56</v>
      </c>
      <c r="B195" s="18">
        <f t="shared" si="14"/>
        <v>46327</v>
      </c>
      <c r="C195" s="19"/>
      <c r="E195" s="19"/>
      <c r="F195" s="19"/>
      <c r="G195" s="20">
        <f t="shared" si="13"/>
        <v>46327</v>
      </c>
      <c r="H195" s="17" t="s">
        <v>32</v>
      </c>
    </row>
    <row r="196" spans="1:8" s="17" customFormat="1" x14ac:dyDescent="0.3">
      <c r="A196" s="17" t="s">
        <v>21</v>
      </c>
      <c r="B196" s="18">
        <f t="shared" si="14"/>
        <v>46333</v>
      </c>
      <c r="C196" s="19"/>
      <c r="E196" s="19"/>
      <c r="F196" s="19"/>
      <c r="G196" s="20">
        <f t="shared" si="13"/>
        <v>46333</v>
      </c>
      <c r="H196" s="17" t="s">
        <v>31</v>
      </c>
    </row>
    <row r="197" spans="1:8" s="17" customFormat="1" x14ac:dyDescent="0.3">
      <c r="A197" s="17" t="s">
        <v>55</v>
      </c>
      <c r="B197" s="18">
        <f t="shared" si="14"/>
        <v>46334</v>
      </c>
      <c r="C197" s="19"/>
      <c r="E197" s="19"/>
      <c r="F197" s="19"/>
      <c r="G197" s="20">
        <f t="shared" si="13"/>
        <v>46334</v>
      </c>
      <c r="H197" s="17" t="s">
        <v>32</v>
      </c>
    </row>
    <row r="198" spans="1:8" s="17" customFormat="1" x14ac:dyDescent="0.3">
      <c r="A198" s="17" t="s">
        <v>22</v>
      </c>
      <c r="B198" s="18">
        <f t="shared" si="14"/>
        <v>46340</v>
      </c>
      <c r="C198" s="19"/>
      <c r="E198" s="19"/>
      <c r="F198" s="19"/>
      <c r="G198" s="20">
        <f t="shared" si="13"/>
        <v>46340</v>
      </c>
      <c r="H198" s="17" t="s">
        <v>31</v>
      </c>
    </row>
    <row r="199" spans="1:8" s="17" customFormat="1" x14ac:dyDescent="0.3">
      <c r="A199" s="17" t="s">
        <v>56</v>
      </c>
      <c r="B199" s="18">
        <f t="shared" si="14"/>
        <v>46341</v>
      </c>
      <c r="C199" s="19"/>
      <c r="E199" s="19"/>
      <c r="F199" s="19"/>
      <c r="G199" s="20">
        <f t="shared" si="13"/>
        <v>46341</v>
      </c>
      <c r="H199" s="17" t="s">
        <v>32</v>
      </c>
    </row>
    <row r="200" spans="1:8" s="17" customFormat="1" x14ac:dyDescent="0.3">
      <c r="A200" s="17" t="s">
        <v>21</v>
      </c>
      <c r="B200" s="18">
        <f t="shared" si="14"/>
        <v>46347</v>
      </c>
      <c r="C200" s="19"/>
      <c r="E200" s="19"/>
      <c r="F200" s="19"/>
      <c r="G200" s="20">
        <f t="shared" si="13"/>
        <v>46347</v>
      </c>
      <c r="H200" s="17" t="s">
        <v>31</v>
      </c>
    </row>
    <row r="201" spans="1:8" s="17" customFormat="1" x14ac:dyDescent="0.3">
      <c r="A201" s="17" t="s">
        <v>55</v>
      </c>
      <c r="B201" s="18">
        <f t="shared" si="14"/>
        <v>46348</v>
      </c>
      <c r="C201" s="19"/>
      <c r="E201" s="19"/>
      <c r="F201" s="19"/>
      <c r="G201" s="20">
        <f t="shared" si="13"/>
        <v>46348</v>
      </c>
      <c r="H201" s="17" t="s">
        <v>32</v>
      </c>
    </row>
    <row r="202" spans="1:8" s="17" customFormat="1" x14ac:dyDescent="0.3">
      <c r="A202" s="17" t="s">
        <v>22</v>
      </c>
      <c r="B202" s="18">
        <f t="shared" si="14"/>
        <v>46354</v>
      </c>
      <c r="C202" s="19"/>
      <c r="E202" s="19"/>
      <c r="F202" s="19"/>
      <c r="G202" s="20">
        <f t="shared" si="13"/>
        <v>46354</v>
      </c>
      <c r="H202" s="17" t="s">
        <v>31</v>
      </c>
    </row>
    <row r="203" spans="1:8" s="17" customFormat="1" x14ac:dyDescent="0.3">
      <c r="A203" s="17" t="s">
        <v>56</v>
      </c>
      <c r="B203" s="18">
        <f t="shared" si="14"/>
        <v>46355</v>
      </c>
      <c r="C203" s="19"/>
      <c r="E203" s="19"/>
      <c r="F203" s="19"/>
      <c r="G203" s="20">
        <f t="shared" si="13"/>
        <v>46355</v>
      </c>
      <c r="H203" s="17" t="s">
        <v>32</v>
      </c>
    </row>
    <row r="204" spans="1:8" s="17" customFormat="1" x14ac:dyDescent="0.3">
      <c r="A204" s="17" t="s">
        <v>21</v>
      </c>
      <c r="B204" s="18">
        <f t="shared" si="14"/>
        <v>46361</v>
      </c>
      <c r="C204" s="19"/>
      <c r="E204" s="19"/>
      <c r="F204" s="19"/>
      <c r="G204" s="20">
        <f t="shared" si="13"/>
        <v>46361</v>
      </c>
      <c r="H204" s="17" t="s">
        <v>31</v>
      </c>
    </row>
    <row r="205" spans="1:8" s="17" customFormat="1" x14ac:dyDescent="0.3">
      <c r="A205" s="17" t="s">
        <v>55</v>
      </c>
      <c r="B205" s="18">
        <f t="shared" si="14"/>
        <v>46362</v>
      </c>
      <c r="C205" s="19"/>
      <c r="E205" s="19"/>
      <c r="F205" s="19"/>
      <c r="G205" s="20">
        <f t="shared" si="13"/>
        <v>46362</v>
      </c>
      <c r="H205" s="17" t="s">
        <v>32</v>
      </c>
    </row>
    <row r="206" spans="1:8" s="17" customFormat="1" x14ac:dyDescent="0.3">
      <c r="A206" s="17" t="s">
        <v>22</v>
      </c>
      <c r="B206" s="18">
        <f t="shared" si="14"/>
        <v>46368</v>
      </c>
      <c r="C206" s="19"/>
      <c r="E206" s="19"/>
      <c r="F206" s="19"/>
      <c r="G206" s="20">
        <f t="shared" si="13"/>
        <v>46368</v>
      </c>
      <c r="H206" s="17" t="s">
        <v>31</v>
      </c>
    </row>
    <row r="207" spans="1:8" s="17" customFormat="1" x14ac:dyDescent="0.3">
      <c r="A207" s="17" t="s">
        <v>56</v>
      </c>
      <c r="B207" s="18">
        <f t="shared" si="14"/>
        <v>46369</v>
      </c>
      <c r="C207" s="19"/>
      <c r="E207" s="19"/>
      <c r="F207" s="19"/>
      <c r="G207" s="20">
        <f t="shared" si="13"/>
        <v>46369</v>
      </c>
      <c r="H207" s="17" t="s">
        <v>32</v>
      </c>
    </row>
    <row r="208" spans="1:8" s="17" customFormat="1" x14ac:dyDescent="0.3">
      <c r="A208" s="17" t="s">
        <v>21</v>
      </c>
      <c r="B208" s="18">
        <f t="shared" si="14"/>
        <v>46375</v>
      </c>
      <c r="C208" s="19"/>
      <c r="E208" s="19"/>
      <c r="F208" s="19"/>
      <c r="G208" s="20">
        <f t="shared" si="13"/>
        <v>46375</v>
      </c>
      <c r="H208" s="17" t="s">
        <v>31</v>
      </c>
    </row>
    <row r="209" spans="1:8" s="17" customFormat="1" x14ac:dyDescent="0.3">
      <c r="A209" s="17" t="s">
        <v>55</v>
      </c>
      <c r="B209" s="18">
        <f t="shared" si="14"/>
        <v>46376</v>
      </c>
      <c r="C209" s="19"/>
      <c r="E209" s="19"/>
      <c r="F209" s="19"/>
      <c r="G209" s="20">
        <f t="shared" si="13"/>
        <v>46376</v>
      </c>
      <c r="H209" s="17" t="s">
        <v>32</v>
      </c>
    </row>
    <row r="210" spans="1:8" s="17" customFormat="1" x14ac:dyDescent="0.3">
      <c r="A210" s="17" t="s">
        <v>22</v>
      </c>
      <c r="B210" s="18">
        <f t="shared" si="14"/>
        <v>46382</v>
      </c>
      <c r="C210" s="19"/>
      <c r="E210" s="19"/>
      <c r="F210" s="19"/>
      <c r="G210" s="20">
        <f t="shared" si="13"/>
        <v>46382</v>
      </c>
      <c r="H210" s="17" t="s">
        <v>31</v>
      </c>
    </row>
    <row r="211" spans="1:8" s="17" customFormat="1" x14ac:dyDescent="0.3">
      <c r="A211" s="17" t="s">
        <v>56</v>
      </c>
      <c r="B211" s="18">
        <f t="shared" si="14"/>
        <v>46383</v>
      </c>
      <c r="C211" s="19"/>
      <c r="E211" s="19"/>
      <c r="F211" s="19"/>
      <c r="G211" s="20">
        <f t="shared" si="13"/>
        <v>46383</v>
      </c>
      <c r="H211" s="17" t="s">
        <v>32</v>
      </c>
    </row>
    <row r="212" spans="1:8" s="21" customFormat="1" x14ac:dyDescent="0.3">
      <c r="A212" s="21" t="s">
        <v>17</v>
      </c>
      <c r="B212" s="24">
        <f t="shared" si="14"/>
        <v>46025</v>
      </c>
      <c r="C212" s="22"/>
      <c r="E212" s="22"/>
      <c r="F212" s="22"/>
      <c r="G212" s="23">
        <v>46025</v>
      </c>
    </row>
    <row r="213" spans="1:8" s="21" customFormat="1" x14ac:dyDescent="0.3">
      <c r="A213" s="21" t="s">
        <v>18</v>
      </c>
      <c r="B213" s="24">
        <f t="shared" si="14"/>
        <v>46032</v>
      </c>
      <c r="C213" s="22"/>
      <c r="E213" s="22"/>
      <c r="F213" s="22"/>
      <c r="G213" s="23">
        <f>G212+7</f>
        <v>46032</v>
      </c>
    </row>
    <row r="214" spans="1:8" s="21" customFormat="1" x14ac:dyDescent="0.3">
      <c r="A214" s="21" t="s">
        <v>19</v>
      </c>
      <c r="B214" s="24">
        <f t="shared" si="14"/>
        <v>46039</v>
      </c>
      <c r="C214" s="22"/>
      <c r="E214" s="22"/>
      <c r="F214" s="22"/>
      <c r="G214" s="23">
        <f t="shared" ref="G214:G259" si="15">G213+7</f>
        <v>46039</v>
      </c>
    </row>
    <row r="215" spans="1:8" s="21" customFormat="1" x14ac:dyDescent="0.3">
      <c r="A215" s="21" t="s">
        <v>17</v>
      </c>
      <c r="B215" s="24">
        <f t="shared" si="14"/>
        <v>46046</v>
      </c>
      <c r="C215" s="22"/>
      <c r="E215" s="22"/>
      <c r="F215" s="22"/>
      <c r="G215" s="23">
        <f t="shared" si="15"/>
        <v>46046</v>
      </c>
    </row>
    <row r="216" spans="1:8" s="21" customFormat="1" x14ac:dyDescent="0.3">
      <c r="A216" s="21" t="s">
        <v>18</v>
      </c>
      <c r="B216" s="24">
        <f t="shared" si="14"/>
        <v>46053</v>
      </c>
      <c r="C216" s="22"/>
      <c r="E216" s="22"/>
      <c r="F216" s="22"/>
      <c r="G216" s="23">
        <f t="shared" si="15"/>
        <v>46053</v>
      </c>
    </row>
    <row r="217" spans="1:8" s="21" customFormat="1" x14ac:dyDescent="0.3">
      <c r="A217" s="21" t="s">
        <v>19</v>
      </c>
      <c r="B217" s="24">
        <f t="shared" si="14"/>
        <v>46060</v>
      </c>
      <c r="C217" s="22"/>
      <c r="E217" s="22"/>
      <c r="F217" s="22"/>
      <c r="G217" s="23">
        <f t="shared" si="15"/>
        <v>46060</v>
      </c>
    </row>
    <row r="218" spans="1:8" s="21" customFormat="1" x14ac:dyDescent="0.3">
      <c r="A218" s="21" t="s">
        <v>17</v>
      </c>
      <c r="B218" s="24">
        <f t="shared" si="14"/>
        <v>46067</v>
      </c>
      <c r="C218" s="22"/>
      <c r="E218" s="22"/>
      <c r="F218" s="22"/>
      <c r="G218" s="23">
        <f t="shared" si="15"/>
        <v>46067</v>
      </c>
    </row>
    <row r="219" spans="1:8" s="21" customFormat="1" x14ac:dyDescent="0.3">
      <c r="A219" s="21" t="s">
        <v>18</v>
      </c>
      <c r="B219" s="24">
        <f t="shared" si="14"/>
        <v>46074</v>
      </c>
      <c r="C219" s="22"/>
      <c r="E219" s="22"/>
      <c r="F219" s="22"/>
      <c r="G219" s="23">
        <f t="shared" si="15"/>
        <v>46074</v>
      </c>
    </row>
    <row r="220" spans="1:8" s="21" customFormat="1" x14ac:dyDescent="0.3">
      <c r="A220" s="21" t="s">
        <v>19</v>
      </c>
      <c r="B220" s="24">
        <f t="shared" si="14"/>
        <v>46081</v>
      </c>
      <c r="C220" s="22"/>
      <c r="E220" s="22"/>
      <c r="F220" s="22"/>
      <c r="G220" s="23">
        <f t="shared" si="15"/>
        <v>46081</v>
      </c>
    </row>
    <row r="221" spans="1:8" s="21" customFormat="1" x14ac:dyDescent="0.3">
      <c r="A221" s="21" t="s">
        <v>17</v>
      </c>
      <c r="B221" s="24">
        <f t="shared" si="14"/>
        <v>46088</v>
      </c>
      <c r="C221" s="22"/>
      <c r="E221" s="22"/>
      <c r="F221" s="22"/>
      <c r="G221" s="23">
        <f t="shared" si="15"/>
        <v>46088</v>
      </c>
    </row>
    <row r="222" spans="1:8" s="21" customFormat="1" x14ac:dyDescent="0.3">
      <c r="A222" s="21" t="s">
        <v>18</v>
      </c>
      <c r="B222" s="24">
        <f t="shared" si="14"/>
        <v>46095</v>
      </c>
      <c r="C222" s="22"/>
      <c r="E222" s="22"/>
      <c r="F222" s="22"/>
      <c r="G222" s="23">
        <f t="shared" si="15"/>
        <v>46095</v>
      </c>
    </row>
    <row r="223" spans="1:8" s="21" customFormat="1" x14ac:dyDescent="0.3">
      <c r="A223" s="21" t="s">
        <v>19</v>
      </c>
      <c r="B223" s="24">
        <f t="shared" si="14"/>
        <v>46102</v>
      </c>
      <c r="C223" s="22"/>
      <c r="E223" s="22"/>
      <c r="F223" s="22"/>
      <c r="G223" s="23">
        <f t="shared" si="15"/>
        <v>46102</v>
      </c>
    </row>
    <row r="224" spans="1:8" s="21" customFormat="1" x14ac:dyDescent="0.3">
      <c r="A224" s="21" t="s">
        <v>17</v>
      </c>
      <c r="B224" s="24">
        <f t="shared" si="14"/>
        <v>46109</v>
      </c>
      <c r="C224" s="22"/>
      <c r="E224" s="22"/>
      <c r="F224" s="22"/>
      <c r="G224" s="23">
        <f t="shared" si="15"/>
        <v>46109</v>
      </c>
    </row>
    <row r="225" spans="1:7" s="21" customFormat="1" x14ac:dyDescent="0.3">
      <c r="A225" s="21" t="s">
        <v>18</v>
      </c>
      <c r="B225" s="24">
        <f t="shared" si="14"/>
        <v>46116</v>
      </c>
      <c r="C225" s="22"/>
      <c r="E225" s="22"/>
      <c r="F225" s="22"/>
      <c r="G225" s="23">
        <f t="shared" si="15"/>
        <v>46116</v>
      </c>
    </row>
    <row r="226" spans="1:7" s="21" customFormat="1" x14ac:dyDescent="0.3">
      <c r="A226" s="21" t="s">
        <v>19</v>
      </c>
      <c r="B226" s="24">
        <f t="shared" si="14"/>
        <v>46123</v>
      </c>
      <c r="C226" s="22"/>
      <c r="E226" s="22"/>
      <c r="F226" s="22"/>
      <c r="G226" s="23">
        <f t="shared" si="15"/>
        <v>46123</v>
      </c>
    </row>
    <row r="227" spans="1:7" s="21" customFormat="1" x14ac:dyDescent="0.3">
      <c r="A227" s="21" t="s">
        <v>17</v>
      </c>
      <c r="B227" s="24">
        <f t="shared" si="14"/>
        <v>46130</v>
      </c>
      <c r="C227" s="22"/>
      <c r="E227" s="22"/>
      <c r="F227" s="22"/>
      <c r="G227" s="23">
        <f t="shared" si="15"/>
        <v>46130</v>
      </c>
    </row>
    <row r="228" spans="1:7" s="21" customFormat="1" x14ac:dyDescent="0.3">
      <c r="A228" s="21" t="s">
        <v>18</v>
      </c>
      <c r="B228" s="24">
        <f t="shared" si="14"/>
        <v>46137</v>
      </c>
      <c r="C228" s="22"/>
      <c r="E228" s="22"/>
      <c r="F228" s="22"/>
      <c r="G228" s="23">
        <f t="shared" si="15"/>
        <v>46137</v>
      </c>
    </row>
    <row r="229" spans="1:7" s="21" customFormat="1" x14ac:dyDescent="0.3">
      <c r="A229" s="21" t="s">
        <v>19</v>
      </c>
      <c r="B229" s="24">
        <f t="shared" si="14"/>
        <v>46144</v>
      </c>
      <c r="C229" s="22"/>
      <c r="E229" s="22"/>
      <c r="F229" s="22"/>
      <c r="G229" s="23">
        <f t="shared" si="15"/>
        <v>46144</v>
      </c>
    </row>
    <row r="230" spans="1:7" s="21" customFormat="1" x14ac:dyDescent="0.3">
      <c r="A230" s="21" t="s">
        <v>17</v>
      </c>
      <c r="B230" s="24">
        <f t="shared" si="14"/>
        <v>46151</v>
      </c>
      <c r="C230" s="22"/>
      <c r="E230" s="22"/>
      <c r="F230" s="22"/>
      <c r="G230" s="23">
        <f t="shared" si="15"/>
        <v>46151</v>
      </c>
    </row>
    <row r="231" spans="1:7" s="21" customFormat="1" x14ac:dyDescent="0.3">
      <c r="A231" s="21" t="s">
        <v>18</v>
      </c>
      <c r="B231" s="24">
        <f t="shared" si="14"/>
        <v>46158</v>
      </c>
      <c r="C231" s="22"/>
      <c r="E231" s="22"/>
      <c r="F231" s="22"/>
      <c r="G231" s="23">
        <f t="shared" si="15"/>
        <v>46158</v>
      </c>
    </row>
    <row r="232" spans="1:7" s="21" customFormat="1" x14ac:dyDescent="0.3">
      <c r="A232" s="21" t="s">
        <v>19</v>
      </c>
      <c r="B232" s="24">
        <f t="shared" si="14"/>
        <v>46165</v>
      </c>
      <c r="C232" s="22"/>
      <c r="E232" s="22"/>
      <c r="F232" s="22"/>
      <c r="G232" s="23">
        <f t="shared" si="15"/>
        <v>46165</v>
      </c>
    </row>
    <row r="233" spans="1:7" s="21" customFormat="1" x14ac:dyDescent="0.3">
      <c r="A233" s="21" t="s">
        <v>17</v>
      </c>
      <c r="B233" s="24">
        <f t="shared" si="14"/>
        <v>46172</v>
      </c>
      <c r="C233" s="22"/>
      <c r="E233" s="22"/>
      <c r="F233" s="22"/>
      <c r="G233" s="23">
        <f t="shared" si="15"/>
        <v>46172</v>
      </c>
    </row>
    <row r="234" spans="1:7" s="21" customFormat="1" x14ac:dyDescent="0.3">
      <c r="A234" s="21" t="s">
        <v>18</v>
      </c>
      <c r="B234" s="24">
        <f t="shared" si="14"/>
        <v>46179</v>
      </c>
      <c r="C234" s="22"/>
      <c r="E234" s="22"/>
      <c r="F234" s="22"/>
      <c r="G234" s="23">
        <f t="shared" si="15"/>
        <v>46179</v>
      </c>
    </row>
    <row r="235" spans="1:7" s="21" customFormat="1" x14ac:dyDescent="0.3">
      <c r="A235" s="21" t="s">
        <v>19</v>
      </c>
      <c r="B235" s="24">
        <f t="shared" si="14"/>
        <v>46186</v>
      </c>
      <c r="C235" s="22"/>
      <c r="E235" s="22"/>
      <c r="F235" s="22"/>
      <c r="G235" s="23">
        <f t="shared" si="15"/>
        <v>46186</v>
      </c>
    </row>
    <row r="236" spans="1:7" s="21" customFormat="1" x14ac:dyDescent="0.3">
      <c r="A236" s="21" t="s">
        <v>17</v>
      </c>
      <c r="B236" s="24">
        <f t="shared" si="14"/>
        <v>46193</v>
      </c>
      <c r="C236" s="22"/>
      <c r="E236" s="22"/>
      <c r="F236" s="22"/>
      <c r="G236" s="23">
        <f t="shared" si="15"/>
        <v>46193</v>
      </c>
    </row>
    <row r="237" spans="1:7" s="21" customFormat="1" x14ac:dyDescent="0.3">
      <c r="A237" s="21" t="s">
        <v>18</v>
      </c>
      <c r="B237" s="24">
        <f t="shared" si="14"/>
        <v>46200</v>
      </c>
      <c r="C237" s="22"/>
      <c r="E237" s="22"/>
      <c r="F237" s="22"/>
      <c r="G237" s="23">
        <f t="shared" si="15"/>
        <v>46200</v>
      </c>
    </row>
    <row r="238" spans="1:7" s="21" customFormat="1" x14ac:dyDescent="0.3">
      <c r="A238" s="21" t="s">
        <v>19</v>
      </c>
      <c r="B238" s="24">
        <f t="shared" si="14"/>
        <v>46207</v>
      </c>
      <c r="C238" s="22"/>
      <c r="E238" s="22"/>
      <c r="F238" s="22"/>
      <c r="G238" s="23">
        <f t="shared" si="15"/>
        <v>46207</v>
      </c>
    </row>
    <row r="239" spans="1:7" s="21" customFormat="1" x14ac:dyDescent="0.3">
      <c r="A239" s="21" t="s">
        <v>17</v>
      </c>
      <c r="B239" s="24">
        <f t="shared" si="14"/>
        <v>46214</v>
      </c>
      <c r="C239" s="22"/>
      <c r="E239" s="22"/>
      <c r="F239" s="22"/>
      <c r="G239" s="23">
        <f t="shared" si="15"/>
        <v>46214</v>
      </c>
    </row>
    <row r="240" spans="1:7" s="21" customFormat="1" x14ac:dyDescent="0.3">
      <c r="A240" s="21" t="s">
        <v>18</v>
      </c>
      <c r="B240" s="24">
        <f t="shared" si="14"/>
        <v>46221</v>
      </c>
      <c r="C240" s="22"/>
      <c r="E240" s="22"/>
      <c r="F240" s="22"/>
      <c r="G240" s="23">
        <f t="shared" si="15"/>
        <v>46221</v>
      </c>
    </row>
    <row r="241" spans="1:7" s="21" customFormat="1" x14ac:dyDescent="0.3">
      <c r="A241" s="21" t="s">
        <v>19</v>
      </c>
      <c r="B241" s="24">
        <f t="shared" si="14"/>
        <v>46228</v>
      </c>
      <c r="C241" s="22"/>
      <c r="E241" s="22"/>
      <c r="F241" s="22"/>
      <c r="G241" s="23">
        <f t="shared" si="15"/>
        <v>46228</v>
      </c>
    </row>
    <row r="242" spans="1:7" s="21" customFormat="1" x14ac:dyDescent="0.3">
      <c r="A242" s="21" t="s">
        <v>17</v>
      </c>
      <c r="B242" s="24">
        <f t="shared" si="14"/>
        <v>46235</v>
      </c>
      <c r="C242" s="22"/>
      <c r="E242" s="22"/>
      <c r="F242" s="22"/>
      <c r="G242" s="23">
        <f t="shared" si="15"/>
        <v>46235</v>
      </c>
    </row>
    <row r="243" spans="1:7" s="21" customFormat="1" x14ac:dyDescent="0.3">
      <c r="A243" s="21" t="s">
        <v>18</v>
      </c>
      <c r="B243" s="24">
        <f t="shared" si="14"/>
        <v>46242</v>
      </c>
      <c r="C243" s="22"/>
      <c r="E243" s="22"/>
      <c r="F243" s="22"/>
      <c r="G243" s="23">
        <f t="shared" si="15"/>
        <v>46242</v>
      </c>
    </row>
    <row r="244" spans="1:7" s="21" customFormat="1" x14ac:dyDescent="0.3">
      <c r="A244" s="21" t="s">
        <v>19</v>
      </c>
      <c r="B244" s="24">
        <f t="shared" si="14"/>
        <v>46249</v>
      </c>
      <c r="C244" s="22"/>
      <c r="E244" s="22"/>
      <c r="F244" s="22"/>
      <c r="G244" s="23">
        <f t="shared" si="15"/>
        <v>46249</v>
      </c>
    </row>
    <row r="245" spans="1:7" s="21" customFormat="1" x14ac:dyDescent="0.3">
      <c r="A245" s="21" t="s">
        <v>17</v>
      </c>
      <c r="B245" s="24">
        <f t="shared" ref="B245:B308" si="16">G245</f>
        <v>46256</v>
      </c>
      <c r="C245" s="22"/>
      <c r="E245" s="22"/>
      <c r="F245" s="22"/>
      <c r="G245" s="23">
        <f t="shared" si="15"/>
        <v>46256</v>
      </c>
    </row>
    <row r="246" spans="1:7" s="21" customFormat="1" x14ac:dyDescent="0.3">
      <c r="A246" s="21" t="s">
        <v>18</v>
      </c>
      <c r="B246" s="24">
        <f t="shared" si="16"/>
        <v>46263</v>
      </c>
      <c r="C246" s="22"/>
      <c r="E246" s="22"/>
      <c r="F246" s="22"/>
      <c r="G246" s="23">
        <f t="shared" si="15"/>
        <v>46263</v>
      </c>
    </row>
    <row r="247" spans="1:7" s="21" customFormat="1" x14ac:dyDescent="0.3">
      <c r="A247" s="21" t="s">
        <v>19</v>
      </c>
      <c r="B247" s="24">
        <f t="shared" si="16"/>
        <v>46270</v>
      </c>
      <c r="C247" s="22"/>
      <c r="E247" s="22"/>
      <c r="F247" s="22"/>
      <c r="G247" s="23">
        <f t="shared" si="15"/>
        <v>46270</v>
      </c>
    </row>
    <row r="248" spans="1:7" s="21" customFormat="1" x14ac:dyDescent="0.3">
      <c r="A248" s="21" t="s">
        <v>17</v>
      </c>
      <c r="B248" s="24">
        <f t="shared" si="16"/>
        <v>46277</v>
      </c>
      <c r="C248" s="22"/>
      <c r="E248" s="22"/>
      <c r="F248" s="22"/>
      <c r="G248" s="23">
        <f t="shared" si="15"/>
        <v>46277</v>
      </c>
    </row>
    <row r="249" spans="1:7" s="21" customFormat="1" x14ac:dyDescent="0.3">
      <c r="A249" s="21" t="s">
        <v>18</v>
      </c>
      <c r="B249" s="24">
        <f t="shared" si="16"/>
        <v>46284</v>
      </c>
      <c r="C249" s="22"/>
      <c r="E249" s="22"/>
      <c r="F249" s="22"/>
      <c r="G249" s="23">
        <f t="shared" si="15"/>
        <v>46284</v>
      </c>
    </row>
    <row r="250" spans="1:7" s="21" customFormat="1" x14ac:dyDescent="0.3">
      <c r="A250" s="21" t="s">
        <v>19</v>
      </c>
      <c r="B250" s="24">
        <f t="shared" si="16"/>
        <v>46291</v>
      </c>
      <c r="C250" s="22"/>
      <c r="E250" s="22"/>
      <c r="F250" s="22"/>
      <c r="G250" s="23">
        <f t="shared" si="15"/>
        <v>46291</v>
      </c>
    </row>
    <row r="251" spans="1:7" s="21" customFormat="1" x14ac:dyDescent="0.3">
      <c r="A251" s="21" t="s">
        <v>17</v>
      </c>
      <c r="B251" s="24">
        <f t="shared" si="16"/>
        <v>46298</v>
      </c>
      <c r="C251" s="22"/>
      <c r="E251" s="22"/>
      <c r="F251" s="22"/>
      <c r="G251" s="23">
        <f t="shared" si="15"/>
        <v>46298</v>
      </c>
    </row>
    <row r="252" spans="1:7" s="21" customFormat="1" x14ac:dyDescent="0.3">
      <c r="A252" s="21" t="s">
        <v>18</v>
      </c>
      <c r="B252" s="24">
        <f t="shared" si="16"/>
        <v>46305</v>
      </c>
      <c r="C252" s="22"/>
      <c r="E252" s="22"/>
      <c r="F252" s="22"/>
      <c r="G252" s="23">
        <f t="shared" si="15"/>
        <v>46305</v>
      </c>
    </row>
    <row r="253" spans="1:7" s="21" customFormat="1" x14ac:dyDescent="0.3">
      <c r="A253" s="21" t="s">
        <v>19</v>
      </c>
      <c r="B253" s="24">
        <f t="shared" si="16"/>
        <v>46312</v>
      </c>
      <c r="C253" s="22"/>
      <c r="E253" s="22"/>
      <c r="F253" s="22"/>
      <c r="G253" s="23">
        <f t="shared" si="15"/>
        <v>46312</v>
      </c>
    </row>
    <row r="254" spans="1:7" s="21" customFormat="1" x14ac:dyDescent="0.3">
      <c r="A254" s="21" t="s">
        <v>17</v>
      </c>
      <c r="B254" s="24">
        <f t="shared" si="16"/>
        <v>46319</v>
      </c>
      <c r="C254" s="22"/>
      <c r="E254" s="22"/>
      <c r="F254" s="22"/>
      <c r="G254" s="23">
        <f t="shared" si="15"/>
        <v>46319</v>
      </c>
    </row>
    <row r="255" spans="1:7" s="21" customFormat="1" x14ac:dyDescent="0.3">
      <c r="A255" s="21" t="s">
        <v>18</v>
      </c>
      <c r="B255" s="24">
        <f t="shared" si="16"/>
        <v>46326</v>
      </c>
      <c r="C255" s="22"/>
      <c r="E255" s="22"/>
      <c r="F255" s="22"/>
      <c r="G255" s="23">
        <f t="shared" si="15"/>
        <v>46326</v>
      </c>
    </row>
    <row r="256" spans="1:7" s="21" customFormat="1" x14ac:dyDescent="0.3">
      <c r="A256" s="21" t="s">
        <v>19</v>
      </c>
      <c r="B256" s="24">
        <f t="shared" si="16"/>
        <v>46333</v>
      </c>
      <c r="C256" s="22"/>
      <c r="E256" s="22"/>
      <c r="F256" s="22"/>
      <c r="G256" s="23">
        <f t="shared" si="15"/>
        <v>46333</v>
      </c>
    </row>
    <row r="257" spans="1:7" s="21" customFormat="1" x14ac:dyDescent="0.3">
      <c r="A257" s="21" t="s">
        <v>17</v>
      </c>
      <c r="B257" s="24">
        <f t="shared" si="16"/>
        <v>46340</v>
      </c>
      <c r="C257" s="22"/>
      <c r="E257" s="22"/>
      <c r="F257" s="22"/>
      <c r="G257" s="23">
        <f t="shared" si="15"/>
        <v>46340</v>
      </c>
    </row>
    <row r="258" spans="1:7" s="21" customFormat="1" x14ac:dyDescent="0.3">
      <c r="A258" s="21" t="s">
        <v>18</v>
      </c>
      <c r="B258" s="24">
        <f t="shared" si="16"/>
        <v>46347</v>
      </c>
      <c r="C258" s="22"/>
      <c r="E258" s="22"/>
      <c r="F258" s="22"/>
      <c r="G258" s="23">
        <f t="shared" si="15"/>
        <v>46347</v>
      </c>
    </row>
    <row r="259" spans="1:7" s="21" customFormat="1" x14ac:dyDescent="0.3">
      <c r="A259" s="21" t="s">
        <v>19</v>
      </c>
      <c r="B259" s="24">
        <f t="shared" si="16"/>
        <v>46354</v>
      </c>
      <c r="C259" s="22"/>
      <c r="E259" s="22"/>
      <c r="F259" s="22"/>
      <c r="G259" s="23">
        <f t="shared" si="15"/>
        <v>46354</v>
      </c>
    </row>
    <row r="260" spans="1:7" s="21" customFormat="1" x14ac:dyDescent="0.3">
      <c r="B260" s="24">
        <f t="shared" si="16"/>
        <v>0</v>
      </c>
      <c r="C260" s="22"/>
      <c r="E260" s="22"/>
      <c r="F260" s="22"/>
      <c r="G260" s="23"/>
    </row>
    <row r="261" spans="1:7" s="21" customFormat="1" x14ac:dyDescent="0.3">
      <c r="B261" s="24">
        <f t="shared" si="16"/>
        <v>0</v>
      </c>
      <c r="C261" s="22"/>
      <c r="E261" s="22"/>
      <c r="F261" s="22"/>
      <c r="G261" s="23"/>
    </row>
    <row r="262" spans="1:7" s="21" customFormat="1" x14ac:dyDescent="0.3">
      <c r="B262" s="24">
        <f t="shared" si="16"/>
        <v>0</v>
      </c>
      <c r="C262" s="22"/>
      <c r="E262" s="22"/>
      <c r="F262" s="22"/>
      <c r="G262" s="23"/>
    </row>
    <row r="263" spans="1:7" s="21" customFormat="1" x14ac:dyDescent="0.3">
      <c r="B263" s="24">
        <f t="shared" si="16"/>
        <v>0</v>
      </c>
      <c r="C263" s="22"/>
      <c r="E263" s="22"/>
      <c r="F263" s="22"/>
      <c r="G263" s="23"/>
    </row>
    <row r="264" spans="1:7" s="21" customFormat="1" x14ac:dyDescent="0.3">
      <c r="B264" s="24">
        <f t="shared" si="16"/>
        <v>0</v>
      </c>
      <c r="C264" s="22"/>
      <c r="E264" s="22"/>
      <c r="F264" s="22"/>
      <c r="G264" s="23"/>
    </row>
    <row r="265" spans="1:7" s="21" customFormat="1" x14ac:dyDescent="0.3">
      <c r="B265" s="24">
        <f t="shared" si="16"/>
        <v>0</v>
      </c>
      <c r="C265" s="22"/>
      <c r="E265" s="22"/>
      <c r="F265" s="22"/>
      <c r="G265" s="23"/>
    </row>
    <row r="266" spans="1:7" s="21" customFormat="1" x14ac:dyDescent="0.3">
      <c r="B266" s="24">
        <f t="shared" si="16"/>
        <v>0</v>
      </c>
      <c r="C266" s="22"/>
      <c r="E266" s="22"/>
      <c r="F266" s="22"/>
      <c r="G266" s="23"/>
    </row>
    <row r="267" spans="1:7" s="21" customFormat="1" x14ac:dyDescent="0.3">
      <c r="B267" s="24">
        <f t="shared" si="16"/>
        <v>0</v>
      </c>
      <c r="C267" s="22"/>
      <c r="E267" s="22"/>
      <c r="F267" s="22"/>
      <c r="G267" s="23"/>
    </row>
    <row r="268" spans="1:7" s="21" customFormat="1" x14ac:dyDescent="0.3">
      <c r="B268" s="24">
        <f t="shared" si="16"/>
        <v>0</v>
      </c>
      <c r="C268" s="22"/>
      <c r="E268" s="22"/>
      <c r="F268" s="22"/>
      <c r="G268" s="23"/>
    </row>
    <row r="269" spans="1:7" s="21" customFormat="1" x14ac:dyDescent="0.3">
      <c r="B269" s="24">
        <f t="shared" si="16"/>
        <v>0</v>
      </c>
      <c r="C269" s="22"/>
      <c r="E269" s="22"/>
      <c r="F269" s="22"/>
      <c r="G269" s="23"/>
    </row>
    <row r="270" spans="1:7" s="21" customFormat="1" x14ac:dyDescent="0.3">
      <c r="B270" s="24">
        <f t="shared" si="16"/>
        <v>0</v>
      </c>
      <c r="C270" s="22"/>
      <c r="E270" s="22"/>
      <c r="F270" s="22"/>
      <c r="G270" s="23"/>
    </row>
    <row r="271" spans="1:7" s="21" customFormat="1" x14ac:dyDescent="0.3">
      <c r="B271" s="24">
        <f t="shared" si="16"/>
        <v>0</v>
      </c>
      <c r="C271" s="22"/>
      <c r="E271" s="22"/>
      <c r="F271" s="22"/>
      <c r="G271" s="23"/>
    </row>
    <row r="272" spans="1:7" s="21" customFormat="1" x14ac:dyDescent="0.3">
      <c r="B272" s="24">
        <f t="shared" si="16"/>
        <v>0</v>
      </c>
      <c r="C272" s="22"/>
      <c r="E272" s="22"/>
      <c r="F272" s="22"/>
      <c r="G272" s="23"/>
    </row>
    <row r="273" spans="2:7" s="21" customFormat="1" x14ac:dyDescent="0.3">
      <c r="B273" s="24">
        <f t="shared" si="16"/>
        <v>0</v>
      </c>
      <c r="C273" s="22"/>
      <c r="E273" s="22"/>
      <c r="F273" s="22"/>
      <c r="G273" s="23"/>
    </row>
    <row r="274" spans="2:7" s="21" customFormat="1" x14ac:dyDescent="0.3">
      <c r="B274" s="24">
        <f t="shared" si="16"/>
        <v>0</v>
      </c>
      <c r="C274" s="22"/>
      <c r="E274" s="22"/>
      <c r="F274" s="22"/>
      <c r="G274" s="23"/>
    </row>
    <row r="275" spans="2:7" s="21" customFormat="1" x14ac:dyDescent="0.3">
      <c r="B275" s="24">
        <f t="shared" si="16"/>
        <v>0</v>
      </c>
      <c r="C275" s="22"/>
      <c r="E275" s="22"/>
      <c r="F275" s="22"/>
      <c r="G275" s="23"/>
    </row>
    <row r="276" spans="2:7" s="21" customFormat="1" x14ac:dyDescent="0.3">
      <c r="B276" s="24">
        <f t="shared" si="16"/>
        <v>0</v>
      </c>
      <c r="C276" s="22"/>
      <c r="E276" s="22"/>
      <c r="F276" s="22"/>
      <c r="G276" s="23"/>
    </row>
    <row r="277" spans="2:7" s="21" customFormat="1" x14ac:dyDescent="0.3">
      <c r="B277" s="24">
        <f t="shared" si="16"/>
        <v>0</v>
      </c>
      <c r="C277" s="22"/>
      <c r="E277" s="22"/>
      <c r="F277" s="22"/>
      <c r="G277" s="23"/>
    </row>
    <row r="278" spans="2:7" s="21" customFormat="1" x14ac:dyDescent="0.3">
      <c r="B278" s="24">
        <f t="shared" si="16"/>
        <v>0</v>
      </c>
      <c r="C278" s="22"/>
      <c r="E278" s="22"/>
      <c r="F278" s="22"/>
      <c r="G278" s="23"/>
    </row>
    <row r="279" spans="2:7" s="21" customFormat="1" x14ac:dyDescent="0.3">
      <c r="B279" s="24">
        <f t="shared" si="16"/>
        <v>0</v>
      </c>
      <c r="C279" s="22"/>
      <c r="E279" s="22"/>
      <c r="F279" s="22"/>
      <c r="G279" s="23"/>
    </row>
    <row r="280" spans="2:7" s="21" customFormat="1" x14ac:dyDescent="0.3">
      <c r="B280" s="24">
        <f t="shared" si="16"/>
        <v>0</v>
      </c>
      <c r="C280" s="22"/>
      <c r="E280" s="22"/>
      <c r="F280" s="22"/>
      <c r="G280" s="23"/>
    </row>
    <row r="281" spans="2:7" s="21" customFormat="1" x14ac:dyDescent="0.3">
      <c r="B281" s="24">
        <f t="shared" si="16"/>
        <v>0</v>
      </c>
      <c r="C281" s="22"/>
      <c r="E281" s="22"/>
      <c r="F281" s="22"/>
      <c r="G281" s="23"/>
    </row>
    <row r="282" spans="2:7" s="21" customFormat="1" x14ac:dyDescent="0.3">
      <c r="B282" s="24">
        <f t="shared" si="16"/>
        <v>0</v>
      </c>
      <c r="C282" s="22"/>
      <c r="E282" s="22"/>
      <c r="F282" s="22"/>
      <c r="G282" s="23"/>
    </row>
    <row r="283" spans="2:7" s="21" customFormat="1" x14ac:dyDescent="0.3">
      <c r="B283" s="24">
        <f t="shared" si="16"/>
        <v>0</v>
      </c>
      <c r="C283" s="22"/>
      <c r="E283" s="22"/>
      <c r="F283" s="22"/>
      <c r="G283" s="23"/>
    </row>
    <row r="284" spans="2:7" s="21" customFormat="1" x14ac:dyDescent="0.3">
      <c r="B284" s="24">
        <f t="shared" si="16"/>
        <v>0</v>
      </c>
      <c r="C284" s="22"/>
      <c r="E284" s="22"/>
      <c r="F284" s="22"/>
      <c r="G284" s="23"/>
    </row>
    <row r="285" spans="2:7" s="21" customFormat="1" x14ac:dyDescent="0.3">
      <c r="B285" s="24">
        <f t="shared" si="16"/>
        <v>0</v>
      </c>
      <c r="C285" s="22"/>
      <c r="E285" s="22"/>
      <c r="F285" s="22"/>
      <c r="G285" s="23"/>
    </row>
    <row r="286" spans="2:7" s="21" customFormat="1" x14ac:dyDescent="0.3">
      <c r="B286" s="24">
        <f t="shared" si="16"/>
        <v>0</v>
      </c>
      <c r="C286" s="22"/>
      <c r="E286" s="22"/>
      <c r="F286" s="22"/>
      <c r="G286" s="23"/>
    </row>
    <row r="287" spans="2:7" s="21" customFormat="1" x14ac:dyDescent="0.3">
      <c r="B287" s="24">
        <f t="shared" si="16"/>
        <v>0</v>
      </c>
      <c r="C287" s="22"/>
      <c r="E287" s="22"/>
      <c r="F287" s="22"/>
      <c r="G287" s="23"/>
    </row>
    <row r="288" spans="2:7" s="21" customFormat="1" x14ac:dyDescent="0.3">
      <c r="B288" s="24">
        <f t="shared" si="16"/>
        <v>0</v>
      </c>
      <c r="C288" s="22"/>
      <c r="E288" s="22"/>
      <c r="F288" s="22"/>
      <c r="G288" s="23"/>
    </row>
    <row r="289" spans="2:7" s="21" customFormat="1" x14ac:dyDescent="0.3">
      <c r="B289" s="24">
        <f t="shared" si="16"/>
        <v>0</v>
      </c>
      <c r="C289" s="22"/>
      <c r="E289" s="22"/>
      <c r="F289" s="22"/>
      <c r="G289" s="23"/>
    </row>
    <row r="290" spans="2:7" s="21" customFormat="1" x14ac:dyDescent="0.3">
      <c r="B290" s="24">
        <f t="shared" si="16"/>
        <v>0</v>
      </c>
      <c r="C290" s="22"/>
      <c r="E290" s="22"/>
      <c r="F290" s="22"/>
      <c r="G290" s="23"/>
    </row>
    <row r="291" spans="2:7" s="21" customFormat="1" x14ac:dyDescent="0.3">
      <c r="B291" s="24">
        <f t="shared" si="16"/>
        <v>0</v>
      </c>
      <c r="C291" s="22"/>
      <c r="E291" s="22"/>
      <c r="F291" s="22"/>
      <c r="G291" s="23"/>
    </row>
    <row r="292" spans="2:7" s="21" customFormat="1" x14ac:dyDescent="0.3">
      <c r="B292" s="24">
        <f t="shared" si="16"/>
        <v>0</v>
      </c>
      <c r="C292" s="22"/>
      <c r="E292" s="22"/>
      <c r="F292" s="22"/>
      <c r="G292" s="23"/>
    </row>
    <row r="293" spans="2:7" s="21" customFormat="1" x14ac:dyDescent="0.3">
      <c r="B293" s="24">
        <f t="shared" si="16"/>
        <v>0</v>
      </c>
      <c r="C293" s="22"/>
      <c r="E293" s="22"/>
      <c r="F293" s="22"/>
      <c r="G293" s="23"/>
    </row>
    <row r="294" spans="2:7" s="21" customFormat="1" x14ac:dyDescent="0.3">
      <c r="B294" s="24">
        <f t="shared" si="16"/>
        <v>0</v>
      </c>
      <c r="C294" s="22"/>
      <c r="E294" s="22"/>
      <c r="F294" s="22"/>
      <c r="G294" s="23"/>
    </row>
    <row r="295" spans="2:7" s="21" customFormat="1" x14ac:dyDescent="0.3">
      <c r="B295" s="24">
        <f t="shared" si="16"/>
        <v>0</v>
      </c>
      <c r="C295" s="22"/>
      <c r="E295" s="22"/>
      <c r="F295" s="22"/>
      <c r="G295" s="23"/>
    </row>
    <row r="296" spans="2:7" s="21" customFormat="1" x14ac:dyDescent="0.3">
      <c r="B296" s="24">
        <f t="shared" si="16"/>
        <v>0</v>
      </c>
      <c r="C296" s="22"/>
      <c r="E296" s="22"/>
      <c r="F296" s="22"/>
      <c r="G296" s="23"/>
    </row>
    <row r="297" spans="2:7" s="21" customFormat="1" x14ac:dyDescent="0.3">
      <c r="B297" s="24">
        <f t="shared" si="16"/>
        <v>0</v>
      </c>
      <c r="C297" s="22"/>
      <c r="E297" s="22"/>
      <c r="F297" s="22"/>
      <c r="G297" s="23"/>
    </row>
    <row r="298" spans="2:7" s="21" customFormat="1" x14ac:dyDescent="0.3">
      <c r="B298" s="24">
        <f t="shared" si="16"/>
        <v>0</v>
      </c>
      <c r="C298" s="22"/>
      <c r="E298" s="22"/>
      <c r="F298" s="22"/>
      <c r="G298" s="23"/>
    </row>
    <row r="299" spans="2:7" s="21" customFormat="1" x14ac:dyDescent="0.3">
      <c r="B299" s="24">
        <f t="shared" si="16"/>
        <v>0</v>
      </c>
      <c r="C299" s="22"/>
      <c r="E299" s="22"/>
      <c r="F299" s="22"/>
      <c r="G299" s="23"/>
    </row>
    <row r="300" spans="2:7" s="21" customFormat="1" x14ac:dyDescent="0.3">
      <c r="B300" s="24">
        <f t="shared" si="16"/>
        <v>0</v>
      </c>
      <c r="C300" s="22"/>
      <c r="E300" s="22"/>
      <c r="F300" s="22"/>
      <c r="G300" s="23"/>
    </row>
    <row r="301" spans="2:7" s="21" customFormat="1" x14ac:dyDescent="0.3">
      <c r="B301" s="24">
        <f t="shared" si="16"/>
        <v>0</v>
      </c>
      <c r="C301" s="22"/>
      <c r="E301" s="22"/>
      <c r="F301" s="22"/>
      <c r="G301" s="23"/>
    </row>
    <row r="302" spans="2:7" s="21" customFormat="1" x14ac:dyDescent="0.3">
      <c r="B302" s="24">
        <f t="shared" si="16"/>
        <v>0</v>
      </c>
      <c r="C302" s="22"/>
      <c r="E302" s="22"/>
      <c r="F302" s="22"/>
      <c r="G302" s="23"/>
    </row>
    <row r="303" spans="2:7" s="21" customFormat="1" x14ac:dyDescent="0.3">
      <c r="B303" s="24">
        <f t="shared" si="16"/>
        <v>0</v>
      </c>
      <c r="C303" s="22"/>
      <c r="E303" s="22"/>
      <c r="F303" s="22"/>
      <c r="G303" s="23"/>
    </row>
    <row r="304" spans="2:7" s="21" customFormat="1" x14ac:dyDescent="0.3">
      <c r="B304" s="24">
        <f t="shared" si="16"/>
        <v>0</v>
      </c>
      <c r="C304" s="22"/>
      <c r="E304" s="22"/>
      <c r="F304" s="22"/>
      <c r="G304" s="23"/>
    </row>
    <row r="305" spans="2:7" s="21" customFormat="1" x14ac:dyDescent="0.3">
      <c r="B305" s="24">
        <f t="shared" si="16"/>
        <v>0</v>
      </c>
      <c r="C305" s="22"/>
      <c r="E305" s="22"/>
      <c r="F305" s="22"/>
      <c r="G305" s="23"/>
    </row>
    <row r="306" spans="2:7" s="21" customFormat="1" x14ac:dyDescent="0.3">
      <c r="B306" s="24">
        <f t="shared" si="16"/>
        <v>0</v>
      </c>
      <c r="C306" s="22"/>
      <c r="E306" s="22"/>
      <c r="F306" s="22"/>
      <c r="G306" s="23"/>
    </row>
    <row r="307" spans="2:7" s="21" customFormat="1" x14ac:dyDescent="0.3">
      <c r="B307" s="24">
        <f t="shared" si="16"/>
        <v>0</v>
      </c>
      <c r="C307" s="22"/>
      <c r="E307" s="22"/>
      <c r="F307" s="22"/>
      <c r="G307" s="23"/>
    </row>
    <row r="308" spans="2:7" s="21" customFormat="1" x14ac:dyDescent="0.3">
      <c r="B308" s="24">
        <f t="shared" si="16"/>
        <v>0</v>
      </c>
      <c r="C308" s="22"/>
      <c r="E308" s="22"/>
      <c r="F308" s="22"/>
      <c r="G308" s="23"/>
    </row>
    <row r="309" spans="2:7" s="21" customFormat="1" x14ac:dyDescent="0.3">
      <c r="B309" s="24">
        <f t="shared" ref="B309:B345" si="17">G309</f>
        <v>0</v>
      </c>
      <c r="C309" s="22"/>
      <c r="E309" s="22"/>
      <c r="F309" s="22"/>
      <c r="G309" s="23"/>
    </row>
    <row r="310" spans="2:7" s="21" customFormat="1" x14ac:dyDescent="0.3">
      <c r="B310" s="24">
        <f t="shared" si="17"/>
        <v>0</v>
      </c>
      <c r="C310" s="22"/>
      <c r="E310" s="22"/>
      <c r="F310" s="22"/>
      <c r="G310" s="23"/>
    </row>
    <row r="311" spans="2:7" s="21" customFormat="1" x14ac:dyDescent="0.3">
      <c r="B311" s="24">
        <f t="shared" si="17"/>
        <v>0</v>
      </c>
      <c r="C311" s="22"/>
      <c r="E311" s="22"/>
      <c r="F311" s="22"/>
      <c r="G311" s="23"/>
    </row>
    <row r="312" spans="2:7" x14ac:dyDescent="0.3">
      <c r="B312" s="24">
        <f t="shared" si="17"/>
        <v>0</v>
      </c>
      <c r="G312" s="16"/>
    </row>
    <row r="313" spans="2:7" x14ac:dyDescent="0.3">
      <c r="B313" s="24">
        <f t="shared" si="17"/>
        <v>0</v>
      </c>
      <c r="G313" s="16"/>
    </row>
    <row r="314" spans="2:7" x14ac:dyDescent="0.3">
      <c r="B314" s="24">
        <f t="shared" si="17"/>
        <v>0</v>
      </c>
      <c r="G314" s="16"/>
    </row>
    <row r="315" spans="2:7" x14ac:dyDescent="0.3">
      <c r="B315" s="24">
        <f t="shared" si="17"/>
        <v>0</v>
      </c>
      <c r="G315" s="16"/>
    </row>
    <row r="316" spans="2:7" x14ac:dyDescent="0.3">
      <c r="B316" s="24">
        <f t="shared" si="17"/>
        <v>0</v>
      </c>
      <c r="G316" s="20"/>
    </row>
    <row r="317" spans="2:7" x14ac:dyDescent="0.3">
      <c r="B317" s="24">
        <f t="shared" si="17"/>
        <v>0</v>
      </c>
      <c r="G317" s="16"/>
    </row>
    <row r="318" spans="2:7" x14ac:dyDescent="0.3">
      <c r="B318" s="24">
        <f t="shared" si="17"/>
        <v>0</v>
      </c>
      <c r="G318" s="20"/>
    </row>
    <row r="319" spans="2:7" x14ac:dyDescent="0.3">
      <c r="B319" s="24">
        <f t="shared" si="17"/>
        <v>0</v>
      </c>
      <c r="G319" s="16"/>
    </row>
    <row r="320" spans="2:7" x14ac:dyDescent="0.3">
      <c r="B320" s="24">
        <f t="shared" si="17"/>
        <v>0</v>
      </c>
      <c r="G320" s="20"/>
    </row>
    <row r="321" spans="2:2" x14ac:dyDescent="0.3">
      <c r="B321" s="24">
        <f t="shared" si="17"/>
        <v>0</v>
      </c>
    </row>
    <row r="322" spans="2:2" x14ac:dyDescent="0.3">
      <c r="B322" s="24">
        <f t="shared" si="17"/>
        <v>0</v>
      </c>
    </row>
    <row r="323" spans="2:2" x14ac:dyDescent="0.3">
      <c r="B323" s="24">
        <f t="shared" si="17"/>
        <v>0</v>
      </c>
    </row>
    <row r="324" spans="2:2" x14ac:dyDescent="0.3">
      <c r="B324" s="24">
        <f t="shared" si="17"/>
        <v>0</v>
      </c>
    </row>
    <row r="325" spans="2:2" x14ac:dyDescent="0.3">
      <c r="B325" s="24">
        <f t="shared" si="17"/>
        <v>0</v>
      </c>
    </row>
    <row r="326" spans="2:2" x14ac:dyDescent="0.3">
      <c r="B326" s="24">
        <f t="shared" si="17"/>
        <v>0</v>
      </c>
    </row>
    <row r="327" spans="2:2" x14ac:dyDescent="0.3">
      <c r="B327" s="24">
        <f t="shared" si="17"/>
        <v>0</v>
      </c>
    </row>
    <row r="328" spans="2:2" x14ac:dyDescent="0.3">
      <c r="B328" s="24">
        <f t="shared" si="17"/>
        <v>0</v>
      </c>
    </row>
    <row r="329" spans="2:2" x14ac:dyDescent="0.3">
      <c r="B329" s="24">
        <f t="shared" si="17"/>
        <v>0</v>
      </c>
    </row>
    <row r="330" spans="2:2" x14ac:dyDescent="0.3">
      <c r="B330" s="24">
        <f t="shared" si="17"/>
        <v>0</v>
      </c>
    </row>
    <row r="331" spans="2:2" x14ac:dyDescent="0.3">
      <c r="B331" s="24">
        <f t="shared" si="17"/>
        <v>0</v>
      </c>
    </row>
    <row r="332" spans="2:2" x14ac:dyDescent="0.3">
      <c r="B332" s="24">
        <f t="shared" si="17"/>
        <v>0</v>
      </c>
    </row>
    <row r="333" spans="2:2" x14ac:dyDescent="0.3">
      <c r="B333" s="24">
        <f t="shared" si="17"/>
        <v>0</v>
      </c>
    </row>
    <row r="334" spans="2:2" x14ac:dyDescent="0.3">
      <c r="B334" s="24">
        <f t="shared" si="17"/>
        <v>0</v>
      </c>
    </row>
    <row r="335" spans="2:2" x14ac:dyDescent="0.3">
      <c r="B335" s="24">
        <f t="shared" si="17"/>
        <v>0</v>
      </c>
    </row>
    <row r="336" spans="2:2" x14ac:dyDescent="0.3">
      <c r="B336" s="24">
        <f t="shared" si="17"/>
        <v>0</v>
      </c>
    </row>
    <row r="337" spans="2:2" x14ac:dyDescent="0.3">
      <c r="B337" s="24">
        <f t="shared" si="17"/>
        <v>0</v>
      </c>
    </row>
    <row r="338" spans="2:2" x14ac:dyDescent="0.3">
      <c r="B338" s="24">
        <f t="shared" si="17"/>
        <v>0</v>
      </c>
    </row>
    <row r="339" spans="2:2" x14ac:dyDescent="0.3">
      <c r="B339" s="24">
        <f t="shared" si="17"/>
        <v>0</v>
      </c>
    </row>
    <row r="340" spans="2:2" x14ac:dyDescent="0.3">
      <c r="B340" s="24">
        <f t="shared" si="17"/>
        <v>0</v>
      </c>
    </row>
    <row r="341" spans="2:2" x14ac:dyDescent="0.3">
      <c r="B341" s="24">
        <f t="shared" si="17"/>
        <v>0</v>
      </c>
    </row>
    <row r="342" spans="2:2" x14ac:dyDescent="0.3">
      <c r="B342" s="24">
        <f t="shared" si="17"/>
        <v>0</v>
      </c>
    </row>
    <row r="343" spans="2:2" x14ac:dyDescent="0.3">
      <c r="B343" s="24">
        <f t="shared" si="17"/>
        <v>0</v>
      </c>
    </row>
    <row r="344" spans="2:2" x14ac:dyDescent="0.3">
      <c r="B344" s="24">
        <f t="shared" si="17"/>
        <v>0</v>
      </c>
    </row>
    <row r="345" spans="2:2" x14ac:dyDescent="0.3">
      <c r="B345" s="24">
        <f t="shared" si="17"/>
        <v>0</v>
      </c>
    </row>
    <row r="346" spans="2:2" x14ac:dyDescent="0.3">
      <c r="B346" s="2" t="str">
        <f t="shared" ref="B346:B357" si="18">TEXT($B$2&amp;TEXT(D346,"00")&amp;TEXT(E346,"00"),"0000-00-00")</f>
        <v>2026-00-00</v>
      </c>
    </row>
    <row r="347" spans="2:2" x14ac:dyDescent="0.3">
      <c r="B347" s="2" t="str">
        <f t="shared" si="18"/>
        <v>2026-00-00</v>
      </c>
    </row>
    <row r="348" spans="2:2" x14ac:dyDescent="0.3">
      <c r="B348" s="2" t="str">
        <f t="shared" si="18"/>
        <v>2026-00-00</v>
      </c>
    </row>
    <row r="349" spans="2:2" x14ac:dyDescent="0.3">
      <c r="B349" s="2" t="str">
        <f t="shared" si="18"/>
        <v>2026-00-00</v>
      </c>
    </row>
    <row r="350" spans="2:2" x14ac:dyDescent="0.3">
      <c r="B350" s="2" t="str">
        <f t="shared" si="18"/>
        <v>2026-00-00</v>
      </c>
    </row>
    <row r="351" spans="2:2" x14ac:dyDescent="0.3">
      <c r="B351" s="2" t="str">
        <f t="shared" si="18"/>
        <v>2026-00-00</v>
      </c>
    </row>
    <row r="352" spans="2:2" x14ac:dyDescent="0.3">
      <c r="B352" s="2" t="str">
        <f t="shared" si="18"/>
        <v>2026-00-00</v>
      </c>
    </row>
    <row r="353" spans="2:2" x14ac:dyDescent="0.3">
      <c r="B353" s="2" t="str">
        <f t="shared" si="18"/>
        <v>2026-00-00</v>
      </c>
    </row>
    <row r="354" spans="2:2" x14ac:dyDescent="0.3">
      <c r="B354" s="2" t="str">
        <f t="shared" si="18"/>
        <v>2026-00-00</v>
      </c>
    </row>
    <row r="355" spans="2:2" x14ac:dyDescent="0.3">
      <c r="B355" s="2" t="str">
        <f t="shared" si="18"/>
        <v>2026-00-00</v>
      </c>
    </row>
    <row r="356" spans="2:2" x14ac:dyDescent="0.3">
      <c r="B356" s="2" t="str">
        <f t="shared" si="18"/>
        <v>2026-00-00</v>
      </c>
    </row>
    <row r="357" spans="2:2" x14ac:dyDescent="0.3">
      <c r="B357" s="2" t="str">
        <f t="shared" si="18"/>
        <v>2026-00-00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Gi-Su, Lee</dc:creator>
  <cp:lastModifiedBy>T1</cp:lastModifiedBy>
  <cp:lastPrinted>2024-05-30T14:28:32Z</cp:lastPrinted>
  <dcterms:created xsi:type="dcterms:W3CDTF">2024-05-27T11:29:02Z</dcterms:created>
  <dcterms:modified xsi:type="dcterms:W3CDTF">2025-12-31T07:11:06Z</dcterms:modified>
</cp:coreProperties>
</file>